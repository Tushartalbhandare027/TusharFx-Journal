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" sheetId="1" state="visible" r:id="rId3"/>
    <sheet name="Dashboard" sheetId="2" state="visible" r:id="rId4"/>
    <sheet name="Journal" sheetId="3" state="visible" r:id="rId5"/>
    <sheet name="Daily Journal" sheetId="4" state="visible" r:id="rId6"/>
    <sheet name="Analytics" sheetId="5" state="visible" r:id="rId7"/>
    <sheet name="Weekly Review" sheetId="6" state="visible" r:id="rId8"/>
    <sheet name="Goals &amp; Prop" sheetId="7" state="visible" r:id="rId9"/>
    <sheet name="Playbook" sheetId="8" state="visible" r:id="rId10"/>
    <sheet name="Backtest" sheetId="9" state="visible" r:id="rId11"/>
    <sheet name="Settings" sheetId="10" state="visible" r:id="rId12"/>
    <sheet name="Lists" sheetId="11" state="visible" r:id="rId13"/>
    <sheet name="Chart Data" sheetId="12" state="visible" r:id="rId14"/>
  </sheets>
  <definedNames>
    <definedName function="false" hidden="true" localSheetId="2" name="_xlnm._FilterDatabase" vbProcedure="false">Journal!$A$5:$BV$505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<sst xmlns="http://schemas.openxmlformats.org/spreadsheetml/2006/main" count="830" uniqueCount="538">
  <si>
    <t xml:space="preserve">FOREX TRADE JOURNAL  -  HOW TO USE</t>
  </si>
  <si>
    <t xml:space="preserve">A self-calculating journal and analytics suite. Log each trade once; every tab updates.</t>
  </si>
  <si>
    <t xml:space="preserve">SET UP (2 minutes)</t>
  </si>
  <si>
    <t xml:space="preserve">1. Settings</t>
  </si>
  <si>
    <t xml:space="preserve">Enter your real account balances, default risk %, risk rules and prop-challenge rules. Blue on yellow = editable.</t>
  </si>
  <si>
    <t xml:space="preserve">2. Lists</t>
  </si>
  <si>
    <t xml:space="preserve">Rename pairs, setups, emotions, mistake tags and moods; fill blank yellow cells to add your own. Pip size / value drive lot-size checks.</t>
  </si>
  <si>
    <t xml:space="preserve">3. Clear the sample</t>
  </si>
  <si>
    <t xml:space="preserve">Journal row 6 is an example so you can see the format. Overwrite it.</t>
  </si>
  <si>
    <t xml:space="preserve">TABS</t>
  </si>
  <si>
    <t xml:space="preserve">Dashboard</t>
  </si>
  <si>
    <t xml:space="preserve">Account-filtered KPI cards, edge finder, prop status and 8 charts. Pick the account in the gold cell top right.</t>
  </si>
  <si>
    <t xml:space="preserve">Journal</t>
  </si>
  <si>
    <t xml:space="preserve">One row per trade. Blue = you type, grey = automatic. Helper columns on the far right are grouped; click [+] above the column letters to expand.</t>
  </si>
  <si>
    <t xml:space="preserve">Daily Journal</t>
  </si>
  <si>
    <t xml:space="preserve">Weekday rows from your start date: sleep, mood, plan and review. Trades and P&amp;L fill in; Analytics links mood and sleep to results.</t>
  </si>
  <si>
    <t xml:space="preserve">Analytics</t>
  </si>
  <si>
    <t xml:space="preserve">18 breakdown tables (session, pair, setup, hour, hold time, emotion, mistakes, rule checks, accounts, months, mood and sleep).</t>
  </si>
  <si>
    <t xml:space="preserve">Weekly Review</t>
  </si>
  <si>
    <t xml:space="preserve">26 weeks of numbers plus three reflection columns.</t>
  </si>
  <si>
    <t xml:space="preserve">Goals &amp; Prop</t>
  </si>
  <si>
    <t xml:space="preserve">Prop-firm progress bars against your limits, plus monthly goals.</t>
  </si>
  <si>
    <t xml:space="preserve">Playbook</t>
  </si>
  <si>
    <t xml:space="preserve">Your setups with concise rules and a live Keep / Refine / Review verdict.</t>
  </si>
  <si>
    <t xml:space="preserve">Backtest</t>
  </si>
  <si>
    <t xml:space="preserve">Log tested trades in R to validate a setup before risking money.</t>
  </si>
  <si>
    <t xml:space="preserve">Chart Data</t>
  </si>
  <si>
    <t xml:space="preserve">Calculation sheet for the dashboard. Do not edit.</t>
  </si>
  <si>
    <t xml:space="preserve">LOGGING A TRADE</t>
  </si>
  <si>
    <t xml:space="preserve">Before the trade</t>
  </si>
  <si>
    <t xml:space="preserve">Fill Trade Info, Analysis, the 7 confirmations, Planned Entry / Planned Stop, then Entry, Stop, Target, Lot size and Risk %.</t>
  </si>
  <si>
    <t xml:space="preserve">After the trade</t>
  </si>
  <si>
    <t xml:space="preserve">Enter Exit Price, Exit Time and Fees. Result, outcome, P&amp;L, balance, slippage, hold time and rule check calculate themselves.</t>
  </si>
  <si>
    <t xml:space="preserve">Open trades</t>
  </si>
  <si>
    <t xml:space="preserve">Leave Exit Price blank. The trade is excluded from statistics until closed.</t>
  </si>
  <si>
    <t xml:space="preserve">Rules</t>
  </si>
  <si>
    <t xml:space="preserve">Enter trades in date order with no gaps, using dropdowns. Risk % is typed as a percentage (1% or 0.01).</t>
  </si>
  <si>
    <t xml:space="preserve">RISK-RULE FLAGS (Journal 'Rule Check')</t>
  </si>
  <si>
    <t xml:space="preserve">Oversized</t>
  </si>
  <si>
    <t xml:space="preserve">Lot size exceeds the suggested lots (risk $ / stop pips / pip value) by more than the tolerance on Settings.</t>
  </si>
  <si>
    <t xml:space="preserve">Overtraded</t>
  </si>
  <si>
    <t xml:space="preserve">More trades on the same day (same account) than Max Trades per Day.</t>
  </si>
  <si>
    <t xml:space="preserve">Daily loss hit</t>
  </si>
  <si>
    <t xml:space="preserve">The day's loss before this trade had already reached Max Daily Loss (% of day-start balance).</t>
  </si>
  <si>
    <t xml:space="preserve">Weekly loss hit</t>
  </si>
  <si>
    <t xml:space="preserve">The week's loss before this trade had already reached Max Weekly Loss (% of week-start balance).</t>
  </si>
  <si>
    <t xml:space="preserve">KEY DEFINITIONS</t>
  </si>
  <si>
    <t xml:space="preserve">Win rate</t>
  </si>
  <si>
    <t xml:space="preserve">Wins / closed trades. Break-even trades (within the threshold) count as non-wins.</t>
  </si>
  <si>
    <t xml:space="preserve">Expectancy (avg R)</t>
  </si>
  <si>
    <t xml:space="preserve">Average R per trade. Above 0 means a positive edge over the sample.</t>
  </si>
  <si>
    <t xml:space="preserve">Profit factor</t>
  </si>
  <si>
    <t xml:space="preserve">Gross profit / gross loss. Above 1 is profitable.</t>
  </si>
  <si>
    <t xml:space="preserve">Max drawdown</t>
  </si>
  <si>
    <t xml:space="preserve">Largest fall from a balance peak, as a percentage of that peak (for the selected view).</t>
  </si>
  <si>
    <t xml:space="preserve">Payoff ratio</t>
  </si>
  <si>
    <t xml:space="preserve">Average win (R) divided by average loss (R).</t>
  </si>
  <si>
    <t xml:space="preserve">Slippage</t>
  </si>
  <si>
    <t xml:space="preserve">(Entry vs Planned Entry) in pips; positive = a worse fill than planned.</t>
  </si>
  <si>
    <t xml:space="preserve">ASSUMPTIONS</t>
  </si>
  <si>
    <t xml:space="preserve">Currency</t>
  </si>
  <si>
    <t xml:space="preserve">Accounts assumed USD (labels say $); the maths works in any currency.</t>
  </si>
  <si>
    <t xml:space="preserve">Balances</t>
  </si>
  <si>
    <t xml:space="preserve">Account balances (10,000 and 50,000) and all prop-firm limits are placeholders, not your data. Replace them on Settings.</t>
  </si>
  <si>
    <t xml:space="preserve">Pip values</t>
  </si>
  <si>
    <t xml:space="preserve">Approximate; they move with exchange rates. Confirm with your broker.</t>
  </si>
  <si>
    <t xml:space="preserve">Capacity</t>
  </si>
  <si>
    <t xml:space="preserve">500 trades on the Journal. Copy the last row's formulas down to extend, then widen the ranges on other sheets.</t>
  </si>
  <si>
    <t xml:space="preserve">Equity chart</t>
  </si>
  <si>
    <t xml:space="preserve">Shows 100 trades at a time from the trade # on the Dashboard; the line holds flat after your latest trade.</t>
  </si>
  <si>
    <t xml:space="preserve">Educational tool</t>
  </si>
  <si>
    <t xml:space="preserve">This workbook records and analyses your trading. It is not financial advice.</t>
  </si>
  <si>
    <t xml:space="preserve">FOREX TRADING PERFORMANCE DASHBOARD</t>
  </si>
  <si>
    <t xml:space="preserve">ACCOUNT VIEW  &gt;</t>
  </si>
  <si>
    <t xml:space="preserve">All Accounts</t>
  </si>
  <si>
    <t xml:space="preserve">PERFORMANCE SNAPSHOT</t>
  </si>
  <si>
    <t xml:space="preserve">NET P&amp;L ($)</t>
  </si>
  <si>
    <t xml:space="preserve">ACCOUNT BALANCE ($)</t>
  </si>
  <si>
    <t xml:space="preserve">RETURN %</t>
  </si>
  <si>
    <t xml:space="preserve">WIN RATE</t>
  </si>
  <si>
    <t xml:space="preserve">PROFIT FACTOR</t>
  </si>
  <si>
    <t xml:space="preserve">EXPECTANCY (R)</t>
  </si>
  <si>
    <t xml:space="preserve">on starting balance</t>
  </si>
  <si>
    <t xml:space="preserve">above 1.0 = profitable</t>
  </si>
  <si>
    <t xml:space="preserve">average R per trade</t>
  </si>
  <si>
    <t xml:space="preserve">CLOSED TRADES</t>
  </si>
  <si>
    <t xml:space="preserve">MAX DRAWDOWN</t>
  </si>
  <si>
    <t xml:space="preserve">AVERAGE WIN (R)</t>
  </si>
  <si>
    <t xml:space="preserve">AVERAGE LOSS (R)</t>
  </si>
  <si>
    <t xml:space="preserve">PAYOFF RATIO</t>
  </si>
  <si>
    <t xml:space="preserve">BEST TRADE (R)</t>
  </si>
  <si>
    <t xml:space="preserve">in the selected view</t>
  </si>
  <si>
    <t xml:space="preserve">peak to trough</t>
  </si>
  <si>
    <t xml:space="preserve">winning trades</t>
  </si>
  <si>
    <t xml:space="preserve">losing trades</t>
  </si>
  <si>
    <t xml:space="preserve">avg win / avg loss</t>
  </si>
  <si>
    <t xml:space="preserve">DISCIPLINE &amp; RISK CONTROL</t>
  </si>
  <si>
    <t xml:space="preserve">PLAN ADHERENCE</t>
  </si>
  <si>
    <t xml:space="preserve">RULE BREACHES</t>
  </si>
  <si>
    <t xml:space="preserve">A+ SETUP WIN RATE</t>
  </si>
  <si>
    <t xml:space="preserve">SWEEP TRADES WIN RATE</t>
  </si>
  <si>
    <t xml:space="preserve">LONGEST WIN STREAK</t>
  </si>
  <si>
    <t xml:space="preserve">LONGEST LOSS STREAK</t>
  </si>
  <si>
    <t xml:space="preserve">trades in a row</t>
  </si>
  <si>
    <t xml:space="preserve">WHERE YOUR EDGE IS (and where it leaks)</t>
  </si>
  <si>
    <t xml:space="preserve">BEST SESSION</t>
  </si>
  <si>
    <t xml:space="preserve">BEST SETUP</t>
  </si>
  <si>
    <t xml:space="preserve">BEST PAIR</t>
  </si>
  <si>
    <t xml:space="preserve">BEST WEEKDAY</t>
  </si>
  <si>
    <t xml:space="preserve">WEAKEST SETUP</t>
  </si>
  <si>
    <t xml:space="preserve">COSTLIEST MISTAKE</t>
  </si>
  <si>
    <t xml:space="preserve">PROFIT TARGET PROGRESS</t>
  </si>
  <si>
    <t xml:space="preserve">DAILY LOSS LIMIT USED</t>
  </si>
  <si>
    <t xml:space="preserve">DRAWDOWN LIMIT USED</t>
  </si>
  <si>
    <t xml:space="preserve">CHARTS</t>
  </si>
  <si>
    <t xml:space="preserve">Equity window starts at trade #</t>
  </si>
  <si>
    <t xml:space="preserve">(100 trades shown)</t>
  </si>
  <si>
    <t xml:space="preserve">  FOREX TRADE JOURNAL</t>
  </si>
  <si>
    <t xml:space="preserve">  Row 6 is a SAMPLE trade - overwrite it. Blue text = you type; grey = auto. Enter trades in date order, no gaps. Leave Exit Price blank for an open trade. Helper columns at the far right are grouped (click [+] to expand).</t>
  </si>
  <si>
    <t xml:space="preserve">TRADE INFO</t>
  </si>
  <si>
    <t xml:space="preserve">ANALYSIS &amp; CONTEXT</t>
  </si>
  <si>
    <t xml:space="preserve">CONFIRMATIONS (Yes / No)</t>
  </si>
  <si>
    <t xml:space="preserve">EXECUTION (enter)</t>
  </si>
  <si>
    <t xml:space="preserve">RESULTS (auto)</t>
  </si>
  <si>
    <t xml:space="preserve">RISK RULES (auto)</t>
  </si>
  <si>
    <t xml:space="preserve">PSYCHOLOGY &amp; REVIEW</t>
  </si>
  <si>
    <t xml:space="preserve">HELPERS (auto, grouped)</t>
  </si>
  <si>
    <t xml:space="preserve">Trade #</t>
  </si>
  <si>
    <t xml:space="preserve">Date</t>
  </si>
  <si>
    <t xml:space="preserve">Day</t>
  </si>
  <si>
    <t xml:space="preserve">Wk</t>
  </si>
  <si>
    <t xml:space="preserve">Account</t>
  </si>
  <si>
    <t xml:space="preserve">Session</t>
  </si>
  <si>
    <t xml:space="preserve">Entry Time</t>
  </si>
  <si>
    <t xml:space="preserve">Exit Time</t>
  </si>
  <si>
    <t xml:space="preserve">Pair</t>
  </si>
  <si>
    <t xml:space="preserve">Direction</t>
  </si>
  <si>
    <t xml:space="preserve">HTF Bias</t>
  </si>
  <si>
    <t xml:space="preserve">Setup / Model</t>
  </si>
  <si>
    <t xml:space="preserve">Zone Type</t>
  </si>
  <si>
    <t xml:space="preserve">Liquidity Sweep?</t>
  </si>
  <si>
    <t xml:space="preserve">Sweep Type</t>
  </si>
  <si>
    <t xml:space="preserve">Analysis Notes</t>
  </si>
  <si>
    <t xml:space="preserve">Structure Shift (MSS/CHoCH)</t>
  </si>
  <si>
    <t xml:space="preserve">Displacement</t>
  </si>
  <si>
    <t xml:space="preserve">FVG / Imbalance</t>
  </si>
  <si>
    <t xml:space="preserve">Rejection Candle</t>
  </si>
  <si>
    <t xml:space="preserve">HTF Aligned</t>
  </si>
  <si>
    <t xml:space="preserve">Killzone Timing</t>
  </si>
  <si>
    <t xml:space="preserve">News Clear</t>
  </si>
  <si>
    <t xml:space="preserve">Confirm. Count</t>
  </si>
  <si>
    <t xml:space="preserve">Setup Grade</t>
  </si>
  <si>
    <t xml:space="preserve">Planned Entry</t>
  </si>
  <si>
    <t xml:space="preserve">Planned Stop</t>
  </si>
  <si>
    <t xml:space="preserve">Entry Price</t>
  </si>
  <si>
    <t xml:space="preserve">Stop Loss</t>
  </si>
  <si>
    <t xml:space="preserve">Take Profit</t>
  </si>
  <si>
    <t xml:space="preserve">Exit Price</t>
  </si>
  <si>
    <t xml:space="preserve">Lot Size</t>
  </si>
  <si>
    <t xml:space="preserve">Risk %</t>
  </si>
  <si>
    <t xml:space="preserve">Fees ($)</t>
  </si>
  <si>
    <t xml:space="preserve">Risk ($)</t>
  </si>
  <si>
    <t xml:space="preserve">Planned RR</t>
  </si>
  <si>
    <t xml:space="preserve">Result (R)</t>
  </si>
  <si>
    <t xml:space="preserve">Outcome</t>
  </si>
  <si>
    <t xml:space="preserve">Net P&amp;L ($)</t>
  </si>
  <si>
    <t xml:space="preserve">Balance ($)</t>
  </si>
  <si>
    <t xml:space="preserve">Cum. R</t>
  </si>
  <si>
    <t xml:space="preserve">Result (pips)</t>
  </si>
  <si>
    <t xml:space="preserve">Hold (min)</t>
  </si>
  <si>
    <t xml:space="preserve">Hold Bucket</t>
  </si>
  <si>
    <t xml:space="preserve">Entry Hour</t>
  </si>
  <si>
    <t xml:space="preserve">Slippage (pips, + = worse)</t>
  </si>
  <si>
    <t xml:space="preserve">Stop Moved?</t>
  </si>
  <si>
    <t xml:space="preserve">Suggested Lots</t>
  </si>
  <si>
    <t xml:space="preserve">Balance Before ($)</t>
  </si>
  <si>
    <t xml:space="preserve">Trade # Today</t>
  </si>
  <si>
    <t xml:space="preserve">Day P&amp;L Before ($)</t>
  </si>
  <si>
    <t xml:space="preserve">Day P&amp;L After ($)</t>
  </si>
  <si>
    <t xml:space="preserve">Week P&amp;L Before ($)</t>
  </si>
  <si>
    <t xml:space="preserve">Rule Check</t>
  </si>
  <si>
    <t xml:space="preserve">Emotion at Entry</t>
  </si>
  <si>
    <t xml:space="preserve">Followed Plan?</t>
  </si>
  <si>
    <t xml:space="preserve">Mistake Tag</t>
  </si>
  <si>
    <t xml:space="preserve">MFE (R)</t>
  </si>
  <si>
    <t xml:space="preserve">MAE (R)</t>
  </si>
  <si>
    <t xml:space="preserve">Screenshot / Chart Link</t>
  </si>
  <si>
    <t xml:space="preserve">Lesson Learned / Journal</t>
  </si>
  <si>
    <t xml:space="preserve">Account Key</t>
  </si>
  <si>
    <t xml:space="preserve">Acct Start ($)</t>
  </si>
  <si>
    <t xml:space="preserve">Pip Size</t>
  </si>
  <si>
    <t xml:space="preserve">Pip Value ($/lot)</t>
  </si>
  <si>
    <t xml:space="preserve">Acct Peak ($)</t>
  </si>
  <si>
    <t xml:space="preserve">Acct Drawdown %</t>
  </si>
  <si>
    <t xml:space="preserve">In View (1/0)</t>
  </si>
  <si>
    <t xml:space="preserve">View Trade #</t>
  </si>
  <si>
    <t xml:space="preserve">View Balance ($)</t>
  </si>
  <si>
    <t xml:space="preserve">View Peak ($)</t>
  </si>
  <si>
    <t xml:space="preserve">View Drawdown %</t>
  </si>
  <si>
    <t xml:space="preserve">Win Streak</t>
  </si>
  <si>
    <t xml:space="preserve">Loss Streak</t>
  </si>
  <si>
    <t xml:space="preserve">Main Account</t>
  </si>
  <si>
    <t xml:space="preserve">London</t>
  </si>
  <si>
    <t xml:space="preserve">XAUUSD</t>
  </si>
  <si>
    <t xml:space="preserve">Short</t>
  </si>
  <si>
    <t xml:space="preserve">Bearish</t>
  </si>
  <si>
    <t xml:space="preserve">Liquidity Sweep Reversal</t>
  </si>
  <si>
    <t xml:space="preserve">Order Block</t>
  </si>
  <si>
    <t xml:space="preserve">Yes</t>
  </si>
  <si>
    <t xml:space="preserve">Asia High</t>
  </si>
  <si>
    <t xml:space="preserve">Asia high swept at London open into 4H supply. 5m MSS + displacement left an FVG; entered on the FVG retest.</t>
  </si>
  <si>
    <t xml:space="preserve">No</t>
  </si>
  <si>
    <t xml:space="preserve">Calm / Focused</t>
  </si>
  <si>
    <t xml:space="preserve">None (Followed Plan)</t>
  </si>
  <si>
    <t xml:space="preserve">(paste your TradingView / screenshot link here)</t>
  </si>
  <si>
    <t xml:space="preserve">Waited for the sweep and the structure shift before entering. Patience paid; no chasing.</t>
  </si>
  <si>
    <t xml:space="preserve">DAILY JOURNAL</t>
  </si>
  <si>
    <t xml:space="preserve">One row per trading day (weekdays from your Journal Start Date). Trades and P&amp;L fill in automatically; type sleep, mood and notes in the blue cells.</t>
  </si>
  <si>
    <t xml:space="preserve">Trades</t>
  </si>
  <si>
    <t xml:space="preserve">Sleep (hrs)</t>
  </si>
  <si>
    <t xml:space="preserve">Mood</t>
  </si>
  <si>
    <t xml:space="preserve">Pre-market plan / bias</t>
  </si>
  <si>
    <t xml:space="preserve">End-of-day review</t>
  </si>
  <si>
    <t xml:space="preserve">ANALYTICS</t>
  </si>
  <si>
    <t xml:space="preserve">Every table follows the Account View chosen on the Dashboard (except the Account table). Green = profit, red = loss.</t>
  </si>
  <si>
    <t xml:space="preserve">Session - performance by trading session</t>
  </si>
  <si>
    <t xml:space="preserve">JUMP TO</t>
  </si>
  <si>
    <t xml:space="preserve">Wins</t>
  </si>
  <si>
    <t xml:space="preserve">Losses</t>
  </si>
  <si>
    <t xml:space="preserve">BE</t>
  </si>
  <si>
    <t xml:space="preserve">Win %</t>
  </si>
  <si>
    <t xml:space="preserve">Total R</t>
  </si>
  <si>
    <t xml:space="preserve">Avg R</t>
  </si>
  <si>
    <t xml:space="preserve">Profit Factor</t>
  </si>
  <si>
    <t xml:space="preserve">Sweep vs No Sweep</t>
  </si>
  <si>
    <t xml:space="preserve">Pair - performance by instrument</t>
  </si>
  <si>
    <t xml:space="preserve">Weekday</t>
  </si>
  <si>
    <t xml:space="preserve">Hold Time</t>
  </si>
  <si>
    <t xml:space="preserve">Emotion</t>
  </si>
  <si>
    <t xml:space="preserve">Monthly</t>
  </si>
  <si>
    <t xml:space="preserve">Mood and Sleep</t>
  </si>
  <si>
    <t xml:space="preserve">Setup / Model - performance by strategy</t>
  </si>
  <si>
    <t xml:space="preserve">Zone Type - where entries were taken</t>
  </si>
  <si>
    <t xml:space="preserve">Sweep Type - liquidity taken before entry</t>
  </si>
  <si>
    <t xml:space="preserve">Liquidity Sweep? - sweep vs no sweep</t>
  </si>
  <si>
    <t xml:space="preserve">HTF Bias - higher-timeframe bias</t>
  </si>
  <si>
    <t xml:space="preserve">Setup Grade - A+ to C</t>
  </si>
  <si>
    <t xml:space="preserve">A+</t>
  </si>
  <si>
    <t xml:space="preserve">A</t>
  </si>
  <si>
    <t xml:space="preserve">B</t>
  </si>
  <si>
    <t xml:space="preserve">C</t>
  </si>
  <si>
    <t xml:space="preserve">Direction - long vs short</t>
  </si>
  <si>
    <t xml:space="preserve">Long</t>
  </si>
  <si>
    <t xml:space="preserve">Weekday - performance by day of week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</si>
  <si>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</si>
  <si>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</si>
  <si>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</si>
  <si>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</si>
  <si>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</si>
  <si>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</si>
  <si>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</si>
  <si>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Entry Hour (24h clock, your journal's time)</t>
  </si>
  <si>
    <t xml:space="preserve">Hold Time - how long trades were open</t>
  </si>
  <si>
    <t xml:space="preserve">Under 15m</t>
  </si>
  <si>
    <t xml:space="preserve">15-60m</t>
  </si>
  <si>
    <t xml:space="preserve">1-4 hours</t>
  </si>
  <si>
    <t xml:space="preserve">4+ hours</t>
  </si>
  <si>
    <t xml:space="preserve">Mistake Tag - what your errors cost</t>
  </si>
  <si>
    <t xml:space="preserve">Rule Check - risk-rule compliance</t>
  </si>
  <si>
    <t xml:space="preserve">OK</t>
  </si>
  <si>
    <t xml:space="preserve">Account - each account on its own (ignores view)</t>
  </si>
  <si>
    <t xml:space="preserve">Month - monthly summary</t>
  </si>
  <si>
    <t xml:space="preserve">Month</t>
  </si>
  <si>
    <t xml:space="preserve">State of Mind - mood and sleep vs results (from Daily Journal)</t>
  </si>
  <si>
    <t xml:space="preserve">Days</t>
  </si>
  <si>
    <t xml:space="preserve">Avg P&amp;L / Day ($)</t>
  </si>
  <si>
    <t xml:space="preserve">Sleep</t>
  </si>
  <si>
    <t xml:space="preserve">Under 6 hours</t>
  </si>
  <si>
    <t xml:space="preserve">6 to 7 hours</t>
  </si>
  <si>
    <t xml:space="preserve">7 hours or more</t>
  </si>
  <si>
    <t xml:space="preserve">WEEKLY REVIEW</t>
  </si>
  <si>
    <t xml:space="preserve">Numbers fill in from the Journal (Account View applies). Write your reflections in the blue cells.</t>
  </si>
  <si>
    <t xml:space="preserve">Week #</t>
  </si>
  <si>
    <t xml:space="preserve">Week Start (Mon)</t>
  </si>
  <si>
    <t xml:space="preserve">Week End</t>
  </si>
  <si>
    <t xml:space="preserve">Net R</t>
  </si>
  <si>
    <t xml:space="preserve">Rule Breaches</t>
  </si>
  <si>
    <t xml:space="preserve">Plan Adherence</t>
  </si>
  <si>
    <t xml:space="preserve">What went well</t>
  </si>
  <si>
    <t xml:space="preserve">What to improve</t>
  </si>
  <si>
    <t xml:space="preserve">Next week's plan</t>
  </si>
  <si>
    <t xml:space="preserve">GOALS &amp; PROP FIRM TRACKER</t>
  </si>
  <si>
    <t xml:space="preserve">Prop rules live on Settings (placeholders until you enter your challenge). Monthly targets below are blue inputs.</t>
  </si>
  <si>
    <t xml:space="preserve">PROP CHALLENGE TRACKER</t>
  </si>
  <si>
    <t xml:space="preserve">Prop account</t>
  </si>
  <si>
    <t xml:space="preserve">Starting balance ($)</t>
  </si>
  <si>
    <t xml:space="preserve">From Settings &gt; Accounts</t>
  </si>
  <si>
    <t xml:space="preserve">Current balance ($)</t>
  </si>
  <si>
    <t xml:space="preserve">Profit (% of start)</t>
  </si>
  <si>
    <t xml:space="preserve">Profit target (%)</t>
  </si>
  <si>
    <t xml:space="preserve">Placeholder on Settings</t>
  </si>
  <si>
    <t xml:space="preserve">Target progress</t>
  </si>
  <si>
    <t xml:space="preserve">Worst day-so-far loss ($)</t>
  </si>
  <si>
    <t xml:space="preserve">Lowest running day P&amp;L after any trade</t>
  </si>
  <si>
    <t xml:space="preserve">Worst day loss (% of start)</t>
  </si>
  <si>
    <t xml:space="preserve">Daily loss limit (%)</t>
  </si>
  <si>
    <t xml:space="preserve">Daily loss limit used</t>
  </si>
  <si>
    <t xml:space="preserve">Max drawdown (%)</t>
  </si>
  <si>
    <t xml:space="preserve">Peak to trough on this account</t>
  </si>
  <si>
    <t xml:space="preserve">Max drawdown limit (%)</t>
  </si>
  <si>
    <t xml:space="preserve">Drawdown limit used</t>
  </si>
  <si>
    <t xml:space="preserve">Trades taken</t>
  </si>
  <si>
    <t xml:space="preserve">Days left in challenge</t>
  </si>
  <si>
    <t xml:space="preserve">Counts down from today to the end date on Settings</t>
  </si>
  <si>
    <t xml:space="preserve">STATUS</t>
  </si>
  <si>
    <t xml:space="preserve">MONTHLY GOALS (targets are blue placeholders - set your own)</t>
  </si>
  <si>
    <t xml:space="preserve">Target P&amp;L ($)</t>
  </si>
  <si>
    <t xml:space="preserve">Actual P&amp;L ($)</t>
  </si>
  <si>
    <t xml:space="preserve">Progress</t>
  </si>
  <si>
    <t xml:space="preserve">Target Win %</t>
  </si>
  <si>
    <t xml:space="preserve">Actual Win %</t>
  </si>
  <si>
    <t xml:space="preserve">Status</t>
  </si>
  <si>
    <t xml:space="preserve">Monthly targets (300 / 50%) are placeholders, not advice. Status compares each month's P&amp;L with its target.</t>
  </si>
  <si>
    <t xml:space="preserve">STRATEGY PLAYBOOK</t>
  </si>
  <si>
    <t xml:space="preserve">Your setups with concise rules (editable templates) and a live verdict from your own journal results.</t>
  </si>
  <si>
    <t xml:space="preserve">Entry trigger (edit to your rules)</t>
  </si>
  <si>
    <t xml:space="preserve">Stop placement</t>
  </si>
  <si>
    <t xml:space="preserve">Target</t>
  </si>
  <si>
    <t xml:space="preserve">Verdict</t>
  </si>
  <si>
    <t xml:space="preserve">Price takes a clear high or low (Asia, prior day, equal highs/lows), closes back inside, then shifts structure with displacement.</t>
  </si>
  <si>
    <t xml:space="preserve">Beyond the sweep extreme</t>
  </si>
  <si>
    <t xml:space="preserve">Opposite side of the range / next liquidity pool (2R+)</t>
  </si>
  <si>
    <t xml:space="preserve">Price returns to the last opposing candle before a strong move, in line with HTF bias; enter on a rejection.</t>
  </si>
  <si>
    <t xml:space="preserve">Beyond the order block</t>
  </si>
  <si>
    <t xml:space="preserve">Prior swing / next imbalance</t>
  </si>
  <si>
    <t xml:space="preserve">A key level breaks with momentum, retests from the other side and holds.</t>
  </si>
  <si>
    <t xml:space="preserve">Behind the retest wick</t>
  </si>
  <si>
    <t xml:space="preserve">Next key level</t>
  </si>
  <si>
    <t xml:space="preserve">Displacement leaves an imbalance; enter when price returns into the gap and confirms.</t>
  </si>
  <si>
    <t xml:space="preserve">Beyond the candle that formed the gap</t>
  </si>
  <si>
    <t xml:space="preserve">Recent swing high / low</t>
  </si>
  <si>
    <t xml:space="preserve">A failed order block flips role after a structure shift; enter on the retest of the flipped zone.</t>
  </si>
  <si>
    <t xml:space="preserve">Beyond the breaker</t>
  </si>
  <si>
    <t xml:space="preserve">Opposing liquidity</t>
  </si>
  <si>
    <t xml:space="preserve">Fresh zone left by an impulsive move; enter on a lower-timeframe reaction.</t>
  </si>
  <si>
    <t xml:space="preserve">Outside the zone</t>
  </si>
  <si>
    <t xml:space="preserve">Next opposing zone</t>
  </si>
  <si>
    <t xml:space="preserve">HTF trend intact; buy or sell the pullback into prior structure or a zone.</t>
  </si>
  <si>
    <t xml:space="preserve">Beyond the pullback swing</t>
  </si>
  <si>
    <t xml:space="preserve">Prior extreme and beyond</t>
  </si>
  <si>
    <t xml:space="preserve">Clear range; fade a rejection at the range high or low.</t>
  </si>
  <si>
    <t xml:space="preserve">Outside the range edge</t>
  </si>
  <si>
    <t xml:space="preserve">Range midpoint to opposite edge</t>
  </si>
  <si>
    <t xml:space="preserve">Asian high or low taken during London; enter on the reversal back into the range.</t>
  </si>
  <si>
    <t xml:space="preserve">Beyond the sweep</t>
  </si>
  <si>
    <t xml:space="preserve">Opposite side of the Asian range</t>
  </si>
  <si>
    <t xml:space="preserve">Describe any other model here.</t>
  </si>
  <si>
    <t xml:space="preserve">Verdict rule: fewer than 10 trades = not enough data; average R of 0.30 or more = keep; above 0 = refine; otherwise review. Rules shown are generic templates - replace them with your own.</t>
  </si>
  <si>
    <t xml:space="preserve">BACKTEST LOG</t>
  </si>
  <si>
    <t xml:space="preserve">Log tested trades here to validate a setup before risking money. Results are in R only.</t>
  </si>
  <si>
    <t xml:space="preserve">BACKTEST SUMMARY</t>
  </si>
  <si>
    <t xml:space="preserve">TRADES</t>
  </si>
  <si>
    <t xml:space="preserve">WIN %</t>
  </si>
  <si>
    <t xml:space="preserve">TOTAL R</t>
  </si>
  <si>
    <t xml:space="preserve">#</t>
  </si>
  <si>
    <t xml:space="preserve">Entry</t>
  </si>
  <si>
    <t xml:space="preserve">Stop</t>
  </si>
  <si>
    <t xml:space="preserve">Exit</t>
  </si>
  <si>
    <t xml:space="preserve">Notes</t>
  </si>
  <si>
    <t xml:space="preserve">BACKTEST BY SETUP</t>
  </si>
  <si>
    <t xml:space="preserve">Setup</t>
  </si>
  <si>
    <t xml:space="preserve">SETTINGS</t>
  </si>
  <si>
    <t xml:space="preserve">Blue text on yellow = editable. Every tab updates from these values.</t>
  </si>
  <si>
    <t xml:space="preserve">GENERAL</t>
  </si>
  <si>
    <t xml:space="preserve">Starting Balance ($)</t>
  </si>
  <si>
    <t xml:space="preserve">Note</t>
  </si>
  <si>
    <t xml:space="preserve">Default Risk per Trade (%)</t>
  </si>
  <si>
    <t xml:space="preserve">Used when a journal row's Risk % is blank</t>
  </si>
  <si>
    <t xml:space="preserve">Placeholder balance - replace</t>
  </si>
  <si>
    <t xml:space="preserve">Break-even Threshold (+/- R)</t>
  </si>
  <si>
    <t xml:space="preserve">A result within this many R of zero is labelled BE</t>
  </si>
  <si>
    <t xml:space="preserve">Prop Challenge</t>
  </si>
  <si>
    <t xml:space="preserve">Journal Start Date</t>
  </si>
  <si>
    <t xml:space="preserve">Drives Daily Journal, Weekly Review, Monthly tables and Goals</t>
  </si>
  <si>
    <t xml:space="preserve">RISK RULES (flagged on Journal and Dashboard)</t>
  </si>
  <si>
    <t xml:space="preserve">Max Trades per Day</t>
  </si>
  <si>
    <t xml:space="preserve">Trade #4 on the same day (same account) is flagged</t>
  </si>
  <si>
    <t xml:space="preserve">Max Daily Loss (% of day-start balance)</t>
  </si>
  <si>
    <t xml:space="preserve">Trades taken after this loss is reached are flagged</t>
  </si>
  <si>
    <t xml:space="preserve">Up to 6 accounts (live, demo, prop). Each keeps its own balance, drawdown and rule checks.</t>
  </si>
  <si>
    <t xml:space="preserve">Max Weekly Loss (% of week-start balance)</t>
  </si>
  <si>
    <t xml:space="preserve">Trades taken after this weekly loss are flagged</t>
  </si>
  <si>
    <t xml:space="preserve">Lot Size Tolerance</t>
  </si>
  <si>
    <t xml:space="preserve">'Oversized' if lots exceed the suggested size by more than this</t>
  </si>
  <si>
    <t xml:space="preserve">SESSION REFERENCE (approx. UTC; shifts with daylight saving)</t>
  </si>
  <si>
    <t xml:space="preserve">Approx. UTC</t>
  </si>
  <si>
    <t xml:space="preserve">SETUP GRADE (confirmations ticked Yes, out of 7)</t>
  </si>
  <si>
    <t xml:space="preserve">Asia</t>
  </si>
  <si>
    <t xml:space="preserve">00:00 - 08:00</t>
  </si>
  <si>
    <t xml:space="preserve">Builds the Asian range; its high/low is a common sweep target</t>
  </si>
  <si>
    <t xml:space="preserve">A+ needs at least</t>
  </si>
  <si>
    <t xml:space="preserve">07:00 - 16:00</t>
  </si>
  <si>
    <t xml:space="preserve">Often sweeps the Asian range early</t>
  </si>
  <si>
    <t xml:space="preserve">A needs at least</t>
  </si>
  <si>
    <t xml:space="preserve">New York</t>
  </si>
  <si>
    <t xml:space="preserve">12:00 - 21:00</t>
  </si>
  <si>
    <t xml:space="preserve">High volume around US data</t>
  </si>
  <si>
    <t xml:space="preserve">B needs at least</t>
  </si>
  <si>
    <t xml:space="preserve">Anything lower is graded C</t>
  </si>
  <si>
    <t xml:space="preserve">London-NY Overlap</t>
  </si>
  <si>
    <t xml:space="preserve">12:00 - 16:00</t>
  </si>
  <si>
    <t xml:space="preserve">Usually the most liquid window</t>
  </si>
  <si>
    <t xml:space="preserve">PROP FIRM TRACKER (placeholders - enter your challenge rules)</t>
  </si>
  <si>
    <t xml:space="preserve">Prop Account (from Accounts table)</t>
  </si>
  <si>
    <t xml:space="preserve">Goals &amp; Prop tab and Dashboard read this account</t>
  </si>
  <si>
    <t xml:space="preserve">Profit Target (%)</t>
  </si>
  <si>
    <t xml:space="preserve">Placeholder</t>
  </si>
  <si>
    <t xml:space="preserve">Max Daily Loss Limit (%)</t>
  </si>
  <si>
    <t xml:space="preserve">Placeholder; measured on worst realised day-so-far</t>
  </si>
  <si>
    <t xml:space="preserve">Max Drawdown Limit (%)</t>
  </si>
  <si>
    <t xml:space="preserve">Placeholder; measured peak to trough</t>
  </si>
  <si>
    <t xml:space="preserve">Challenge End Date</t>
  </si>
  <si>
    <t xml:space="preserve">ACTIVE VIEW (automatic - do not edit)</t>
  </si>
  <si>
    <t xml:space="preserve">Dashboard Account View</t>
  </si>
  <si>
    <t xml:space="preserve">Change it with the dropdown on the Dashboard</t>
  </si>
  <si>
    <t xml:space="preserve">View Starting Balance ($)</t>
  </si>
  <si>
    <t xml:space="preserve">Sum of all accounts, or the selected one</t>
  </si>
  <si>
    <t xml:space="preserve">LISTS</t>
  </si>
  <si>
    <t xml:space="preserve">Feeds every dropdown. Rename items or fill the blank yellow cells. Pip size / value are approximate - confirm with your broker.</t>
  </si>
  <si>
    <t xml:space="preserve">Pip Value ($ / 1 lot)</t>
  </si>
  <si>
    <t xml:space="preserve">Direction (keep)</t>
  </si>
  <si>
    <t xml:space="preserve">Yes / No (keep)</t>
  </si>
  <si>
    <t xml:space="preserve">Account Views (auto)</t>
  </si>
  <si>
    <t xml:space="preserve">Daily Mood</t>
  </si>
  <si>
    <t xml:space="preserve">Rule Check Labels (keep)</t>
  </si>
  <si>
    <t xml:space="preserve">None</t>
  </si>
  <si>
    <t xml:space="preserve">Bullish</t>
  </si>
  <si>
    <t xml:space="preserve">Calm &amp; Focused</t>
  </si>
  <si>
    <t xml:space="preserve">EURUSD</t>
  </si>
  <si>
    <t xml:space="preserve">Order Block Retest</t>
  </si>
  <si>
    <t xml:space="preserve">Demand Zone</t>
  </si>
  <si>
    <t xml:space="preserve">Confident</t>
  </si>
  <si>
    <t xml:space="preserve">Entered Early</t>
  </si>
  <si>
    <t xml:space="preserve">Energised</t>
  </si>
  <si>
    <t xml:space="preserve">GBPUSD</t>
  </si>
  <si>
    <t xml:space="preserve">Break &amp; Retest</t>
  </si>
  <si>
    <t xml:space="preserve">Supply Zone</t>
  </si>
  <si>
    <t xml:space="preserve">Asia Low</t>
  </si>
  <si>
    <t xml:space="preserve">Range / Unclear</t>
  </si>
  <si>
    <t xml:space="preserve">Fearful</t>
  </si>
  <si>
    <t xml:space="preserve">Chased Entry</t>
  </si>
  <si>
    <t xml:space="preserve">Neutral</t>
  </si>
  <si>
    <t xml:space="preserve">USDJPY</t>
  </si>
  <si>
    <t xml:space="preserve">FVG Entry</t>
  </si>
  <si>
    <t xml:space="preserve">Prev Day High</t>
  </si>
  <si>
    <t xml:space="preserve">Greedy / FOMO</t>
  </si>
  <si>
    <t xml:space="preserve">Moved Stop Loss</t>
  </si>
  <si>
    <t xml:space="preserve">Tired</t>
  </si>
  <si>
    <t xml:space="preserve">GBPJPY</t>
  </si>
  <si>
    <t xml:space="preserve">Breaker Block</t>
  </si>
  <si>
    <t xml:space="preserve">Prev Day Low</t>
  </si>
  <si>
    <t xml:space="preserve">Anxious</t>
  </si>
  <si>
    <t xml:space="preserve">Closed Early</t>
  </si>
  <si>
    <t xml:space="preserve">Stressed</t>
  </si>
  <si>
    <t xml:space="preserve">AUDUSD</t>
  </si>
  <si>
    <t xml:space="preserve">Supply/Demand Zone Reaction</t>
  </si>
  <si>
    <t xml:space="preserve">Mitigation Block</t>
  </si>
  <si>
    <t xml:space="preserve">Equal Highs</t>
  </si>
  <si>
    <t xml:space="preserve">Bored</t>
  </si>
  <si>
    <t xml:space="preserve">Held Too Long</t>
  </si>
  <si>
    <t xml:space="preserve">Distracted</t>
  </si>
  <si>
    <t xml:space="preserve">USDCAD</t>
  </si>
  <si>
    <t xml:space="preserve">Trend Pullback</t>
  </si>
  <si>
    <t xml:space="preserve">Key Level (S/R)</t>
  </si>
  <si>
    <t xml:space="preserve">Equal Lows</t>
  </si>
  <si>
    <t xml:space="preserve">Revenge</t>
  </si>
  <si>
    <t xml:space="preserve">NZDUSD</t>
  </si>
  <si>
    <t xml:space="preserve">Range Edge Fade</t>
  </si>
  <si>
    <t xml:space="preserve">Trendline</t>
  </si>
  <si>
    <t xml:space="preserve">Swing High/Low</t>
  </si>
  <si>
    <t xml:space="preserve">Overconfident</t>
  </si>
  <si>
    <t xml:space="preserve">No Confirmation</t>
  </si>
  <si>
    <t xml:space="preserve">USDCHF</t>
  </si>
  <si>
    <t xml:space="preserve">Asia Range Sweep</t>
  </si>
  <si>
    <t xml:space="preserve">EURJPY</t>
  </si>
  <si>
    <t xml:space="preserve">Other</t>
  </si>
  <si>
    <t xml:space="preserve">Traded News</t>
  </si>
  <si>
    <t xml:space="preserve">XAUUSD convention used here: 1 pip = $0.10 price move. Change it to match your broker. Pip values move with exchange rates.</t>
  </si>
  <si>
    <t xml:space="preserve">CHART DATA &amp; KPI ENGINE</t>
  </si>
  <si>
    <t xml:space="preserve">Calculation sheet that feeds the Dashboard cards and charts. No inputs here - do not edit.</t>
  </si>
  <si>
    <t xml:space="preserve">KPI ENGINE</t>
  </si>
  <si>
    <t xml:space="preserve">EQUITY WINDOW (100 trades)</t>
  </si>
  <si>
    <t xml:space="preserve">OUTCOME MIX</t>
  </si>
  <si>
    <t xml:space="preserve">P&amp;L BY SESSION</t>
  </si>
  <si>
    <t xml:space="preserve">P&amp;L BY WEEKDAY</t>
  </si>
  <si>
    <t xml:space="preserve">P&amp;L BY MISTAKE TAG</t>
  </si>
  <si>
    <t xml:space="preserve">P&amp;L BY SETUP RANK KEY</t>
  </si>
  <si>
    <t xml:space="preserve">P&amp;L BY SETUP (TOP 6)</t>
  </si>
  <si>
    <t xml:space="preserve">P&amp;L BY PAIR RANK KEY</t>
  </si>
  <si>
    <t xml:space="preserve">P&amp;L BY PAIR (TOP 6)</t>
  </si>
  <si>
    <t xml:space="preserve">Closed trades in view</t>
  </si>
  <si>
    <t xml:space="preserve">Pt</t>
  </si>
  <si>
    <t xml:space="preserve">Drawdown %</t>
  </si>
  <si>
    <t xml:space="preserve">Label</t>
  </si>
  <si>
    <t xml:space="preserve">Profit</t>
  </si>
  <si>
    <t xml:space="preserve">Loss</t>
  </si>
  <si>
    <t xml:space="preserve">Rank key</t>
  </si>
  <si>
    <t xml:space="preserve">Start</t>
  </si>
  <si>
    <t xml:space="preserve">Win</t>
  </si>
  <si>
    <t xml:space="preserve">Break-even</t>
  </si>
  <si>
    <t xml:space="preserve">Gross profit ($)</t>
  </si>
  <si>
    <t xml:space="preserve">Gross loss ($)</t>
  </si>
  <si>
    <t xml:space="preserve">Average win (R)</t>
  </si>
  <si>
    <t xml:space="preserve">Average loss (R)</t>
  </si>
  <si>
    <t xml:space="preserve">Best trade (R)</t>
  </si>
  <si>
    <t xml:space="preserve">Worst trade (R)</t>
  </si>
  <si>
    <t xml:space="preserve">View starting balance ($)</t>
  </si>
  <si>
    <t xml:space="preserve">View balance ($)</t>
  </si>
  <si>
    <t xml:space="preserve">Max drawdown (negative %)</t>
  </si>
  <si>
    <t xml:space="preserve">Followed plan: Yes</t>
  </si>
  <si>
    <t xml:space="preserve">Followed plan: No</t>
  </si>
  <si>
    <t xml:space="preserve">Rule breaches</t>
  </si>
  <si>
    <t xml:space="preserve">Average planned RR</t>
  </si>
  <si>
    <t xml:space="preserve">Longest win streak</t>
  </si>
  <si>
    <t xml:space="preserve">Longest loss streak</t>
  </si>
  <si>
    <t xml:space="preserve">EDGE FINDER</t>
  </si>
  <si>
    <t xml:space="preserve">Best session</t>
  </si>
  <si>
    <t xml:space="preserve">Best session - $</t>
  </si>
  <si>
    <t xml:space="preserve">Best setup</t>
  </si>
  <si>
    <t xml:space="preserve">Best setup - $</t>
  </si>
  <si>
    <t xml:space="preserve">Best pair</t>
  </si>
  <si>
    <t xml:space="preserve">Best pair - $</t>
  </si>
  <si>
    <t xml:space="preserve">Best weekday</t>
  </si>
  <si>
    <t xml:space="preserve">Best weekday - $</t>
  </si>
  <si>
    <t xml:space="preserve">Weakest setup</t>
  </si>
  <si>
    <t xml:space="preserve">Weakest setup - $</t>
  </si>
  <si>
    <t xml:space="preserve">Costliest mistake</t>
  </si>
  <si>
    <t xml:space="preserve">Costliest mistake - $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</si>
</sst>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\$#,##0;[RED]&quot;-$&quot;#,##0;\$0"/>
    <numFmt numFmtId="166" formatCode="\$#,##0"/>
    <numFmt numFmtId="167" formatCode="0.0%;[RED]\-0.0%;0.0%"/>
    <numFmt numFmtId="168" formatCode="0.0%"/>
    <numFmt numFmtId="169" formatCode="0.00"/>
    <numFmt numFmtId="170" formatCode="0.00\R;[RED]\-0.00\R;0.00\R"/>
    <numFmt numFmtId="171" formatCode="0"/>
    <numFmt numFmtId="172" formatCode="0.00\R"/>
    <numFmt numFmtId="173" formatCode="0.00\R;[RED]\-0.00\R"/>
    <numFmt numFmtId="174" formatCode="0%"/>
    <numFmt numFmtId="175" formatCode="#,##0"/>
    <numFmt numFmtId="176" formatCode="dd\-mmm\-yy"/>
    <numFmt numFmtId="177" formatCode="hh:mm"/>
    <numFmt numFmtId="178" formatCode="0.00###"/>
    <numFmt numFmtId="179" formatCode="#,##0.00"/>
    <numFmt numFmtId="180" formatCode="#,##0.00;[RED]\-#,##0.00;0.00"/>
    <numFmt numFmtId="181" formatCode="0.0;[RED]\-0.0;0.0"/>
    <numFmt numFmtId="182" formatCode="0.0####"/>
    <numFmt numFmtId="183" formatCode="0.0"/>
    <numFmt numFmtId="184" formatCode="00"/>
    <numFmt numFmtId="185" formatCode="mmm\ yyyy"/>
    <numFmt numFmtId="186" formatCode="0.00%;[RED]\-0.00%;0.00%"/>
    <numFmt numFmtId="187" formatCode="0.00%"/>
    <numFmt numFmtId="188" formatCode="dd\-mmm\-yy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BFD0E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1F5FA8"/>
      <name val="Arial"/>
      <family val="0"/>
      <charset val="1"/>
    </font>
    <font>
      <sz val="10"/>
      <color rgb="FF1B2A41"/>
      <name val="Arial"/>
      <family val="0"/>
      <charset val="1"/>
    </font>
    <font>
      <b val="true"/>
      <sz val="10"/>
      <color rgb="FF1B2A41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0"/>
      <color rgb="FFE8A83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5B6B82"/>
      <name val="Arial"/>
      <family val="0"/>
      <charset val="1"/>
    </font>
    <font>
      <b val="true"/>
      <sz val="22"/>
      <color rgb="FF0B2545"/>
      <name val="Arial"/>
      <family val="0"/>
      <charset val="1"/>
    </font>
    <font>
      <i val="true"/>
      <sz val="8"/>
      <color rgb="FF5B6B82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sz val="8"/>
      <color rgb="FF1F5FA8"/>
      <name val="Courier New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BFD0E8"/>
      <name val="Arial"/>
      <family val="0"/>
      <charset val="1"/>
    </font>
    <font>
      <b val="true"/>
      <sz val="11"/>
      <color rgb="FF0B2545"/>
      <name val="Arial"/>
      <family val="2"/>
    </font>
    <font>
      <sz val="9"/>
      <color rgb="FF5B6B82"/>
      <name val="Arial"/>
      <family val="2"/>
    </font>
    <font>
      <b val="true"/>
      <sz val="10"/>
      <color rgb="FFFFFFFF"/>
      <name val="Arial"/>
      <family val="2"/>
    </font>
    <font>
      <sz val="9"/>
      <color rgb="FF1B2A41"/>
      <name val="Arial"/>
      <family val="2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1F5FA8"/>
      <name val="Arial"/>
      <family val="0"/>
      <charset val="1"/>
    </font>
    <font>
      <i val="true"/>
      <sz val="9"/>
      <color rgb="FF5B6B82"/>
      <name val="Arial"/>
      <family val="0"/>
      <charset val="1"/>
    </font>
    <font>
      <sz val="9"/>
      <color rgb="FF1F5FA8"/>
      <name val="Courier New"/>
      <family val="0"/>
      <charset val="1"/>
    </font>
    <font>
      <b val="true"/>
      <sz val="16"/>
      <color rgb="FF0B2545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7F8FA6"/>
        <bgColor rgb="FF878787"/>
      </patternFill>
    </fill>
    <fill>
      <patternFill patternType="solid">
        <fgColor rgb="FFE8A83A"/>
        <bgColor rgb="FFF0B429"/>
      </patternFill>
    </fill>
    <fill>
      <patternFill patternType="solid">
        <fgColor rgb="FF0B2545"/>
        <bgColor rgb="FF1B2A41"/>
      </patternFill>
    </fill>
    <fill>
      <patternFill patternType="solid">
        <fgColor rgb="FFF3F6FB"/>
        <bgColor rgb="FFEEF2F8"/>
      </patternFill>
    </fill>
    <fill>
      <patternFill patternType="solid">
        <fgColor rgb="FF139A9A"/>
        <bgColor rgb="FF2E9E6A"/>
      </patternFill>
    </fill>
    <fill>
      <patternFill patternType="solid">
        <fgColor rgb="FF2E9E6A"/>
        <bgColor rgb="FF139A9A"/>
      </patternFill>
    </fill>
    <fill>
      <patternFill patternType="solid">
        <fgColor rgb="FFD64545"/>
        <bgColor rgb="FFC0504D"/>
      </patternFill>
    </fill>
    <fill>
      <patternFill patternType="solid">
        <fgColor rgb="FF6A4FB3"/>
        <bgColor rgb="FF5B6B82"/>
      </patternFill>
    </fill>
    <fill>
      <patternFill patternType="solid">
        <fgColor rgb="FFFFF2CC"/>
        <bgColor rgb="FFFFF0C2"/>
      </patternFill>
    </fill>
    <fill>
      <patternFill patternType="solid">
        <fgColor rgb="FFEEF2F8"/>
        <bgColor rgb="FFF2F2F2"/>
      </patternFill>
    </fill>
    <fill>
      <patternFill patternType="solid">
        <fgColor rgb="FFFFFFFF"/>
        <bgColor rgb="FFF3F6FB"/>
      </patternFill>
    </fill>
    <fill>
      <patternFill patternType="solid">
        <fgColor rgb="FFC0504D"/>
        <bgColor rgb="FFD64545"/>
      </patternFill>
    </fill>
    <fill>
      <patternFill patternType="solid">
        <fgColor rgb="FF1F5FA8"/>
        <bgColor rgb="FF5B6B82"/>
      </patternFill>
    </fill>
    <fill>
      <patternFill patternType="solid">
        <fgColor rgb="FFC77D0A"/>
        <bgColor rgb="FF8A6D00"/>
      </patternFill>
    </fill>
    <fill>
      <patternFill patternType="solid">
        <fgColor rgb="FF8A6D00"/>
        <bgColor rgb="FFC77D0A"/>
      </patternFill>
    </fill>
    <fill>
      <patternFill patternType="solid">
        <fgColor rgb="FFB03A3A"/>
        <bgColor rgb="FFB03030"/>
      </patternFill>
    </fill>
    <fill>
      <patternFill patternType="solid">
        <fgColor rgb="FFF0B429"/>
        <bgColor rgb="FFE8A83A"/>
      </patternFill>
    </fill>
    <fill>
      <patternFill patternType="solid">
        <fgColor rgb="FFF2F2F2"/>
        <bgColor rgb="FFEEF2F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2E9E6A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1F5FA8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139A9A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6A4FB3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F0B429"/>
      </top>
      <bottom/>
      <diagonal/>
    </border>
    <border diagonalUp="false" diagonalDown="false">
      <left style="thin">
        <color rgb="FFD5DDE8"/>
      </left>
      <right style="thin">
        <color rgb="FFD5DDE8"/>
      </right>
      <top/>
      <bottom/>
      <diagonal/>
    </border>
    <border diagonalUp="false" diagonalDown="false">
      <left style="thin">
        <color rgb="FFD5DDE8"/>
      </left>
      <right style="thin">
        <color rgb="FFD5DDE8"/>
      </right>
      <top/>
      <bottom style="thin">
        <color rgb="FFD5DDE8"/>
      </bottom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D64545"/>
      </top>
      <bottom/>
      <diagonal/>
    </border>
    <border diagonalUp="false" diagonalDown="false">
      <left style="thin">
        <color rgb="FFD5DDE8"/>
      </left>
      <right style="thin">
        <color rgb="FFD5DDE8"/>
      </right>
      <top style="thick">
        <color rgb="FFE8A83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6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6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6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5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7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8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name val="Courier New"/>
        <charset val="1"/>
        <family val="0"/>
        <color rgb="FFD64545"/>
      </font>
    </dxf>
    <dxf>
      <font>
        <name val="Courier New"/>
        <charset val="1"/>
        <family val="0"/>
        <color rgb="FFC77D0A"/>
      </font>
    </dxf>
    <dxf>
      <fill>
        <patternFill patternType="solid">
          <fgColor rgb="FF0B2545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fgColor rgb="FF1B2A4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D4D4"/>
          <bgColor rgb="FF000000"/>
        </patternFill>
      </fill>
    </dxf>
    <dxf>
      <fill>
        <patternFill patternType="solid">
          <fgColor rgb="FFB03030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ill>
        <patternFill patternType="solid">
          <fgColor rgb="FF2E9E6A"/>
          <bgColor rgb="FF000000"/>
        </patternFill>
      </fill>
    </dxf>
    <dxf>
      <fill>
        <patternFill patternType="solid">
          <fgColor rgb="FFDDF2E6"/>
          <bgColor rgb="FF000000"/>
        </patternFill>
      </fill>
    </dxf>
    <dxf>
      <fill>
        <patternFill patternType="solid">
          <fgColor rgb="FF1B7A4B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fgColor rgb="FFBFE8D2"/>
          <bgColor rgb="FF000000"/>
        </patternFill>
      </fill>
    </dxf>
    <dxf>
      <fill>
        <patternFill patternType="solid">
          <fgColor rgb="FFC77D0A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D5F0E1"/>
          <bgColor rgb="FF000000"/>
        </patternFill>
      </fill>
    </dxf>
    <dxf>
      <fill>
        <patternFill patternType="solid">
          <fgColor rgb="FFB03A3A"/>
          <bgColor rgb="FF000000"/>
        </patternFill>
      </fill>
    </dxf>
    <dxf>
      <fill>
        <patternFill patternType="solid">
          <fgColor rgb="FF6A4FB3"/>
          <bgColor rgb="FF000000"/>
        </patternFill>
      </fill>
    </dxf>
    <dxf>
      <fill>
        <patternFill patternType="solid">
          <fgColor rgb="FF7F8FA6"/>
          <bgColor rgb="FF000000"/>
        </patternFill>
      </fill>
    </dxf>
    <dxf>
      <font>
        <name val="Arial"/>
        <charset val="1"/>
        <family val="0"/>
        <b val="1"/>
        <color rgb="FF1B7A4B"/>
      </font>
      <fill>
        <patternFill>
          <bgColor rgb="FFD5F0E1"/>
        </patternFill>
      </fill>
    </dxf>
    <dxf>
      <font>
        <name val="Arial"/>
        <charset val="1"/>
        <family val="0"/>
        <b val="1"/>
        <color rgb="FFB03030"/>
      </font>
      <fill>
        <patternFill>
          <bgColor rgb="FFF8D4D4"/>
        </patternFill>
      </fill>
    </dxf>
    <dxf>
      <font>
        <name val="Arial"/>
        <charset val="1"/>
        <family val="0"/>
        <b val="1"/>
        <color rgb="FF8A6D00"/>
      </font>
      <fill>
        <patternFill>
          <bgColor rgb="FFFFF0C2"/>
        </patternFill>
      </fill>
    </dxf>
    <dxf>
      <font>
        <name val="Arial"/>
        <charset val="1"/>
        <family val="0"/>
        <b val="1"/>
        <color rgb="FF1B7A4B"/>
      </font>
      <fill>
        <patternFill>
          <bgColor rgb="FFBFE8D2"/>
        </patternFill>
      </fill>
    </dxf>
    <dxf>
      <font>
        <name val="Arial"/>
        <charset val="1"/>
        <family val="0"/>
        <b val="1"/>
        <color rgb="FF1B7A4B"/>
      </font>
      <fill>
        <patternFill>
          <bgColor rgb="FFDDF2E6"/>
        </patternFill>
      </fill>
    </dxf>
    <dxf>
      <font>
        <name val="Arial"/>
        <charset val="1"/>
        <family val="0"/>
        <b val="1"/>
        <color rgb="FFB03030"/>
      </font>
      <fill>
        <patternFill>
          <bgColor rgb="FFFBE3E3"/>
        </patternFill>
      </fill>
    </dxf>
    <dxf>
      <font>
        <name val="Arial"/>
        <charset val="1"/>
        <family val="0"/>
        <color rgb="FF1B7A4B"/>
      </font>
    </dxf>
    <dxf>
      <fill>
        <patternFill>
          <bgColor rgb="FFD5F0E1"/>
        </patternFill>
      </fill>
    </dxf>
    <dxf>
      <fill>
        <patternFill>
          <bgColor rgb="FFF8D4D4"/>
        </patternFill>
      </fill>
    </dxf>
    <dxf>
      <font>
        <name val="Courier New"/>
        <charset val="1"/>
        <family val="0"/>
        <color rgb="FF2E9E6A"/>
      </font>
    </dxf>
    <dxf>
      <font>
        <name val="Arial"/>
        <charset val="1"/>
        <family val="0"/>
        <b val="1"/>
        <color rgb="FF5B6B82"/>
      </font>
      <fill>
        <patternFill>
          <bgColor rgb="FFE6EC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A6D00"/>
      <rgbColor rgb="FF800080"/>
      <rgbColor rgb="FF1B7A4B"/>
      <rgbColor rgb="FFD5DDE8"/>
      <rgbColor rgb="FF878787"/>
      <rgbColor rgb="FF9999FF"/>
      <rgbColor rgb="FFB03A3A"/>
      <rgbColor rgb="FFFFF2CC"/>
      <rgbColor rgb="FFDDF2E6"/>
      <rgbColor rgb="FF660066"/>
      <rgbColor rgb="FFD64545"/>
      <rgbColor rgb="FF1F5FA8"/>
      <rgbColor rgb="FFBFD0E8"/>
      <rgbColor rgb="FF000080"/>
      <rgbColor rgb="FFFF00FF"/>
      <rgbColor rgb="FFF3F6FB"/>
      <rgbColor rgb="FF00FFFF"/>
      <rgbColor rgb="FF800080"/>
      <rgbColor rgb="FF800000"/>
      <rgbColor rgb="FF139A9A"/>
      <rgbColor rgb="FF0000FF"/>
      <rgbColor rgb="FF00CCFF"/>
      <rgbColor rgb="FFE6ECF5"/>
      <rgbColor rgb="FFD5F0E1"/>
      <rgbColor rgb="FFFFF0C2"/>
      <rgbColor rgb="FFBFE8D2"/>
      <rgbColor rgb="FFFBE3E3"/>
      <rgbColor rgb="FFEEF2F8"/>
      <rgbColor rgb="FFF8D4D4"/>
      <rgbColor rgb="FF4F81BD"/>
      <rgbColor rgb="FF33CCCC"/>
      <rgbColor rgb="FF99CC00"/>
      <rgbColor rgb="FFF0B429"/>
      <rgbColor rgb="FFE8A83A"/>
      <rgbColor rgb="FFC77D0A"/>
      <rgbColor rgb="FF5B6B82"/>
      <rgbColor rgb="FF7F8FA6"/>
      <rgbColor rgb="FF0B2545"/>
      <rgbColor rgb="FF2E9E6A"/>
      <rgbColor rgb="FF003300"/>
      <rgbColor rgb="FF333300"/>
      <rgbColor rgb="FFB03030"/>
      <rgbColor rgb="FFC0504D"/>
      <rgbColor rgb="FF6A4FB3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Equity Curve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Data'!G5</c:f>
              <c:strCache>
                <c:ptCount val="1"/>
                <c:pt idx="0">
                  <c:v>Balance ($)</c:v>
                </c:pt>
              </c:strCache>
            </c:strRef>
          </c:tx>
          <c:spPr>
            <a:solidFill>
              <a:srgbClr val="1f5fa8"/>
            </a:solidFill>
            <a:ln w="28440">
              <a:solidFill>
                <a:srgbClr val="1f5f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Data'!$F$6:$F$106</c:f>
              <c:strCache>
                <c:ptCount val="101"/>
                <c:pt idx="0">
                  <c:v>Start</c:v>
                </c:pt>
                <c:pt idx="1">
                  <c:v>1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</c:strCache>
            </c:strRef>
          </c:cat>
          <c:val>
            <c:numRef>
              <c:f>'Chart Data'!$G$6:$G$106</c:f>
              <c:numCache>
                <c:formatCode>#,##0.00</c:formatCode>
                <c:ptCount val="101"/>
                <c:pt idx="0">
                  <c:v>60000</c:v>
                </c:pt>
                <c:pt idx="1">
                  <c:v>60229.5</c:v>
                </c:pt>
                <c:pt idx="2">
                  <c:v>60229.5</c:v>
                </c:pt>
                <c:pt idx="3">
                  <c:v>60229.5</c:v>
                </c:pt>
                <c:pt idx="4">
                  <c:v>60229.5</c:v>
                </c:pt>
                <c:pt idx="5">
                  <c:v>60229.5</c:v>
                </c:pt>
                <c:pt idx="6">
                  <c:v>60229.5</c:v>
                </c:pt>
                <c:pt idx="7">
                  <c:v>60229.5</c:v>
                </c:pt>
                <c:pt idx="8">
                  <c:v>60229.5</c:v>
                </c:pt>
                <c:pt idx="9">
                  <c:v>60229.5</c:v>
                </c:pt>
                <c:pt idx="10">
                  <c:v>60229.5</c:v>
                </c:pt>
                <c:pt idx="11">
                  <c:v>60229.5</c:v>
                </c:pt>
                <c:pt idx="12">
                  <c:v>60229.5</c:v>
                </c:pt>
                <c:pt idx="13">
                  <c:v>60229.5</c:v>
                </c:pt>
                <c:pt idx="14">
                  <c:v>60229.5</c:v>
                </c:pt>
                <c:pt idx="15">
                  <c:v>60229.5</c:v>
                </c:pt>
                <c:pt idx="16">
                  <c:v>60229.5</c:v>
                </c:pt>
                <c:pt idx="17">
                  <c:v>60229.5</c:v>
                </c:pt>
                <c:pt idx="18">
                  <c:v>60229.5</c:v>
                </c:pt>
                <c:pt idx="19">
                  <c:v>60229.5</c:v>
                </c:pt>
                <c:pt idx="20">
                  <c:v>60229.5</c:v>
                </c:pt>
                <c:pt idx="21">
                  <c:v>60229.5</c:v>
                </c:pt>
                <c:pt idx="22">
                  <c:v>60229.5</c:v>
                </c:pt>
                <c:pt idx="23">
                  <c:v>60229.5</c:v>
                </c:pt>
                <c:pt idx="24">
                  <c:v>60229.5</c:v>
                </c:pt>
                <c:pt idx="25">
                  <c:v>60229.5</c:v>
                </c:pt>
                <c:pt idx="26">
                  <c:v>60229.5</c:v>
                </c:pt>
                <c:pt idx="27">
                  <c:v>60229.5</c:v>
                </c:pt>
                <c:pt idx="28">
                  <c:v>60229.5</c:v>
                </c:pt>
                <c:pt idx="29">
                  <c:v>60229.5</c:v>
                </c:pt>
                <c:pt idx="30">
                  <c:v>60229.5</c:v>
                </c:pt>
                <c:pt idx="31">
                  <c:v>60229.5</c:v>
                </c:pt>
                <c:pt idx="32">
                  <c:v>60229.5</c:v>
                </c:pt>
                <c:pt idx="33">
                  <c:v>60229.5</c:v>
                </c:pt>
                <c:pt idx="34">
                  <c:v>60229.5</c:v>
                </c:pt>
                <c:pt idx="35">
                  <c:v>60229.5</c:v>
                </c:pt>
                <c:pt idx="36">
                  <c:v>60229.5</c:v>
                </c:pt>
                <c:pt idx="37">
                  <c:v>60229.5</c:v>
                </c:pt>
                <c:pt idx="38">
                  <c:v>60229.5</c:v>
                </c:pt>
                <c:pt idx="39">
                  <c:v>60229.5</c:v>
                </c:pt>
                <c:pt idx="40">
                  <c:v>60229.5</c:v>
                </c:pt>
                <c:pt idx="41">
                  <c:v>60229.5</c:v>
                </c:pt>
                <c:pt idx="42">
                  <c:v>60229.5</c:v>
                </c:pt>
                <c:pt idx="43">
                  <c:v>60229.5</c:v>
                </c:pt>
                <c:pt idx="44">
                  <c:v>60229.5</c:v>
                </c:pt>
                <c:pt idx="45">
                  <c:v>60229.5</c:v>
                </c:pt>
                <c:pt idx="46">
                  <c:v>60229.5</c:v>
                </c:pt>
                <c:pt idx="47">
                  <c:v>60229.5</c:v>
                </c:pt>
                <c:pt idx="48">
                  <c:v>60229.5</c:v>
                </c:pt>
                <c:pt idx="49">
                  <c:v>60229.5</c:v>
                </c:pt>
                <c:pt idx="50">
                  <c:v>60229.5</c:v>
                </c:pt>
                <c:pt idx="51">
                  <c:v>60229.5</c:v>
                </c:pt>
                <c:pt idx="52">
                  <c:v>60229.5</c:v>
                </c:pt>
                <c:pt idx="53">
                  <c:v>60229.5</c:v>
                </c:pt>
                <c:pt idx="54">
                  <c:v>60229.5</c:v>
                </c:pt>
                <c:pt idx="55">
                  <c:v>60229.5</c:v>
                </c:pt>
                <c:pt idx="56">
                  <c:v>60229.5</c:v>
                </c:pt>
                <c:pt idx="57">
                  <c:v>60229.5</c:v>
                </c:pt>
                <c:pt idx="58">
                  <c:v>60229.5</c:v>
                </c:pt>
                <c:pt idx="59">
                  <c:v>60229.5</c:v>
                </c:pt>
                <c:pt idx="60">
                  <c:v>60229.5</c:v>
                </c:pt>
                <c:pt idx="61">
                  <c:v>60229.5</c:v>
                </c:pt>
                <c:pt idx="62">
                  <c:v>60229.5</c:v>
                </c:pt>
                <c:pt idx="63">
                  <c:v>60229.5</c:v>
                </c:pt>
                <c:pt idx="64">
                  <c:v>60229.5</c:v>
                </c:pt>
                <c:pt idx="65">
                  <c:v>60229.5</c:v>
                </c:pt>
                <c:pt idx="66">
                  <c:v>60229.5</c:v>
                </c:pt>
                <c:pt idx="67">
                  <c:v>60229.5</c:v>
                </c:pt>
                <c:pt idx="68">
                  <c:v>60229.5</c:v>
                </c:pt>
                <c:pt idx="69">
                  <c:v>60229.5</c:v>
                </c:pt>
                <c:pt idx="70">
                  <c:v>60229.5</c:v>
                </c:pt>
                <c:pt idx="71">
                  <c:v>60229.5</c:v>
                </c:pt>
                <c:pt idx="72">
                  <c:v>60229.5</c:v>
                </c:pt>
                <c:pt idx="73">
                  <c:v>60229.5</c:v>
                </c:pt>
                <c:pt idx="74">
                  <c:v>60229.5</c:v>
                </c:pt>
                <c:pt idx="75">
                  <c:v>60229.5</c:v>
                </c:pt>
                <c:pt idx="76">
                  <c:v>60229.5</c:v>
                </c:pt>
                <c:pt idx="77">
                  <c:v>60229.5</c:v>
                </c:pt>
                <c:pt idx="78">
                  <c:v>60229.5</c:v>
                </c:pt>
                <c:pt idx="79">
                  <c:v>60229.5</c:v>
                </c:pt>
                <c:pt idx="80">
                  <c:v>60229.5</c:v>
                </c:pt>
                <c:pt idx="81">
                  <c:v>60229.5</c:v>
                </c:pt>
                <c:pt idx="82">
                  <c:v>60229.5</c:v>
                </c:pt>
                <c:pt idx="83">
                  <c:v>60229.5</c:v>
                </c:pt>
                <c:pt idx="84">
                  <c:v>60229.5</c:v>
                </c:pt>
                <c:pt idx="85">
                  <c:v>60229.5</c:v>
                </c:pt>
                <c:pt idx="86">
                  <c:v>60229.5</c:v>
                </c:pt>
                <c:pt idx="87">
                  <c:v>60229.5</c:v>
                </c:pt>
                <c:pt idx="88">
                  <c:v>60229.5</c:v>
                </c:pt>
                <c:pt idx="89">
                  <c:v>60229.5</c:v>
                </c:pt>
                <c:pt idx="90">
                  <c:v>60229.5</c:v>
                </c:pt>
                <c:pt idx="91">
                  <c:v>60229.5</c:v>
                </c:pt>
                <c:pt idx="92">
                  <c:v>60229.5</c:v>
                </c:pt>
                <c:pt idx="93">
                  <c:v>60229.5</c:v>
                </c:pt>
                <c:pt idx="94">
                  <c:v>60229.5</c:v>
                </c:pt>
                <c:pt idx="95">
                  <c:v>60229.5</c:v>
                </c:pt>
                <c:pt idx="96">
                  <c:v>60229.5</c:v>
                </c:pt>
                <c:pt idx="97">
                  <c:v>60229.5</c:v>
                </c:pt>
                <c:pt idx="98">
                  <c:v>60229.5</c:v>
                </c:pt>
                <c:pt idx="99">
                  <c:v>60229.5</c:v>
                </c:pt>
                <c:pt idx="100">
                  <c:v>60229.5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733183"/>
        <c:axId val="69773640"/>
      </c:lineChart>
      <c:catAx>
        <c:axId val="5173318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69773640"/>
        <c:crosses val="autoZero"/>
        <c:auto val="1"/>
        <c:lblAlgn val="ctr"/>
        <c:lblOffset val="100"/>
        <c:noMultiLvlLbl val="0"/>
      </c:catAx>
      <c:valAx>
        <c:axId val="69773640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517331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Drawdown from Peak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Data'!H5</c:f>
              <c:strCache>
                <c:ptCount val="1"/>
                <c:pt idx="0">
                  <c:v>Drawdown %</c:v>
                </c:pt>
              </c:strCache>
            </c:strRef>
          </c:tx>
          <c:spPr>
            <a:solidFill>
              <a:srgbClr val="d64545"/>
            </a:solidFill>
            <a:ln w="28440">
              <a:solidFill>
                <a:srgbClr val="d645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Data'!$F$6:$F$106</c:f>
              <c:strCache>
                <c:ptCount val="101"/>
                <c:pt idx="0">
                  <c:v>Start</c:v>
                </c:pt>
                <c:pt idx="1">
                  <c:v>1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</c:strCache>
            </c:strRef>
          </c:cat>
          <c:val>
            <c:numRef>
              <c:f>'Chart Data'!$H$6:$H$106</c:f>
              <c:numCache>
                <c:formatCode>0.0%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347075"/>
        <c:axId val="186393"/>
      </c:lineChart>
      <c:catAx>
        <c:axId val="753470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186393"/>
        <c:crosses val="autoZero"/>
        <c:auto val="1"/>
        <c:lblAlgn val="ctr"/>
        <c:lblOffset val="100"/>
        <c:noMultiLvlLbl val="0"/>
      </c:catAx>
      <c:valAx>
        <c:axId val="186393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753470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Outcome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'Chart Data'!K5</c:f>
              <c:strCache>
                <c:ptCount val="1"/>
                <c:pt idx="0">
                  <c:v>Trades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9e6a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64545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0b429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'Chart Data'!$J$6:$J$8</c:f>
              <c:strCache>
                <c:ptCount val="3"/>
                <c:pt idx="0">
                  <c:v>Win</c:v>
                </c:pt>
                <c:pt idx="1">
                  <c:v>Loss</c:v>
                </c:pt>
                <c:pt idx="2">
                  <c:v>Break-even</c:v>
                </c:pt>
              </c:strCache>
            </c:strRef>
          </c:cat>
          <c:val>
            <c:numRef>
              <c:f>'Chart Data'!$K$6:$K$8</c:f>
              <c:numCache>
                <c:formatCode>0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b2a41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Session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Data'!N5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Data'!$M$6:$M$9</c:f>
              <c:strCache>
                <c:ptCount val="4"/>
                <c:pt idx="0">
                  <c:v>Asia</c:v>
                </c:pt>
                <c:pt idx="1">
                  <c:v>London</c:v>
                </c:pt>
                <c:pt idx="2">
                  <c:v>New York</c:v>
                </c:pt>
                <c:pt idx="3">
                  <c:v>London-NY Overlap</c:v>
                </c:pt>
              </c:strCache>
            </c:strRef>
          </c:cat>
          <c:val>
            <c:numRef>
              <c:f>'Chart Data'!$N$6:$N$9</c:f>
              <c:numCache>
                <c:formatCode>#,##0.00;[RED]\-#,##0.00;0.00</c:formatCode>
                <c:ptCount val="4"/>
                <c:pt idx="0">
                  <c:v>0</c:v>
                </c:pt>
                <c:pt idx="1">
                  <c:v>229.5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Data'!O5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Data'!$M$6:$M$9</c:f>
              <c:strCache>
                <c:ptCount val="4"/>
                <c:pt idx="0">
                  <c:v>Asia</c:v>
                </c:pt>
                <c:pt idx="1">
                  <c:v>London</c:v>
                </c:pt>
                <c:pt idx="2">
                  <c:v>New York</c:v>
                </c:pt>
                <c:pt idx="3">
                  <c:v>London-NY Overlap</c:v>
                </c:pt>
              </c:strCache>
            </c:strRef>
          </c:cat>
          <c:val>
            <c:numRef>
              <c:f>'Chart Data'!$O$6:$O$9</c:f>
              <c:numCache>
                <c:formatCode>#,##0.00;[RED]\-#,##0.00;0.00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45"/>
        <c:overlap val="100"/>
        <c:axId val="13363247"/>
        <c:axId val="82350155"/>
      </c:barChart>
      <c:catAx>
        <c:axId val="1336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82350155"/>
        <c:crosses val="autoZero"/>
        <c:auto val="1"/>
        <c:lblAlgn val="ctr"/>
        <c:lblOffset val="100"/>
        <c:noMultiLvlLbl val="0"/>
      </c:catAx>
      <c:valAx>
        <c:axId val="82350155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133632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Data'!R5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Data'!$Q$6:$Q$10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'Chart Data'!$R$6:$R$10</c:f>
              <c:numCache>
                <c:formatCode>#,##0.00;[RED]\-#,##0.00;0.00</c:formatCode>
                <c:ptCount val="5"/>
                <c:pt idx="0">
                  <c:v>229.5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Data'!S5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Data'!$Q$6:$Q$10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'Chart Data'!$S$6:$S$10</c:f>
              <c:numCache>
                <c:formatCode>#,##0.00;[RED]\-#,##0.00;0.00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5"/>
        <c:overlap val="100"/>
        <c:axId val="75378764"/>
        <c:axId val="81508937"/>
      </c:barChart>
      <c:catAx>
        <c:axId val="75378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81508937"/>
        <c:crosses val="autoZero"/>
        <c:auto val="1"/>
        <c:lblAlgn val="ctr"/>
        <c:lblOffset val="100"/>
        <c:noMultiLvlLbl val="0"/>
      </c:catAx>
      <c:valAx>
        <c:axId val="81508937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75378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Setup (top 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Data'!AB5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Data'!$AA$6:$AA$11</c:f>
              <c:strCache>
                <c:ptCount val="6"/>
                <c:pt idx="0">
                  <c:v>Liquidity Sweep Reversal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'Chart Data'!$AB$6:$AB$11</c:f>
              <c:numCache>
                <c:formatCode>#,##0.00;[RED]\-#,##0.00;0.00</c:formatCode>
                <c:ptCount val="6"/>
                <c:pt idx="0">
                  <c:v>229.5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Data'!AC5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Data'!$AA$6:$AA$11</c:f>
              <c:strCache>
                <c:ptCount val="6"/>
                <c:pt idx="0">
                  <c:v>Liquidity Sweep Reversal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'Chart Data'!$AC$6:$AC$11</c:f>
              <c:numCache>
                <c:formatCode>#,##0.00;[RED]\-#,##0.00;0.00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45"/>
        <c:overlap val="100"/>
        <c:axId val="75878160"/>
        <c:axId val="78937370"/>
      </c:barChart>
      <c:catAx>
        <c:axId val="758781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78937370"/>
        <c:crosses val="autoZero"/>
        <c:auto val="1"/>
        <c:lblAlgn val="ctr"/>
        <c:lblOffset val="100"/>
        <c:noMultiLvlLbl val="0"/>
      </c:catAx>
      <c:valAx>
        <c:axId val="78937370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7587816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Pair (top 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Data'!AH5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Data'!$AG$6:$AG$11</c:f>
              <c:strCache>
                <c:ptCount val="6"/>
                <c:pt idx="0">
                  <c:v>XAUUSD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'Chart Data'!$AH$6:$AH$11</c:f>
              <c:numCache>
                <c:formatCode>#,##0.00;[RED]\-#,##0.00;0.00</c:formatCode>
                <c:ptCount val="6"/>
                <c:pt idx="0">
                  <c:v>229.5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Data'!AI5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Data'!$AG$6:$AG$11</c:f>
              <c:strCache>
                <c:ptCount val="6"/>
                <c:pt idx="0">
                  <c:v>XAUUSD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'Chart Data'!$AI$6:$AI$11</c:f>
              <c:numCache>
                <c:formatCode>#,##0.00;[RED]\-#,##0.00;0.00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45"/>
        <c:overlap val="100"/>
        <c:axId val="7809852"/>
        <c:axId val="31704739"/>
      </c:barChart>
      <c:catAx>
        <c:axId val="78098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31704739"/>
        <c:crosses val="autoZero"/>
        <c:auto val="1"/>
        <c:lblAlgn val="ctr"/>
        <c:lblOffset val="100"/>
        <c:noMultiLvlLbl val="0"/>
      </c:catAx>
      <c:valAx>
        <c:axId val="31704739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780985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2545"/>
                </a:solidFill>
                <a:latin typeface="Arial"/>
              </a:defRPr>
            </a:pPr>
            <a:r>
              <a:rPr b="1" sz="1100" spc="-1" strike="noStrike">
                <a:solidFill>
                  <a:srgbClr val="0b2545"/>
                </a:solidFill>
                <a:latin typeface="Arial"/>
              </a:rPr>
              <a:t>Net P&amp;L by Mistake Tag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Data'!V5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9e6a"/>
            </a:solidFill>
            <a:ln w="0">
              <a:solidFill>
                <a:srgbClr val="2e9e6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Data'!$U$6:$U$15</c:f>
              <c:strCache>
                <c:ptCount val="10"/>
                <c:pt idx="0">
                  <c:v>None (Followed Plan)</c:v>
                </c:pt>
                <c:pt idx="1">
                  <c:v>Entered Early</c:v>
                </c:pt>
                <c:pt idx="2">
                  <c:v>Chased Entry</c:v>
                </c:pt>
                <c:pt idx="3">
                  <c:v>Moved Stop Loss</c:v>
                </c:pt>
                <c:pt idx="4">
                  <c:v>Closed Early</c:v>
                </c:pt>
                <c:pt idx="5">
                  <c:v>Held Too Long</c:v>
                </c:pt>
                <c:pt idx="6">
                  <c:v>Oversized</c:v>
                </c:pt>
                <c:pt idx="7">
                  <c:v>No Confirmation</c:v>
                </c:pt>
                <c:pt idx="8">
                  <c:v>Overtraded</c:v>
                </c:pt>
                <c:pt idx="9">
                  <c:v>Traded News</c:v>
                </c:pt>
              </c:strCache>
            </c:strRef>
          </c:cat>
          <c:val>
            <c:numRef>
              <c:f>'Chart Data'!$V$6:$V$15</c:f>
              <c:numCache>
                <c:formatCode>#,##0.00;[RED]\-#,##0.00;0.00</c:formatCode>
                <c:ptCount val="10"/>
                <c:pt idx="0">
                  <c:v>229.5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Data'!W5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Data'!$U$6:$U$15</c:f>
              <c:strCache>
                <c:ptCount val="10"/>
                <c:pt idx="0">
                  <c:v>None (Followed Plan)</c:v>
                </c:pt>
                <c:pt idx="1">
                  <c:v>Entered Early</c:v>
                </c:pt>
                <c:pt idx="2">
                  <c:v>Chased Entry</c:v>
                </c:pt>
                <c:pt idx="3">
                  <c:v>Moved Stop Loss</c:v>
                </c:pt>
                <c:pt idx="4">
                  <c:v>Closed Early</c:v>
                </c:pt>
                <c:pt idx="5">
                  <c:v>Held Too Long</c:v>
                </c:pt>
                <c:pt idx="6">
                  <c:v>Oversized</c:v>
                </c:pt>
                <c:pt idx="7">
                  <c:v>No Confirmation</c:v>
                </c:pt>
                <c:pt idx="8">
                  <c:v>Overtraded</c:v>
                </c:pt>
                <c:pt idx="9">
                  <c:v>Traded News</c:v>
                </c:pt>
              </c:strCache>
            </c:strRef>
          </c:cat>
          <c:val>
            <c:numRef>
              <c:f>'Chart Data'!$W$6:$W$15</c:f>
              <c:numCache>
                <c:formatCode>#,##0.00;[RED]\-#,##0.00;0.00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45"/>
        <c:overlap val="100"/>
        <c:axId val="95904740"/>
        <c:axId val="42096642"/>
      </c:barChart>
      <c:catAx>
        <c:axId val="959047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42096642"/>
        <c:crosses val="autoZero"/>
        <c:auto val="1"/>
        <c:lblAlgn val="ctr"/>
        <c:lblOffset val="100"/>
        <c:noMultiLvlLbl val="0"/>
      </c:catAx>
      <c:valAx>
        <c:axId val="42096642"/>
        <c:scaling>
          <c:orientation val="minMax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b6b82"/>
                </a:solidFill>
                <a:latin typeface="Arial"/>
              </a:defRPr>
            </a:pPr>
          </a:p>
        </c:txPr>
        <c:crossAx val="9590474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5dde8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6</xdr:col>
      <xdr:colOff>897840</xdr:colOff>
      <xdr:row>41</xdr:row>
      <xdr:rowOff>68400</xdr:rowOff>
    </xdr:to>
    <xdr:graphicFrame>
      <xdr:nvGraphicFramePr>
        <xdr:cNvPr id="0" name="Chart 1"/>
        <xdr:cNvGraphicFramePr/>
      </xdr:nvGraphicFramePr>
      <xdr:xfrm>
        <a:off x="141120" y="750564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12</xdr:col>
      <xdr:colOff>897480</xdr:colOff>
      <xdr:row>41</xdr:row>
      <xdr:rowOff>68400</xdr:rowOff>
    </xdr:to>
    <xdr:graphicFrame>
      <xdr:nvGraphicFramePr>
        <xdr:cNvPr id="1" name="Chart 2"/>
        <xdr:cNvGraphicFramePr/>
      </xdr:nvGraphicFramePr>
      <xdr:xfrm>
        <a:off x="6061680" y="750564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6</xdr:col>
      <xdr:colOff>897840</xdr:colOff>
      <xdr:row>57</xdr:row>
      <xdr:rowOff>68760</xdr:rowOff>
    </xdr:to>
    <xdr:graphicFrame>
      <xdr:nvGraphicFramePr>
        <xdr:cNvPr id="2" name="Chart 3"/>
        <xdr:cNvGraphicFramePr/>
      </xdr:nvGraphicFramePr>
      <xdr:xfrm>
        <a:off x="141120" y="1055376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43</xdr:row>
      <xdr:rowOff>0</xdr:rowOff>
    </xdr:from>
    <xdr:to>
      <xdr:col>12</xdr:col>
      <xdr:colOff>897480</xdr:colOff>
      <xdr:row>57</xdr:row>
      <xdr:rowOff>68760</xdr:rowOff>
    </xdr:to>
    <xdr:graphicFrame>
      <xdr:nvGraphicFramePr>
        <xdr:cNvPr id="3" name="Chart 4"/>
        <xdr:cNvGraphicFramePr/>
      </xdr:nvGraphicFramePr>
      <xdr:xfrm>
        <a:off x="6061680" y="1055376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6</xdr:col>
      <xdr:colOff>897840</xdr:colOff>
      <xdr:row>73</xdr:row>
      <xdr:rowOff>68760</xdr:rowOff>
    </xdr:to>
    <xdr:graphicFrame>
      <xdr:nvGraphicFramePr>
        <xdr:cNvPr id="4" name="Chart 5"/>
        <xdr:cNvGraphicFramePr/>
      </xdr:nvGraphicFramePr>
      <xdr:xfrm>
        <a:off x="141120" y="1360188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59</xdr:row>
      <xdr:rowOff>0</xdr:rowOff>
    </xdr:from>
    <xdr:to>
      <xdr:col>12</xdr:col>
      <xdr:colOff>897480</xdr:colOff>
      <xdr:row>73</xdr:row>
      <xdr:rowOff>68760</xdr:rowOff>
    </xdr:to>
    <xdr:graphicFrame>
      <xdr:nvGraphicFramePr>
        <xdr:cNvPr id="5" name="Chart 6"/>
        <xdr:cNvGraphicFramePr/>
      </xdr:nvGraphicFramePr>
      <xdr:xfrm>
        <a:off x="6061680" y="1360188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75</xdr:row>
      <xdr:rowOff>0</xdr:rowOff>
    </xdr:from>
    <xdr:to>
      <xdr:col>6</xdr:col>
      <xdr:colOff>897840</xdr:colOff>
      <xdr:row>89</xdr:row>
      <xdr:rowOff>68400</xdr:rowOff>
    </xdr:to>
    <xdr:graphicFrame>
      <xdr:nvGraphicFramePr>
        <xdr:cNvPr id="6" name="Chart 7"/>
        <xdr:cNvGraphicFramePr/>
      </xdr:nvGraphicFramePr>
      <xdr:xfrm>
        <a:off x="141120" y="1664964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75</xdr:row>
      <xdr:rowOff>0</xdr:rowOff>
    </xdr:from>
    <xdr:to>
      <xdr:col>12</xdr:col>
      <xdr:colOff>897480</xdr:colOff>
      <xdr:row>89</xdr:row>
      <xdr:rowOff>68400</xdr:rowOff>
    </xdr:to>
    <xdr:graphicFrame>
      <xdr:nvGraphicFramePr>
        <xdr:cNvPr id="7" name="Chart 8"/>
        <xdr:cNvGraphicFramePr/>
      </xdr:nvGraphicFramePr>
      <xdr:xfrm>
        <a:off x="6061680" y="1664964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orex_Trade_Journal_v2.xlsx" TargetMode="External"/><Relationship Id="rId2" Type="http://schemas.openxmlformats.org/officeDocument/2006/relationships/hyperlink" Target="Forex_Trade_Journal_v2.xlsx" TargetMode="External"/><Relationship Id="rId3" Type="http://schemas.openxmlformats.org/officeDocument/2006/relationships/hyperlink" Target="Forex_Trade_Journal_v2.xlsx" TargetMode="External"/><Relationship Id="rId4" Type="http://schemas.openxmlformats.org/officeDocument/2006/relationships/hyperlink" Target="Forex_Trade_Journal_v2.xlsx" TargetMode="External"/><Relationship Id="rId5" Type="http://schemas.openxmlformats.org/officeDocument/2006/relationships/hyperlink" Target="Forex_Trade_Journal_v2.xlsx" TargetMode="External"/><Relationship Id="rId6" Type="http://schemas.openxmlformats.org/officeDocument/2006/relationships/hyperlink" Target="Forex_Trade_Journal_v2.xlsx" TargetMode="External"/><Relationship Id="rId7" Type="http://schemas.openxmlformats.org/officeDocument/2006/relationships/hyperlink" Target="Forex_Trade_Journal_v2.xlsx" TargetMode="External"/><Relationship Id="rId8" Type="http://schemas.openxmlformats.org/officeDocument/2006/relationships/hyperlink" Target="Forex_Trade_Journal_v2.xlsx" TargetMode="External"/><Relationship Id="rId9" Type="http://schemas.openxmlformats.org/officeDocument/2006/relationships/hyperlink" Target="Forex_Trade_Journal_v2.xlsx" TargetMode="External"/><Relationship Id="rId10" Type="http://schemas.openxmlformats.org/officeDocument/2006/relationships/hyperlink" Target="Forex_Trade_Journal_v2.xlsx" TargetMode="External"/><Relationship Id="rId11" Type="http://schemas.openxmlformats.org/officeDocument/2006/relationships/hyperlink" Target="Forex_Trade_Journal_v2.xlsx" TargetMode="External"/><Relationship Id="rId12" Type="http://schemas.openxmlformats.org/officeDocument/2006/relationships/hyperlink" Target="Forex_Trade_Journal_v2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Forex_Trade_Journal_v2.xlsx" TargetMode="External"/><Relationship Id="rId2" Type="http://schemas.openxmlformats.org/officeDocument/2006/relationships/hyperlink" Target="Forex_Trade_Journal_v2.xlsx" TargetMode="External"/><Relationship Id="rId3" Type="http://schemas.openxmlformats.org/officeDocument/2006/relationships/hyperlink" Target="Forex_Trade_Journal_v2.xlsx" TargetMode="External"/><Relationship Id="rId4" Type="http://schemas.openxmlformats.org/officeDocument/2006/relationships/hyperlink" Target="Forex_Trade_Journal_v2.xlsx" TargetMode="External"/><Relationship Id="rId5" Type="http://schemas.openxmlformats.org/officeDocument/2006/relationships/hyperlink" Target="Forex_Trade_Journal_v2.xlsx" TargetMode="External"/><Relationship Id="rId6" Type="http://schemas.openxmlformats.org/officeDocument/2006/relationships/hyperlink" Target="Forex_Trade_Journal_v2.xlsx" TargetMode="External"/><Relationship Id="rId7" Type="http://schemas.openxmlformats.org/officeDocument/2006/relationships/hyperlink" Target="Forex_Trade_Journal_v2.xlsx" TargetMode="External"/><Relationship Id="rId8" Type="http://schemas.openxmlformats.org/officeDocument/2006/relationships/hyperlink" Target="Forex_Trade_Journal_v2.xlsx" TargetMode="External"/><Relationship Id="rId9" Type="http://schemas.openxmlformats.org/officeDocument/2006/relationships/hyperlink" Target="Forex_Trade_Journal_v2.xlsx" TargetMode="External"/><Relationship Id="rId10" Type="http://schemas.openxmlformats.org/officeDocument/2006/relationships/hyperlink" Target="Forex_Trade_Journal_v2.xlsx" TargetMode="External"/><Relationship Id="rId11" Type="http://schemas.openxmlformats.org/officeDocument/2006/relationships/hyperlink" Target="Forex_Trade_Journal_v2.xlsx" TargetMode="External"/><Relationship Id="rId12" Type="http://schemas.openxmlformats.org/officeDocument/2006/relationships/hyperlink" Target="Forex_Trade_Journal_v2.xlsx" TargetMode="External"/><Relationship Id="rId13" Type="http://schemas.openxmlformats.org/officeDocument/2006/relationships/hyperlink" Target="Forex_Trade_Journal_v2.xlsx" TargetMode="External"/><Relationship Id="rId14" Type="http://schemas.openxmlformats.org/officeDocument/2006/relationships/hyperlink" Target="Forex_Trade_Journal_v2.xlsx" TargetMode="External"/><Relationship Id="rId15" Type="http://schemas.openxmlformats.org/officeDocument/2006/relationships/hyperlink" Target="Forex_Trade_Journal_v2.xlsx" TargetMode="External"/><Relationship Id="rId16" Type="http://schemas.openxmlformats.org/officeDocument/2006/relationships/hyperlink" Target="Forex_Trade_Journal_v2.xlsx" TargetMode="External"/><Relationship Id="rId17" Type="http://schemas.openxmlformats.org/officeDocument/2006/relationships/hyperlink" Target="Forex_Trade_Journal_v2.xlsx" TargetMode="External"/><Relationship Id="rId18" Type="http://schemas.openxmlformats.org/officeDocument/2006/relationships/hyperlink" Target="Forex_Trade_Journal_v2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FA6"/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0"/>
    <col collapsed="false" customWidth="true" hidden="false" outlineLevel="0" max="4" min="4" style="0" width="2"/>
  </cols>
  <sheetData>
    <row r="1" customFormat="false" ht="33.75" hidden="false" customHeight="true" outlineLevel="0" collapsed="false">
      <c r="A1" s="1"/>
      <c r="B1" s="2" t="s">
        <v>0</v>
      </c>
      <c r="C1" s="1"/>
      <c r="D1" s="1"/>
    </row>
    <row r="2" customFormat="false" ht="18" hidden="false" customHeight="true" outlineLevel="0" collapsed="false">
      <c r="A2" s="1"/>
      <c r="B2" s="3" t="s">
        <v>1</v>
      </c>
      <c r="C2" s="1"/>
      <c r="D2" s="1"/>
    </row>
    <row r="3" customFormat="false" ht="3.75" hidden="false" customHeight="true" outlineLevel="0" collapsed="false">
      <c r="A3" s="4"/>
      <c r="B3" s="4"/>
      <c r="C3" s="4"/>
      <c r="D3" s="4"/>
    </row>
    <row r="4" customFormat="false" ht="21.75" hidden="false" customHeight="true" outlineLevel="0" collapsed="false">
      <c r="B4" s="5" t="s">
        <v>2</v>
      </c>
      <c r="C4" s="6"/>
    </row>
    <row r="5" customFormat="false" ht="30" hidden="false" customHeight="true" outlineLevel="0" collapsed="false">
      <c r="B5" s="7" t="s">
        <v>3</v>
      </c>
      <c r="C5" s="8" t="s">
        <v>4</v>
      </c>
    </row>
    <row r="6" customFormat="false" ht="30" hidden="false" customHeight="true" outlineLevel="0" collapsed="false">
      <c r="B6" s="7" t="s">
        <v>5</v>
      </c>
      <c r="C6" s="8" t="s">
        <v>6</v>
      </c>
    </row>
    <row r="7" customFormat="false" ht="18" hidden="false" customHeight="true" outlineLevel="0" collapsed="false">
      <c r="B7" s="7" t="s">
        <v>7</v>
      </c>
      <c r="C7" s="8" t="s">
        <v>8</v>
      </c>
    </row>
    <row r="8" customFormat="false" ht="21.75" hidden="false" customHeight="true" outlineLevel="0" collapsed="false">
      <c r="B8" s="9" t="s">
        <v>9</v>
      </c>
      <c r="C8" s="10"/>
    </row>
    <row r="9" customFormat="false" ht="30" hidden="false" customHeight="true" outlineLevel="0" collapsed="false">
      <c r="B9" s="7" t="s">
        <v>10</v>
      </c>
      <c r="C9" s="8" t="s">
        <v>11</v>
      </c>
    </row>
    <row r="10" customFormat="false" ht="30" hidden="false" customHeight="true" outlineLevel="0" collapsed="false">
      <c r="B10" s="7" t="s">
        <v>12</v>
      </c>
      <c r="C10" s="8" t="s">
        <v>13</v>
      </c>
    </row>
    <row r="11" customFormat="false" ht="30" hidden="false" customHeight="true" outlineLevel="0" collapsed="false">
      <c r="B11" s="7" t="s">
        <v>14</v>
      </c>
      <c r="C11" s="8" t="s">
        <v>15</v>
      </c>
    </row>
    <row r="12" customFormat="false" ht="30" hidden="false" customHeight="true" outlineLevel="0" collapsed="false">
      <c r="B12" s="7" t="s">
        <v>16</v>
      </c>
      <c r="C12" s="8" t="s">
        <v>17</v>
      </c>
    </row>
    <row r="13" customFormat="false" ht="18" hidden="false" customHeight="true" outlineLevel="0" collapsed="false">
      <c r="B13" s="7" t="s">
        <v>18</v>
      </c>
      <c r="C13" s="8" t="s">
        <v>19</v>
      </c>
    </row>
    <row r="14" customFormat="false" ht="18" hidden="false" customHeight="true" outlineLevel="0" collapsed="false">
      <c r="B14" s="7" t="s">
        <v>20</v>
      </c>
      <c r="C14" s="8" t="s">
        <v>21</v>
      </c>
    </row>
    <row r="15" customFormat="false" ht="18" hidden="false" customHeight="true" outlineLevel="0" collapsed="false">
      <c r="B15" s="7" t="s">
        <v>22</v>
      </c>
      <c r="C15" s="8" t="s">
        <v>23</v>
      </c>
    </row>
    <row r="16" customFormat="false" ht="18" hidden="false" customHeight="true" outlineLevel="0" collapsed="false">
      <c r="B16" s="7" t="s">
        <v>24</v>
      </c>
      <c r="C16" s="8" t="s">
        <v>25</v>
      </c>
    </row>
    <row r="17" customFormat="false" ht="18" hidden="false" customHeight="true" outlineLevel="0" collapsed="false">
      <c r="B17" s="7" t="s">
        <v>26</v>
      </c>
      <c r="C17" s="8" t="s">
        <v>27</v>
      </c>
    </row>
    <row r="18" customFormat="false" ht="21.75" hidden="false" customHeight="true" outlineLevel="0" collapsed="false">
      <c r="B18" s="11" t="s">
        <v>28</v>
      </c>
      <c r="C18" s="12"/>
    </row>
    <row r="19" customFormat="false" ht="30" hidden="false" customHeight="true" outlineLevel="0" collapsed="false">
      <c r="B19" s="13" t="s">
        <v>29</v>
      </c>
      <c r="C19" s="8" t="s">
        <v>30</v>
      </c>
    </row>
    <row r="20" customFormat="false" ht="30" hidden="false" customHeight="true" outlineLevel="0" collapsed="false">
      <c r="B20" s="13" t="s">
        <v>31</v>
      </c>
      <c r="C20" s="8" t="s">
        <v>32</v>
      </c>
    </row>
    <row r="21" customFormat="false" ht="18" hidden="false" customHeight="true" outlineLevel="0" collapsed="false">
      <c r="B21" s="13" t="s">
        <v>33</v>
      </c>
      <c r="C21" s="8" t="s">
        <v>34</v>
      </c>
    </row>
    <row r="22" customFormat="false" ht="18" hidden="false" customHeight="true" outlineLevel="0" collapsed="false">
      <c r="B22" s="13" t="s">
        <v>35</v>
      </c>
      <c r="C22" s="8" t="s">
        <v>36</v>
      </c>
    </row>
    <row r="23" customFormat="false" ht="21.75" hidden="false" customHeight="true" outlineLevel="0" collapsed="false">
      <c r="B23" s="14" t="s">
        <v>37</v>
      </c>
      <c r="C23" s="15"/>
    </row>
    <row r="24" customFormat="false" ht="30" hidden="false" customHeight="true" outlineLevel="0" collapsed="false">
      <c r="B24" s="13" t="s">
        <v>38</v>
      </c>
      <c r="C24" s="8" t="s">
        <v>39</v>
      </c>
    </row>
    <row r="25" customFormat="false" ht="18" hidden="false" customHeight="true" outlineLevel="0" collapsed="false">
      <c r="B25" s="13" t="s">
        <v>40</v>
      </c>
      <c r="C25" s="8" t="s">
        <v>41</v>
      </c>
    </row>
    <row r="26" customFormat="false" ht="18" hidden="false" customHeight="true" outlineLevel="0" collapsed="false">
      <c r="B26" s="13" t="s">
        <v>42</v>
      </c>
      <c r="C26" s="8" t="s">
        <v>43</v>
      </c>
    </row>
    <row r="27" customFormat="false" ht="18" hidden="false" customHeight="true" outlineLevel="0" collapsed="false">
      <c r="B27" s="13" t="s">
        <v>44</v>
      </c>
      <c r="C27" s="8" t="s">
        <v>45</v>
      </c>
    </row>
    <row r="28" customFormat="false" ht="21.75" hidden="false" customHeight="true" outlineLevel="0" collapsed="false">
      <c r="B28" s="16" t="s">
        <v>46</v>
      </c>
      <c r="C28" s="17"/>
    </row>
    <row r="29" customFormat="false" ht="18" hidden="false" customHeight="true" outlineLevel="0" collapsed="false">
      <c r="B29" s="13" t="s">
        <v>47</v>
      </c>
      <c r="C29" s="8" t="s">
        <v>48</v>
      </c>
    </row>
    <row r="30" customFormat="false" ht="18" hidden="false" customHeight="true" outlineLevel="0" collapsed="false">
      <c r="B30" s="13" t="s">
        <v>49</v>
      </c>
      <c r="C30" s="8" t="s">
        <v>50</v>
      </c>
    </row>
    <row r="31" customFormat="false" ht="18" hidden="false" customHeight="true" outlineLevel="0" collapsed="false">
      <c r="B31" s="13" t="s">
        <v>51</v>
      </c>
      <c r="C31" s="8" t="s">
        <v>52</v>
      </c>
    </row>
    <row r="32" customFormat="false" ht="18" hidden="false" customHeight="true" outlineLevel="0" collapsed="false">
      <c r="B32" s="13" t="s">
        <v>53</v>
      </c>
      <c r="C32" s="8" t="s">
        <v>54</v>
      </c>
    </row>
    <row r="33" customFormat="false" ht="18" hidden="false" customHeight="true" outlineLevel="0" collapsed="false">
      <c r="B33" s="13" t="s">
        <v>55</v>
      </c>
      <c r="C33" s="8" t="s">
        <v>56</v>
      </c>
    </row>
    <row r="34" customFormat="false" ht="18" hidden="false" customHeight="true" outlineLevel="0" collapsed="false">
      <c r="B34" s="13" t="s">
        <v>57</v>
      </c>
      <c r="C34" s="8" t="s">
        <v>58</v>
      </c>
    </row>
    <row r="35" customFormat="false" ht="21.75" hidden="false" customHeight="true" outlineLevel="0" collapsed="false">
      <c r="B35" s="18" t="s">
        <v>59</v>
      </c>
      <c r="C35" s="1"/>
    </row>
    <row r="36" customFormat="false" ht="18" hidden="false" customHeight="true" outlineLevel="0" collapsed="false">
      <c r="B36" s="13" t="s">
        <v>60</v>
      </c>
      <c r="C36" s="8" t="s">
        <v>61</v>
      </c>
    </row>
    <row r="37" customFormat="false" ht="30" hidden="false" customHeight="true" outlineLevel="0" collapsed="false">
      <c r="B37" s="13" t="s">
        <v>62</v>
      </c>
      <c r="C37" s="8" t="s">
        <v>63</v>
      </c>
    </row>
    <row r="38" customFormat="false" ht="18" hidden="false" customHeight="true" outlineLevel="0" collapsed="false">
      <c r="B38" s="13" t="s">
        <v>64</v>
      </c>
      <c r="C38" s="8" t="s">
        <v>65</v>
      </c>
    </row>
    <row r="39" customFormat="false" ht="30" hidden="false" customHeight="true" outlineLevel="0" collapsed="false">
      <c r="B39" s="13" t="s">
        <v>66</v>
      </c>
      <c r="C39" s="8" t="s">
        <v>67</v>
      </c>
    </row>
    <row r="40" customFormat="false" ht="30" hidden="false" customHeight="true" outlineLevel="0" collapsed="false">
      <c r="B40" s="13" t="s">
        <v>68</v>
      </c>
      <c r="C40" s="8" t="s">
        <v>69</v>
      </c>
    </row>
    <row r="41" customFormat="false" ht="18" hidden="false" customHeight="true" outlineLevel="0" collapsed="false">
      <c r="B41" s="13" t="s">
        <v>70</v>
      </c>
      <c r="C41" s="8" t="s">
        <v>71</v>
      </c>
    </row>
  </sheetData>
  <hyperlinks>
    <hyperlink ref="B5" r:id="rId1" location="'Settings'!A1" display="1. Settings"/>
    <hyperlink ref="B6" r:id="rId2" location="'Lists'!A1" display="2. Lists"/>
    <hyperlink ref="B7" r:id="rId3" location="'Journal'!A1" display="3. Clear the sample"/>
    <hyperlink ref="B9" r:id="rId4" location="'Dashboard'!A1" display="Dashboard"/>
    <hyperlink ref="B10" r:id="rId5" location="'Journal'!A1" display="Journal"/>
    <hyperlink ref="B11" r:id="rId6" location="'Daily%20Journal'!A1" display="Daily Journal"/>
    <hyperlink ref="B12" r:id="rId7" location="'Analytics'!A1" display="Analytics"/>
    <hyperlink ref="B13" r:id="rId8" location="'Weekly%20Review'!A1" display="Weekly Review"/>
    <hyperlink ref="B14" r:id="rId9" location="'Goals%20&amp;%20Prop'!A1" display="Goals &amp; Prop"/>
    <hyperlink ref="B15" r:id="rId10" location="'Playbook'!A1" display="Playbook"/>
    <hyperlink ref="B16" r:id="rId11" location="'Backtest'!A1" display="Backtest"/>
    <hyperlink ref="B17" r:id="rId12" location="'Chart%20Data'!A1" display="Chart 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83A"/>
    <pageSetUpPr fitToPage="true"/>
  </sheetPr>
  <dimension ref="A1:N9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</cols>
  <sheetData>
    <row r="1" customFormat="false" ht="42" hidden="false" customHeight="true" outlineLevel="0" collapsed="false">
      <c r="A1" s="6"/>
      <c r="B1" s="19" t="s">
        <v>72</v>
      </c>
      <c r="C1" s="6"/>
      <c r="D1" s="6"/>
      <c r="E1" s="6"/>
      <c r="F1" s="6"/>
      <c r="G1" s="6"/>
      <c r="H1" s="6"/>
      <c r="I1" s="6"/>
      <c r="J1" s="20" t="s">
        <v>73</v>
      </c>
      <c r="K1" s="20"/>
      <c r="L1" s="21" t="s">
        <v>74</v>
      </c>
      <c r="M1" s="21"/>
      <c r="N1" s="6"/>
    </row>
    <row r="2" customFormat="false" ht="19.5" hidden="false" customHeight="true" outlineLevel="0" collapsed="false">
      <c r="A2" s="6"/>
      <c r="B2" s="22" t="str">
        <f aca="false">"Closed trades in view: "&amp;'Chart Data'!$C$5&amp;"     |     Journal start: "&amp;TEXT(Settings!$C$7,"dd mmm yyyy")&amp;"     |     Updates automatically from the Journal tab"</f>
        <v>Closed trades in view: 1     |     Journal start: 28 Sep 2026     |     Updates automatically from the Journal tab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4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1.75" hidden="false" customHeight="true" outlineLevel="0" collapsed="false">
      <c r="A4" s="23"/>
      <c r="B4" s="5" t="s">
        <v>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3"/>
    </row>
    <row r="5" customFormat="false" ht="19.5" hidden="false" customHeight="true" outlineLevel="0" collapsed="false">
      <c r="A5" s="23"/>
      <c r="B5" s="24" t="s">
        <v>76</v>
      </c>
      <c r="C5" s="24"/>
      <c r="D5" s="25" t="s">
        <v>77</v>
      </c>
      <c r="E5" s="25"/>
      <c r="F5" s="26" t="s">
        <v>78</v>
      </c>
      <c r="G5" s="26"/>
      <c r="H5" s="27" t="s">
        <v>79</v>
      </c>
      <c r="I5" s="27"/>
      <c r="J5" s="28" t="s">
        <v>80</v>
      </c>
      <c r="K5" s="28"/>
      <c r="L5" s="24" t="s">
        <v>81</v>
      </c>
      <c r="M5" s="24"/>
      <c r="N5" s="23"/>
    </row>
    <row r="6" customFormat="false" ht="39.75" hidden="false" customHeight="true" outlineLevel="0" collapsed="false">
      <c r="A6" s="23"/>
      <c r="B6" s="29" t="n">
        <f aca="false">'Chart Data'!$C$9</f>
        <v>229.5</v>
      </c>
      <c r="C6" s="29"/>
      <c r="D6" s="30" t="n">
        <f aca="false">'Chart Data'!$C$18</f>
        <v>60229.5</v>
      </c>
      <c r="E6" s="30"/>
      <c r="F6" s="31" t="n">
        <f aca="false">IFERROR('Chart Data'!$C$9/'Chart Data'!$C$17,0)</f>
        <v>0.003825</v>
      </c>
      <c r="G6" s="31"/>
      <c r="H6" s="32" t="n">
        <f aca="false">IFERROR('Chart Data'!$C$6/'Chart Data'!$C$5,0)</f>
        <v>1</v>
      </c>
      <c r="I6" s="32"/>
      <c r="J6" s="33" t="str">
        <f aca="false">IF('Chart Data'!$C$11=0,"-",'Chart Data'!$C$10/'Chart Data'!$C$11)</f>
        <v>-</v>
      </c>
      <c r="K6" s="33"/>
      <c r="L6" s="34" t="n">
        <f aca="false">IFERROR('Chart Data'!$C$12/'Chart Data'!$C$5,0)</f>
        <v>2.33</v>
      </c>
      <c r="M6" s="34"/>
      <c r="N6" s="23"/>
    </row>
    <row r="7" customFormat="false" ht="18" hidden="false" customHeight="true" outlineLevel="0" collapsed="false">
      <c r="A7" s="23"/>
      <c r="B7" s="35" t="str">
        <f aca="false">"Profit "&amp;TEXT('Chart Data'!$C$10,"$#,##0")&amp;"  |  Loss "&amp;TEXT('Chart Data'!$C$11,"$#,##0")</f>
        <v>Profit $230  |  Loss $0</v>
      </c>
      <c r="C7" s="35"/>
      <c r="D7" s="35" t="str">
        <f aca="false">"Start "&amp;TEXT('Chart Data'!$C$17,"$#,##0")</f>
        <v>Start $60,000</v>
      </c>
      <c r="E7" s="35"/>
      <c r="F7" s="35" t="s">
        <v>82</v>
      </c>
      <c r="G7" s="35"/>
      <c r="H7" s="35" t="str">
        <f aca="false">"W "&amp;'Chart Data'!$C$6&amp;"  /  L "&amp;'Chart Data'!$C$7&amp;"  /  BE "&amp;'Chart Data'!$C$8</f>
        <v>W 1  /  L 0  /  BE 0</v>
      </c>
      <c r="I7" s="35"/>
      <c r="J7" s="35" t="s">
        <v>83</v>
      </c>
      <c r="K7" s="35"/>
      <c r="L7" s="35" t="s">
        <v>84</v>
      </c>
      <c r="M7" s="35"/>
      <c r="N7" s="23"/>
    </row>
    <row r="8" customFormat="false" ht="7.5" hidden="false" customHeight="true" outlineLevel="0" collapsed="false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customFormat="false" ht="19.5" hidden="false" customHeight="true" outlineLevel="0" collapsed="false">
      <c r="A9" s="23"/>
      <c r="B9" s="25" t="s">
        <v>85</v>
      </c>
      <c r="C9" s="25"/>
      <c r="D9" s="36" t="s">
        <v>86</v>
      </c>
      <c r="E9" s="36"/>
      <c r="F9" s="24" t="s">
        <v>87</v>
      </c>
      <c r="G9" s="24"/>
      <c r="H9" s="36" t="s">
        <v>88</v>
      </c>
      <c r="I9" s="36"/>
      <c r="J9" s="26" t="s">
        <v>89</v>
      </c>
      <c r="K9" s="26"/>
      <c r="L9" s="37" t="s">
        <v>90</v>
      </c>
      <c r="M9" s="37"/>
      <c r="N9" s="23"/>
    </row>
    <row r="10" customFormat="false" ht="39.75" hidden="false" customHeight="true" outlineLevel="0" collapsed="false">
      <c r="A10" s="23"/>
      <c r="B10" s="38" t="n">
        <f aca="false">'Chart Data'!$C$5</f>
        <v>1</v>
      </c>
      <c r="C10" s="38"/>
      <c r="D10" s="31" t="n">
        <f aca="false">'Chart Data'!$C$19</f>
        <v>0</v>
      </c>
      <c r="E10" s="31"/>
      <c r="F10" s="39" t="n">
        <f aca="false">'Chart Data'!$C$13</f>
        <v>2.33</v>
      </c>
      <c r="G10" s="39"/>
      <c r="H10" s="40" t="n">
        <f aca="false">'Chart Data'!$C$14</f>
        <v>0</v>
      </c>
      <c r="I10" s="40"/>
      <c r="J10" s="33" t="n">
        <f aca="false">IFERROR('Chart Data'!$C$13/ABS('Chart Data'!$C$14),0)</f>
        <v>0</v>
      </c>
      <c r="K10" s="33"/>
      <c r="L10" s="39" t="n">
        <f aca="false">'Chart Data'!$C$15</f>
        <v>2.33</v>
      </c>
      <c r="M10" s="39"/>
      <c r="N10" s="23"/>
    </row>
    <row r="11" customFormat="false" ht="18" hidden="false" customHeight="true" outlineLevel="0" collapsed="false">
      <c r="A11" s="23"/>
      <c r="B11" s="35" t="s">
        <v>91</v>
      </c>
      <c r="C11" s="35"/>
      <c r="D11" s="35" t="s">
        <v>92</v>
      </c>
      <c r="E11" s="35"/>
      <c r="F11" s="35" t="s">
        <v>93</v>
      </c>
      <c r="G11" s="35"/>
      <c r="H11" s="35" t="s">
        <v>94</v>
      </c>
      <c r="I11" s="35"/>
      <c r="J11" s="35" t="s">
        <v>95</v>
      </c>
      <c r="K11" s="35"/>
      <c r="L11" s="35" t="str">
        <f aca="false">"Worst "&amp;TEXT('Chart Data'!$C$16,"0.00")&amp;"R"</f>
        <v>Worst 2.33R</v>
      </c>
      <c r="M11" s="35"/>
      <c r="N11" s="23"/>
    </row>
    <row r="12" customFormat="false" ht="7.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customFormat="false" ht="21.75" hidden="false" customHeight="true" outlineLevel="0" collapsed="false">
      <c r="A13" s="23"/>
      <c r="B13" s="5" t="s">
        <v>96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3"/>
    </row>
    <row r="14" customFormat="false" ht="19.5" hidden="false" customHeight="true" outlineLevel="0" collapsed="false">
      <c r="A14" s="23"/>
      <c r="B14" s="24" t="s">
        <v>97</v>
      </c>
      <c r="C14" s="24"/>
      <c r="D14" s="36" t="s">
        <v>98</v>
      </c>
      <c r="E14" s="36"/>
      <c r="F14" s="27" t="s">
        <v>99</v>
      </c>
      <c r="G14" s="27"/>
      <c r="H14" s="26" t="s">
        <v>100</v>
      </c>
      <c r="I14" s="26"/>
      <c r="J14" s="24" t="s">
        <v>101</v>
      </c>
      <c r="K14" s="24"/>
      <c r="L14" s="36" t="s">
        <v>102</v>
      </c>
      <c r="M14" s="36"/>
      <c r="N14" s="23"/>
    </row>
    <row r="15" customFormat="false" ht="39.75" hidden="false" customHeight="true" outlineLevel="0" collapsed="false">
      <c r="A15" s="23"/>
      <c r="B15" s="41" t="n">
        <f aca="false">IFERROR('Chart Data'!$C$20/('Chart Data'!$C$20+'Chart Data'!$C$21),0)</f>
        <v>1</v>
      </c>
      <c r="C15" s="41"/>
      <c r="D15" s="38" t="n">
        <f aca="false">'Chart Data'!$C$22</f>
        <v>0</v>
      </c>
      <c r="E15" s="38"/>
      <c r="F15" s="41" t="n">
        <f aca="false">IF(N(Analytics!$C$87)=0,0,Analytics!$G$87)</f>
        <v>1</v>
      </c>
      <c r="G15" s="41"/>
      <c r="H15" s="41" t="n">
        <f aca="false">IF(N(Analytics!$C$73)=0,0,Analytics!$G$73)</f>
        <v>1</v>
      </c>
      <c r="I15" s="41"/>
      <c r="J15" s="38" t="n">
        <f aca="false">'Chart Data'!$C$24</f>
        <v>1</v>
      </c>
      <c r="K15" s="38"/>
      <c r="L15" s="38" t="n">
        <f aca="false">'Chart Data'!$C$25</f>
        <v>0</v>
      </c>
      <c r="M15" s="38"/>
      <c r="N15" s="23"/>
    </row>
    <row r="16" customFormat="false" ht="18" hidden="false" customHeight="true" outlineLevel="0" collapsed="false">
      <c r="A16" s="23"/>
      <c r="B16" s="35" t="str">
        <f aca="false">"Yes "&amp;'Chart Data'!$C$20&amp;"  /  No "&amp;'Chart Data'!$C$21</f>
        <v>Yes 1  /  No 0</v>
      </c>
      <c r="C16" s="35"/>
      <c r="D16" s="35" t="str">
        <f aca="false">TEXT(IFERROR('Chart Data'!$C$22/'Chart Data'!$C$5,0),"0%")&amp;" of trades flagged"</f>
        <v>0% of trades flagged</v>
      </c>
      <c r="E16" s="35"/>
      <c r="F16" s="35" t="str">
        <f aca="false">N(Analytics!$C$87)&amp;" A+ trades"</f>
        <v>1 A+ trades</v>
      </c>
      <c r="G16" s="35"/>
      <c r="H16" s="35" t="str">
        <f aca="false">N(Analytics!$C$73)&amp;" sweep trades"</f>
        <v>1 sweep trades</v>
      </c>
      <c r="I16" s="35"/>
      <c r="J16" s="35" t="s">
        <v>103</v>
      </c>
      <c r="K16" s="35"/>
      <c r="L16" s="35" t="str">
        <f aca="false">"Avg planned RR "&amp;TEXT('Chart Data'!$C$23,"0.0")&amp;"R"</f>
        <v>Avg planned RR 3.0R</v>
      </c>
      <c r="M16" s="35"/>
      <c r="N16" s="23"/>
    </row>
    <row r="17" customFormat="false" ht="7.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customFormat="false" ht="21.75" hidden="false" customHeight="true" outlineLevel="0" collapsed="false">
      <c r="A18" s="23"/>
      <c r="B18" s="5" t="s">
        <v>104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3"/>
    </row>
    <row r="19" customFormat="false" ht="19.5" hidden="false" customHeight="true" outlineLevel="0" collapsed="false">
      <c r="A19" s="23"/>
      <c r="B19" s="24" t="s">
        <v>105</v>
      </c>
      <c r="C19" s="24"/>
      <c r="D19" s="24" t="s">
        <v>106</v>
      </c>
      <c r="E19" s="24"/>
      <c r="F19" s="24" t="s">
        <v>107</v>
      </c>
      <c r="G19" s="24"/>
      <c r="H19" s="24" t="s">
        <v>108</v>
      </c>
      <c r="I19" s="24"/>
      <c r="J19" s="36" t="s">
        <v>109</v>
      </c>
      <c r="K19" s="36"/>
      <c r="L19" s="36" t="s">
        <v>110</v>
      </c>
      <c r="M19" s="36"/>
      <c r="N19" s="23"/>
    </row>
    <row r="20" customFormat="false" ht="39.75" hidden="false" customHeight="true" outlineLevel="0" collapsed="false">
      <c r="A20" s="23"/>
      <c r="B20" s="42" t="str">
        <f aca="false">'Chart Data'!$C$28</f>
        <v>London</v>
      </c>
      <c r="C20" s="42"/>
      <c r="D20" s="42" t="str">
        <f aca="false">'Chart Data'!$C$30</f>
        <v>Liquidity Sweep Reversal</v>
      </c>
      <c r="E20" s="42"/>
      <c r="F20" s="42" t="str">
        <f aca="false">'Chart Data'!$C$32</f>
        <v>XAUUSD</v>
      </c>
      <c r="G20" s="42"/>
      <c r="H20" s="42" t="str">
        <f aca="false">'Chart Data'!$C$34</f>
        <v>Mon</v>
      </c>
      <c r="I20" s="42"/>
      <c r="J20" s="42" t="str">
        <f aca="false">'Chart Data'!$C$36</f>
        <v>None yet</v>
      </c>
      <c r="K20" s="42"/>
      <c r="L20" s="42" t="str">
        <f aca="false">'Chart Data'!$C$38</f>
        <v>None yet</v>
      </c>
      <c r="M20" s="42"/>
      <c r="N20" s="23"/>
    </row>
    <row r="21" customFormat="false" ht="18" hidden="false" customHeight="true" outlineLevel="0" collapsed="false">
      <c r="A21" s="23"/>
      <c r="B21" s="35" t="str">
        <f aca="false">"Net "&amp;TEXT('Chart Data'!$C$29,"$#,##0;-$#,##0")</f>
        <v>Net $230</v>
      </c>
      <c r="C21" s="35"/>
      <c r="D21" s="35" t="str">
        <f aca="false">"Net "&amp;TEXT('Chart Data'!$C$31,"$#,##0;-$#,##0")</f>
        <v>Net $230</v>
      </c>
      <c r="E21" s="35"/>
      <c r="F21" s="35" t="str">
        <f aca="false">"Net "&amp;TEXT('Chart Data'!$C$33,"$#,##0;-$#,##0")</f>
        <v>Net $230</v>
      </c>
      <c r="G21" s="35"/>
      <c r="H21" s="35" t="str">
        <f aca="false">"Net "&amp;TEXT('Chart Data'!$C$35,"$#,##0;-$#,##0")</f>
        <v>Net $230</v>
      </c>
      <c r="I21" s="35"/>
      <c r="J21" s="35" t="str">
        <f aca="false">"Net "&amp;TEXT('Chart Data'!$C$37,"$#,##0;-$#,##0")</f>
        <v>Net $0</v>
      </c>
      <c r="K21" s="35"/>
      <c r="L21" s="35" t="str">
        <f aca="false">"Net "&amp;TEXT('Chart Data'!$C$39,"$#,##0;-$#,##0")</f>
        <v>Net $0</v>
      </c>
      <c r="M21" s="35"/>
      <c r="N21" s="23"/>
    </row>
    <row r="22" customFormat="false" ht="7.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customFormat="false" ht="21.75" hidden="false" customHeight="true" outlineLevel="0" collapsed="false">
      <c r="A23" s="23"/>
      <c r="B23" s="43" t="str">
        <f aca="false">"PROP CHALLENGE  -  "&amp;'Goals &amp; Prop'!$C$6&amp;"  -  "&amp;'Goals &amp; Prop'!$C$22</f>
        <v>PROP CHALLENGE  -  Prop Challenge  -  ON TRACK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23"/>
    </row>
    <row r="24" customFormat="false" ht="19.5" hidden="false" customHeight="true" outlineLevel="0" collapsed="false">
      <c r="A24" s="23"/>
      <c r="B24" s="24" t="s">
        <v>111</v>
      </c>
      <c r="C24" s="24"/>
      <c r="D24" s="24"/>
      <c r="E24" s="24"/>
      <c r="F24" s="28" t="s">
        <v>112</v>
      </c>
      <c r="G24" s="28"/>
      <c r="H24" s="28"/>
      <c r="I24" s="28"/>
      <c r="J24" s="36" t="s">
        <v>113</v>
      </c>
      <c r="K24" s="36"/>
      <c r="L24" s="36"/>
      <c r="M24" s="36"/>
      <c r="N24" s="23"/>
    </row>
    <row r="25" customFormat="false" ht="39.75" hidden="false" customHeight="true" outlineLevel="0" collapsed="false">
      <c r="A25" s="23"/>
      <c r="B25" s="41" t="n">
        <f aca="false">'Goals &amp; Prop'!$C$12</f>
        <v>0</v>
      </c>
      <c r="C25" s="41"/>
      <c r="D25" s="41"/>
      <c r="E25" s="41"/>
      <c r="F25" s="41" t="n">
        <f aca="false">'Goals &amp; Prop'!$C$16</f>
        <v>-0</v>
      </c>
      <c r="G25" s="41"/>
      <c r="H25" s="41"/>
      <c r="I25" s="41"/>
      <c r="J25" s="41" t="n">
        <f aca="false">'Goals &amp; Prop'!$C$19</f>
        <v>-0</v>
      </c>
      <c r="K25" s="41"/>
      <c r="L25" s="41"/>
      <c r="M25" s="41"/>
      <c r="N25" s="23"/>
    </row>
    <row r="26" customFormat="false" ht="18" hidden="false" customHeight="true" outlineLevel="0" collapsed="false">
      <c r="A26" s="23"/>
      <c r="B26" s="45" t="str">
        <f aca="false">REPT("█",ROUND('Goals &amp; Prop'!$C$12*24,0))&amp;REPT("░",24-ROUND('Goals &amp; Prop'!$C$12*24,0))</f>
        <v>░░░░░░░░░░░░░░░░░░░░░░░░</v>
      </c>
      <c r="C26" s="45"/>
      <c r="D26" s="45"/>
      <c r="E26" s="45"/>
      <c r="F26" s="45" t="str">
        <f aca="false">REPT("█",ROUND('Goals &amp; Prop'!$C$16*24,0))&amp;REPT("░",24-ROUND('Goals &amp; Prop'!$C$16*24,0))</f>
        <v>░░░░░░░░░░░░░░░░░░░░░░░░</v>
      </c>
      <c r="G26" s="45"/>
      <c r="H26" s="45"/>
      <c r="I26" s="45"/>
      <c r="J26" s="45" t="str">
        <f aca="false">REPT("█",ROUND('Goals &amp; Prop'!$C$19*24,0))&amp;REPT("░",24-ROUND('Goals &amp; Prop'!$C$19*24,0))</f>
        <v>░░░░░░░░░░░░░░░░░░░░░░░░</v>
      </c>
      <c r="K26" s="45"/>
      <c r="L26" s="45"/>
      <c r="M26" s="45"/>
      <c r="N26" s="23"/>
    </row>
    <row r="27" customFormat="false" ht="21.75" hidden="false" customHeight="true" outlineLevel="0" collapsed="false">
      <c r="A27" s="23"/>
      <c r="B27" s="5" t="s">
        <v>114</v>
      </c>
      <c r="C27" s="6"/>
      <c r="D27" s="6"/>
      <c r="E27" s="6"/>
      <c r="F27" s="6"/>
      <c r="G27" s="6"/>
      <c r="H27" s="6"/>
      <c r="I27" s="6"/>
      <c r="J27" s="46" t="s">
        <v>115</v>
      </c>
      <c r="K27" s="46"/>
      <c r="L27" s="47" t="n">
        <v>1</v>
      </c>
      <c r="M27" s="48" t="s">
        <v>116</v>
      </c>
      <c r="N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</row>
  </sheetData>
  <mergeCells count="84">
    <mergeCell ref="J1:K1"/>
    <mergeCell ref="L1:M1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1:C11"/>
    <mergeCell ref="D11:E11"/>
    <mergeCell ref="F11:G11"/>
    <mergeCell ref="H11:I11"/>
    <mergeCell ref="J11:K11"/>
    <mergeCell ref="L11:M11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L20:M20"/>
    <mergeCell ref="B21:C21"/>
    <mergeCell ref="D21:E21"/>
    <mergeCell ref="F21:G21"/>
    <mergeCell ref="H21:I21"/>
    <mergeCell ref="J21:K21"/>
    <mergeCell ref="L21:M21"/>
    <mergeCell ref="B24:E24"/>
    <mergeCell ref="F24:I24"/>
    <mergeCell ref="J24:M24"/>
    <mergeCell ref="B25:E25"/>
    <mergeCell ref="F25:I25"/>
    <mergeCell ref="J25:M25"/>
    <mergeCell ref="B26:E26"/>
    <mergeCell ref="F26:I26"/>
    <mergeCell ref="J26:M26"/>
    <mergeCell ref="J27:K27"/>
  </mergeCells>
  <conditionalFormatting sqref="F26">
    <cfRule type="expression" priority="2" aboveAverage="0" equalAverage="0" bottom="0" percent="0" rank="0" text="" dxfId="0">
      <formula>$F$25&gt;=0.85</formula>
    </cfRule>
    <cfRule type="expression" priority="3" aboveAverage="0" equalAverage="0" bottom="0" percent="0" rank="0" text="" dxfId="1">
      <formula>$F$25&gt;=0.6</formula>
    </cfRule>
  </conditionalFormatting>
  <conditionalFormatting sqref="J26">
    <cfRule type="expression" priority="4" aboveAverage="0" equalAverage="0" bottom="0" percent="0" rank="0" text="" dxfId="0">
      <formula>$J$25&gt;=0.85</formula>
    </cfRule>
    <cfRule type="expression" priority="5" aboveAverage="0" equalAverage="0" bottom="0" percent="0" rank="0" text="" dxfId="1">
      <formula>$J$25&gt;=0.6</formula>
    </cfRule>
  </conditionalFormatting>
  <dataValidations count="1">
    <dataValidation allowBlank="false" errorStyle="stop" operator="between" showDropDown="false" showErrorMessage="false" showInputMessage="false" sqref="L1" type="list">
      <formula1>Lists!$O$6:$O$12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FA8"/>
    <pageSetUpPr fitToPage="false"/>
  </sheetPr>
  <dimension ref="A1:BV50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5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7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50"/>
    <col collapsed="false" customWidth="true" hidden="false" outlineLevel="0" max="17" min="17" style="0" width="13"/>
    <col collapsed="false" customWidth="true" hidden="false" outlineLevel="0" max="20" min="18" style="0" width="12"/>
    <col collapsed="false" customWidth="true" hidden="false" outlineLevel="0" max="22" min="21" style="0" width="11"/>
    <col collapsed="false" customWidth="true" hidden="false" outlineLevel="0" max="24" min="23" style="0" width="10"/>
    <col collapsed="false" customWidth="true" hidden="false" outlineLevel="0" max="25" min="25" style="0" width="9"/>
    <col collapsed="false" customWidth="true" hidden="false" outlineLevel="0" max="31" min="26" style="0" width="11"/>
    <col collapsed="false" customWidth="true" hidden="false" outlineLevel="0" max="32" min="32" style="0" width="9"/>
    <col collapsed="false" customWidth="true" hidden="false" outlineLevel="0" max="33" min="33" style="0" width="8"/>
    <col collapsed="false" customWidth="true" hidden="false" outlineLevel="0" max="34" min="34" style="0" width="9"/>
    <col collapsed="false" customWidth="true" hidden="false" outlineLevel="0" max="37" min="35" style="0" width="10"/>
    <col collapsed="false" customWidth="true" hidden="false" outlineLevel="0" max="38" min="38" style="0" width="9"/>
    <col collapsed="false" customWidth="true" hidden="false" outlineLevel="0" max="39" min="39" style="0" width="12"/>
    <col collapsed="false" customWidth="true" hidden="false" outlineLevel="0" max="40" min="40" style="0" width="13"/>
    <col collapsed="false" customWidth="true" hidden="false" outlineLevel="0" max="41" min="41" style="0" width="9"/>
    <col collapsed="false" customWidth="true" hidden="false" outlineLevel="0" max="42" min="42" style="0" width="10"/>
    <col collapsed="false" customWidth="true" hidden="false" outlineLevel="0" max="43" min="43" style="0" width="9"/>
    <col collapsed="false" customWidth="true" hidden="false" outlineLevel="0" max="44" min="44" style="0" width="12"/>
    <col collapsed="false" customWidth="true" hidden="false" outlineLevel="0" max="45" min="45" style="0" width="8"/>
    <col collapsed="false" customWidth="true" hidden="false" outlineLevel="0" max="46" min="46" style="0" width="12"/>
    <col collapsed="false" customWidth="true" hidden="false" outlineLevel="0" max="47" min="47" style="0" width="9"/>
    <col collapsed="false" customWidth="true" hidden="false" outlineLevel="0" max="48" min="48" style="0" width="10"/>
    <col collapsed="false" customWidth="true" hidden="false" outlineLevel="0" max="49" min="49" style="0" width="13"/>
    <col collapsed="false" customWidth="true" hidden="false" outlineLevel="0" max="50" min="50" style="0" width="9"/>
    <col collapsed="false" customWidth="true" hidden="false" outlineLevel="0" max="53" min="51" style="0" width="12"/>
    <col collapsed="false" customWidth="true" hidden="false" outlineLevel="0" max="54" min="54" style="0" width="16"/>
    <col collapsed="false" customWidth="true" hidden="false" outlineLevel="0" max="55" min="55" style="0" width="17"/>
    <col collapsed="false" customWidth="true" hidden="false" outlineLevel="0" max="56" min="56" style="0" width="10"/>
    <col collapsed="false" customWidth="true" hidden="false" outlineLevel="0" max="57" min="57" style="0" width="20"/>
    <col collapsed="false" customWidth="true" hidden="false" outlineLevel="0" max="59" min="58" style="0" width="9"/>
    <col collapsed="false" customWidth="true" hidden="false" outlineLevel="0" max="60" min="60" style="0" width="26"/>
    <col collapsed="false" customWidth="true" hidden="false" outlineLevel="0" max="61" min="61" style="0" width="50"/>
    <col collapsed="false" customWidth="true" hidden="true" outlineLevel="1" max="74" min="62" style="0" width="14"/>
  </cols>
  <sheetData>
    <row r="1" customFormat="false" ht="33.75" hidden="false" customHeight="true" outlineLevel="0" collapsed="false">
      <c r="A1" s="49" t="s">
        <v>117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 customFormat="false" ht="18" hidden="false" customHeight="true" outlineLevel="0" collapsed="false">
      <c r="A2" s="22" t="s">
        <v>118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</row>
    <row r="4" customFormat="false" ht="21.75" hidden="false" customHeight="true" outlineLevel="0" collapsed="false">
      <c r="A4" s="50" t="s">
        <v>119</v>
      </c>
      <c r="B4" s="50"/>
      <c r="C4" s="50"/>
      <c r="D4" s="50"/>
      <c r="E4" s="50"/>
      <c r="F4" s="50"/>
      <c r="G4" s="50"/>
      <c r="H4" s="50"/>
      <c r="I4" s="50"/>
      <c r="J4" s="50"/>
      <c r="K4" s="51" t="s">
        <v>120</v>
      </c>
      <c r="L4" s="51"/>
      <c r="M4" s="51"/>
      <c r="N4" s="51"/>
      <c r="O4" s="51"/>
      <c r="P4" s="51"/>
      <c r="Q4" s="52" t="s">
        <v>121</v>
      </c>
      <c r="R4" s="52"/>
      <c r="S4" s="52"/>
      <c r="T4" s="52"/>
      <c r="U4" s="52"/>
      <c r="V4" s="52"/>
      <c r="W4" s="52"/>
      <c r="X4" s="52"/>
      <c r="Y4" s="52"/>
      <c r="Z4" s="53" t="s">
        <v>122</v>
      </c>
      <c r="AA4" s="53"/>
      <c r="AB4" s="53"/>
      <c r="AC4" s="53"/>
      <c r="AD4" s="53"/>
      <c r="AE4" s="53"/>
      <c r="AF4" s="53"/>
      <c r="AG4" s="53"/>
      <c r="AH4" s="53"/>
      <c r="AI4" s="54" t="s">
        <v>123</v>
      </c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5" t="s">
        <v>124</v>
      </c>
      <c r="AX4" s="55"/>
      <c r="AY4" s="55"/>
      <c r="AZ4" s="55"/>
      <c r="BA4" s="55"/>
      <c r="BB4" s="55"/>
      <c r="BC4" s="56" t="s">
        <v>125</v>
      </c>
      <c r="BD4" s="56"/>
      <c r="BE4" s="56"/>
      <c r="BF4" s="56"/>
      <c r="BG4" s="56"/>
      <c r="BH4" s="56"/>
      <c r="BI4" s="56"/>
      <c r="BJ4" s="57" t="s">
        <v>126</v>
      </c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</row>
    <row r="5" customFormat="false" ht="49.5" hidden="false" customHeight="true" outlineLevel="0" collapsed="false">
      <c r="A5" s="58" t="s">
        <v>127</v>
      </c>
      <c r="B5" s="58" t="s">
        <v>128</v>
      </c>
      <c r="C5" s="58" t="s">
        <v>129</v>
      </c>
      <c r="D5" s="58" t="s">
        <v>130</v>
      </c>
      <c r="E5" s="58" t="s">
        <v>131</v>
      </c>
      <c r="F5" s="58" t="s">
        <v>132</v>
      </c>
      <c r="G5" s="58" t="s">
        <v>133</v>
      </c>
      <c r="H5" s="58" t="s">
        <v>134</v>
      </c>
      <c r="I5" s="58" t="s">
        <v>135</v>
      </c>
      <c r="J5" s="58" t="s">
        <v>136</v>
      </c>
      <c r="K5" s="59" t="s">
        <v>137</v>
      </c>
      <c r="L5" s="59" t="s">
        <v>138</v>
      </c>
      <c r="M5" s="59" t="s">
        <v>139</v>
      </c>
      <c r="N5" s="59" t="s">
        <v>140</v>
      </c>
      <c r="O5" s="59" t="s">
        <v>141</v>
      </c>
      <c r="P5" s="59" t="s">
        <v>142</v>
      </c>
      <c r="Q5" s="60" t="s">
        <v>143</v>
      </c>
      <c r="R5" s="60" t="s">
        <v>144</v>
      </c>
      <c r="S5" s="60" t="s">
        <v>145</v>
      </c>
      <c r="T5" s="60" t="s">
        <v>146</v>
      </c>
      <c r="U5" s="60" t="s">
        <v>147</v>
      </c>
      <c r="V5" s="60" t="s">
        <v>148</v>
      </c>
      <c r="W5" s="60" t="s">
        <v>149</v>
      </c>
      <c r="X5" s="60" t="s">
        <v>150</v>
      </c>
      <c r="Y5" s="60" t="s">
        <v>151</v>
      </c>
      <c r="Z5" s="61" t="s">
        <v>152</v>
      </c>
      <c r="AA5" s="61" t="s">
        <v>153</v>
      </c>
      <c r="AB5" s="61" t="s">
        <v>154</v>
      </c>
      <c r="AC5" s="61" t="s">
        <v>155</v>
      </c>
      <c r="AD5" s="61" t="s">
        <v>156</v>
      </c>
      <c r="AE5" s="61" t="s">
        <v>157</v>
      </c>
      <c r="AF5" s="61" t="s">
        <v>158</v>
      </c>
      <c r="AG5" s="61" t="s">
        <v>159</v>
      </c>
      <c r="AH5" s="61" t="s">
        <v>160</v>
      </c>
      <c r="AI5" s="62" t="s">
        <v>161</v>
      </c>
      <c r="AJ5" s="62" t="s">
        <v>162</v>
      </c>
      <c r="AK5" s="62" t="s">
        <v>163</v>
      </c>
      <c r="AL5" s="62" t="s">
        <v>164</v>
      </c>
      <c r="AM5" s="62" t="s">
        <v>165</v>
      </c>
      <c r="AN5" s="62" t="s">
        <v>166</v>
      </c>
      <c r="AO5" s="62" t="s">
        <v>167</v>
      </c>
      <c r="AP5" s="62" t="s">
        <v>168</v>
      </c>
      <c r="AQ5" s="62" t="s">
        <v>169</v>
      </c>
      <c r="AR5" s="62" t="s">
        <v>170</v>
      </c>
      <c r="AS5" s="62" t="s">
        <v>171</v>
      </c>
      <c r="AT5" s="62" t="s">
        <v>172</v>
      </c>
      <c r="AU5" s="62" t="s">
        <v>173</v>
      </c>
      <c r="AV5" s="62" t="s">
        <v>174</v>
      </c>
      <c r="AW5" s="63" t="s">
        <v>175</v>
      </c>
      <c r="AX5" s="63" t="s">
        <v>176</v>
      </c>
      <c r="AY5" s="63" t="s">
        <v>177</v>
      </c>
      <c r="AZ5" s="63" t="s">
        <v>178</v>
      </c>
      <c r="BA5" s="63" t="s">
        <v>179</v>
      </c>
      <c r="BB5" s="63" t="s">
        <v>180</v>
      </c>
      <c r="BC5" s="64" t="s">
        <v>181</v>
      </c>
      <c r="BD5" s="64" t="s">
        <v>182</v>
      </c>
      <c r="BE5" s="64" t="s">
        <v>183</v>
      </c>
      <c r="BF5" s="64" t="s">
        <v>184</v>
      </c>
      <c r="BG5" s="64" t="s">
        <v>185</v>
      </c>
      <c r="BH5" s="64" t="s">
        <v>186</v>
      </c>
      <c r="BI5" s="64" t="s">
        <v>187</v>
      </c>
      <c r="BJ5" s="65" t="s">
        <v>188</v>
      </c>
      <c r="BK5" s="65" t="s">
        <v>189</v>
      </c>
      <c r="BL5" s="65" t="s">
        <v>190</v>
      </c>
      <c r="BM5" s="65" t="s">
        <v>191</v>
      </c>
      <c r="BN5" s="65" t="s">
        <v>192</v>
      </c>
      <c r="BO5" s="65" t="s">
        <v>193</v>
      </c>
      <c r="BP5" s="65" t="s">
        <v>194</v>
      </c>
      <c r="BQ5" s="65" t="s">
        <v>195</v>
      </c>
      <c r="BR5" s="65" t="s">
        <v>196</v>
      </c>
      <c r="BS5" s="65" t="s">
        <v>197</v>
      </c>
      <c r="BT5" s="65" t="s">
        <v>198</v>
      </c>
      <c r="BU5" s="65" t="s">
        <v>199</v>
      </c>
      <c r="BV5" s="65" t="s">
        <v>200</v>
      </c>
    </row>
    <row r="6" customFormat="false" ht="18" hidden="false" customHeight="true" outlineLevel="0" collapsed="false">
      <c r="A6" s="66" t="n">
        <f aca="false">IF(B6="","",ROW()-5)</f>
        <v>1</v>
      </c>
      <c r="B6" s="67" t="n">
        <v>46293</v>
      </c>
      <c r="C6" s="68" t="str">
        <f aca="false">IF(B6="","",CHOOSE(WEEKDAY(B6,2),"Mon","Tue","Wed","Thu","Fri","Sat","Sun"))</f>
        <v>Mon</v>
      </c>
      <c r="D6" s="66" t="n">
        <f aca="false">IF(B6="","",WEEKNUM(B6,2))</f>
        <v>40</v>
      </c>
      <c r="E6" s="69" t="s">
        <v>201</v>
      </c>
      <c r="F6" s="69" t="s">
        <v>202</v>
      </c>
      <c r="G6" s="70" t="n">
        <v>0.354166666666667</v>
      </c>
      <c r="H6" s="70"/>
      <c r="I6" s="69" t="s">
        <v>203</v>
      </c>
      <c r="J6" s="69" t="s">
        <v>204</v>
      </c>
      <c r="K6" s="69" t="s">
        <v>205</v>
      </c>
      <c r="L6" s="71" t="s">
        <v>206</v>
      </c>
      <c r="M6" s="69" t="s">
        <v>207</v>
      </c>
      <c r="N6" s="69" t="s">
        <v>208</v>
      </c>
      <c r="O6" s="69" t="s">
        <v>209</v>
      </c>
      <c r="P6" s="71" t="s">
        <v>210</v>
      </c>
      <c r="Q6" s="69" t="s">
        <v>208</v>
      </c>
      <c r="R6" s="69" t="s">
        <v>208</v>
      </c>
      <c r="S6" s="69" t="s">
        <v>208</v>
      </c>
      <c r="T6" s="69" t="s">
        <v>211</v>
      </c>
      <c r="U6" s="69" t="s">
        <v>208</v>
      </c>
      <c r="V6" s="69" t="s">
        <v>208</v>
      </c>
      <c r="W6" s="69" t="s">
        <v>208</v>
      </c>
      <c r="X6" s="66" t="n">
        <f aca="false">IF(B6="","",COUNTIF(Q6:W6,"Yes"))</f>
        <v>6</v>
      </c>
      <c r="Y6" s="68" t="str">
        <f aca="false">IF(B6="","",IF(X6&gt;=Settings!$C$16,"A+",IF(X6&gt;=Settings!$C$17,"A",IF(X6&gt;=Settings!$C$18,"B","C"))))</f>
        <v>A+</v>
      </c>
      <c r="Z6" s="72"/>
      <c r="AA6" s="72"/>
      <c r="AB6" s="72" t="n">
        <v>4120.5</v>
      </c>
      <c r="AC6" s="72" t="n">
        <v>4128</v>
      </c>
      <c r="AD6" s="72" t="n">
        <v>4098</v>
      </c>
      <c r="AE6" s="72" t="n">
        <v>4103</v>
      </c>
      <c r="AF6" s="73"/>
      <c r="AG6" s="74" t="n">
        <v>0.01</v>
      </c>
      <c r="AH6" s="75" t="n">
        <v>3.5</v>
      </c>
      <c r="AI6" s="76" t="n">
        <f aca="false">IF(B6="","",ROUND(IF(AG6="",Settings!$C$5,AG6)*AW6,2))</f>
        <v>100</v>
      </c>
      <c r="AJ6" s="77" t="n">
        <f aca="false">IF(OR(B6="",AB6="",AC6="",AD6=""),"",IFERROR(ROUND(ABS(AD6-AB6)/ABS(AB6-AC6),2),""))</f>
        <v>3</v>
      </c>
      <c r="AK6" s="78" t="n">
        <f aca="false">IF(OR(B6="",AB6="",AC6="",AE6=""),"",IFERROR(ROUND(IF(J6="Short",AB6-AE6,AE6-AB6)/ABS(AB6-AC6),2),""))</f>
        <v>2.33</v>
      </c>
      <c r="AL6" s="68" t="str">
        <f aca="false">IF(AK6="","",IF(ABS(AK6)&lt;=Settings!$C$6,"BE",IF(AK6&gt;0,"Win","Loss")))</f>
        <v>Win</v>
      </c>
      <c r="AM6" s="79" t="n">
        <f aca="false">IF(OR(AK6="",AI6=""),"",ROUND(AK6*AI6-N(AH6),2))</f>
        <v>229.5</v>
      </c>
      <c r="AN6" s="76" t="n">
        <f aca="false">IF(AM6="","",ROUND(BK6+SUMIFS(AM$6:AM6,BJ$6:BJ6,BJ6),2))</f>
        <v>10229.5</v>
      </c>
      <c r="AO6" s="78" t="n">
        <f aca="false">IF(AK6="","",ROUND(SUMIFS(AK$6:AK6,BJ$6:BJ6,BJ6),2))</f>
        <v>2.33</v>
      </c>
      <c r="AP6" s="80" t="n">
        <f aca="false">IF(OR(AK6="",BL6=""),"",IFERROR(ROUND(IF(J6="Short",AB6-AE6,AE6-AB6)/BL6,1),""))</f>
        <v>175</v>
      </c>
      <c r="AQ6" s="66" t="str">
        <f aca="false">IF(OR(G6="",H6=""),"",ROUND(MOD(H6-G6,1)*1440,0))</f>
        <v/>
      </c>
      <c r="AR6" s="68" t="str">
        <f aca="false">IF(AQ6="","",IF(AQ6&lt;15,"Under 15m",IF(AQ6&lt;60,"15-60m",IF(AQ6&lt;240,"1-4 hours","4+ hours"))))</f>
        <v/>
      </c>
      <c r="AS6" s="66" t="n">
        <f aca="false">IF(G6="","",HOUR(G6))</f>
        <v>8</v>
      </c>
      <c r="AT6" s="80" t="str">
        <f aca="false">IF(OR(Z6="",AB6="",BL6=""),"",IFERROR(ROUND(IF(J6="Short",Z6-AB6,AB6-Z6)/BL6,1),""))</f>
        <v/>
      </c>
      <c r="AU6" s="68" t="str">
        <f aca="false">IF(OR(AA6="",AC6=""),"",IF(AA6=AC6,"No","Yes"))</f>
        <v/>
      </c>
      <c r="AV6" s="81" t="n">
        <f aca="false">IF(OR(B6="",BL6="",BM6="",AB6="",AC6=""),"",IFERROR(ROUND(AI6/(ABS(AB6-AC6)/BL6*BM6),2),""))</f>
        <v>0.13</v>
      </c>
      <c r="AW6" s="76" t="n">
        <f aca="false">IF(B6="","",ROUND(BK6+SUMIFS(AM$5:AM5,BJ$5:BJ5,BJ6),2))</f>
        <v>10000</v>
      </c>
      <c r="AX6" s="66" t="n">
        <f aca="false">IF(B6="","",COUNTIFS(B$6:B6,B6,BJ$6:BJ6,BJ6))</f>
        <v>1</v>
      </c>
      <c r="AY6" s="79" t="n">
        <f aca="false">IF(B6="","",ROUND(SUMIFS(AM$5:AM5,B$5:B5,B6,BJ$5:BJ5,BJ6),2))</f>
        <v>0</v>
      </c>
      <c r="AZ6" s="79" t="n">
        <f aca="false">IF(AM6="","",ROUND(AY6+AM6,2))</f>
        <v>229.5</v>
      </c>
      <c r="BA6" s="79" t="n">
        <f aca="false">IF(B6="","",ROUND(SUMIFS(AM$5:AM5,B$5:B5,"&gt;="&amp;(B6-WEEKDAY(B6,2)+1),B$5:B5,"&lt;="&amp;B6,BJ$5:BJ5,BJ6),2))</f>
        <v>0</v>
      </c>
      <c r="BB6" s="68" t="str">
        <f aca="false">IF(B6="","",IF(AND(AF6&lt;&gt;"",AV6&lt;&gt;"",N(AF6)&gt;N(AV6)*(1+Settings!$C$13)),"Oversized",IF(AX6&gt;Settings!$C$10,"Overtraded",IF(AY6&lt;=-Settings!$C$11*(AW6-AY6),"Daily loss hit",IF(BA6&lt;=-Settings!$C$12*(AW6-BA6),"Weekly loss hit","OK")))))</f>
        <v>OK</v>
      </c>
      <c r="BC6" s="69" t="s">
        <v>212</v>
      </c>
      <c r="BD6" s="69" t="s">
        <v>208</v>
      </c>
      <c r="BE6" s="69" t="s">
        <v>213</v>
      </c>
      <c r="BF6" s="73" t="n">
        <v>3</v>
      </c>
      <c r="BG6" s="73" t="n">
        <v>0.4</v>
      </c>
      <c r="BH6" s="71" t="s">
        <v>214</v>
      </c>
      <c r="BI6" s="71" t="s">
        <v>215</v>
      </c>
      <c r="BJ6" s="68" t="str">
        <f aca="false">IF(B6="","",IF(E6="",Settings!$F$5,E6))</f>
        <v>Main Account</v>
      </c>
      <c r="BK6" s="76" t="n">
        <f aca="false">IF(B6="","",IFERROR(INDEX(Settings!$G$5:$G$10,MATCH(BJ6,Settings!$F$5:$F$10,0)),Settings!$G$5))</f>
        <v>10000</v>
      </c>
      <c r="BL6" s="82" t="n">
        <f aca="false">IF(I6="","",IFERROR(1/(1/INDEX(Lists!$C$6:$C$17,MATCH(I6,Lists!$B$6:$B$17,0))),""))</f>
        <v>0.1</v>
      </c>
      <c r="BM6" s="81" t="n">
        <f aca="false">IF(I6="","",IFERROR(1/(1/INDEX(Lists!$D$6:$D$17,MATCH(I6,Lists!$B$6:$B$17,0))),""))</f>
        <v>10</v>
      </c>
      <c r="BN6" s="76" t="n">
        <f aca="false">IF(AN6="","",MAX(BK6,_xlfn.MAXIFS(AN$6:AN6,BJ$6:BJ6,BJ6)))</f>
        <v>10229.5</v>
      </c>
      <c r="BO6" s="83" t="n">
        <f aca="false">IF(AN6="","",(AN6-BN6)/BN6)</f>
        <v>0</v>
      </c>
      <c r="BP6" s="66" t="n">
        <f aca="false">IF(OR(B6="",AL6=""),0,IF(OR(Settings!$C$28="All Accounts",BJ6=Settings!$C$28),1,0))</f>
        <v>1</v>
      </c>
      <c r="BQ6" s="66" t="n">
        <f aca="false">IF(BP6=1,SUM(BP$6:BP6),"")</f>
        <v>1</v>
      </c>
      <c r="BR6" s="76" t="n">
        <f aca="false">IF(BP6=1,ROUND(Settings!$C$29+SUMIFS(AM$6:AM6,BP$6:BP6,1),2),"")</f>
        <v>60229.5</v>
      </c>
      <c r="BS6" s="76" t="n">
        <f aca="false">IF(BP6=1,MAX(Settings!$C$29,MAX(BR$6:BR6)),"")</f>
        <v>60229.5</v>
      </c>
      <c r="BT6" s="83" t="n">
        <f aca="false">IF(BP6=1,(BR6-BS6)/BS6,"")</f>
        <v>0</v>
      </c>
      <c r="BU6" s="66" t="n">
        <f aca="false">IF(BP6=1,IF(AL6="Win",1+IF(BQ6=1,0,INDEX(BU$5:BU5,MATCH(BQ6-1,BQ$5:BQ5,0))),0),"")</f>
        <v>1</v>
      </c>
      <c r="BV6" s="66" t="n">
        <f aca="false">IF(BP6=1,IF(AL6="Loss",1+IF(BQ6=1,0,INDEX(BV$5:BV5,MATCH(BQ6-1,BQ$5:BQ5,0))),0),"")</f>
        <v>0</v>
      </c>
    </row>
    <row r="7" customFormat="false" ht="18" hidden="false" customHeight="true" outlineLevel="0" collapsed="false">
      <c r="A7" s="66" t="str">
        <f aca="false">IF(B7="","",ROW()-5)</f>
        <v/>
      </c>
      <c r="B7" s="67"/>
      <c r="C7" s="68" t="str">
        <f aca="false">IF(B7="","",CHOOSE(WEEKDAY(B7,2),"Mon","Tue","Wed","Thu","Fri","Sat","Sun"))</f>
        <v/>
      </c>
      <c r="D7" s="66" t="str">
        <f aca="false">IF(B7="","",WEEKNUM(B7,2))</f>
        <v/>
      </c>
      <c r="E7" s="69"/>
      <c r="F7" s="69"/>
      <c r="G7" s="70"/>
      <c r="H7" s="70"/>
      <c r="I7" s="69"/>
      <c r="J7" s="69"/>
      <c r="K7" s="69"/>
      <c r="L7" s="71"/>
      <c r="M7" s="69"/>
      <c r="N7" s="69"/>
      <c r="O7" s="69"/>
      <c r="P7" s="71"/>
      <c r="Q7" s="69"/>
      <c r="R7" s="69"/>
      <c r="S7" s="69"/>
      <c r="T7" s="69"/>
      <c r="U7" s="69"/>
      <c r="V7" s="69"/>
      <c r="W7" s="69"/>
      <c r="X7" s="66" t="str">
        <f aca="false">IF(B7="","",COUNTIF(Q7:W7,"Yes"))</f>
        <v/>
      </c>
      <c r="Y7" s="68" t="str">
        <f aca="false">IF(B7="","",IF(X7&gt;=Settings!$C$16,"A+",IF(X7&gt;=Settings!$C$17,"A",IF(X7&gt;=Settings!$C$18,"B","C"))))</f>
        <v/>
      </c>
      <c r="Z7" s="72"/>
      <c r="AA7" s="72"/>
      <c r="AB7" s="72"/>
      <c r="AC7" s="72"/>
      <c r="AD7" s="72"/>
      <c r="AE7" s="72"/>
      <c r="AF7" s="73"/>
      <c r="AG7" s="74"/>
      <c r="AH7" s="75"/>
      <c r="AI7" s="76" t="str">
        <f aca="false">IF(B7="","",ROUND(IF(AG7="",Settings!$C$5,AG7)*AW7,2))</f>
        <v/>
      </c>
      <c r="AJ7" s="77" t="str">
        <f aca="false">IF(OR(B7="",AB7="",AC7="",AD7=""),"",IFERROR(ROUND(ABS(AD7-AB7)/ABS(AB7-AC7),2),""))</f>
        <v/>
      </c>
      <c r="AK7" s="78" t="str">
        <f aca="false">IF(OR(B7="",AB7="",AC7="",AE7=""),"",IFERROR(ROUND(IF(J7="Short",AB7-AE7,AE7-AB7)/ABS(AB7-AC7),2),""))</f>
        <v/>
      </c>
      <c r="AL7" s="68" t="str">
        <f aca="false">IF(AK7="","",IF(ABS(AK7)&lt;=Settings!$C$6,"BE",IF(AK7&gt;0,"Win","Loss")))</f>
        <v/>
      </c>
      <c r="AM7" s="79" t="str">
        <f aca="false">IF(OR(AK7="",AI7=""),"",ROUND(AK7*AI7-N(AH7),2))</f>
        <v/>
      </c>
      <c r="AN7" s="76" t="str">
        <f aca="false">IF(AM7="","",ROUND(BK7+SUMIFS(AM$6:AM7,BJ$6:BJ7,BJ7),2))</f>
        <v/>
      </c>
      <c r="AO7" s="78" t="str">
        <f aca="false">IF(AK7="","",ROUND(SUMIFS(AK$6:AK7,BJ$6:BJ7,BJ7),2))</f>
        <v/>
      </c>
      <c r="AP7" s="80" t="str">
        <f aca="false">IF(OR(AK7="",BL7=""),"",IFERROR(ROUND(IF(J7="Short",AB7-AE7,AE7-AB7)/BL7,1),""))</f>
        <v/>
      </c>
      <c r="AQ7" s="66" t="str">
        <f aca="false">IF(OR(G7="",H7=""),"",ROUND(MOD(H7-G7,1)*1440,0))</f>
        <v/>
      </c>
      <c r="AR7" s="68" t="str">
        <f aca="false">IF(AQ7="","",IF(AQ7&lt;15,"Under 15m",IF(AQ7&lt;60,"15-60m",IF(AQ7&lt;240,"1-4 hours","4+ hours"))))</f>
        <v/>
      </c>
      <c r="AS7" s="66" t="str">
        <f aca="false">IF(G7="","",HOUR(G7))</f>
        <v/>
      </c>
      <c r="AT7" s="80" t="str">
        <f aca="false">IF(OR(Z7="",AB7="",BL7=""),"",IFERROR(ROUND(IF(J7="Short",Z7-AB7,AB7-Z7)/BL7,1),""))</f>
        <v/>
      </c>
      <c r="AU7" s="68" t="str">
        <f aca="false">IF(OR(AA7="",AC7=""),"",IF(AA7=AC7,"No","Yes"))</f>
        <v/>
      </c>
      <c r="AV7" s="81" t="str">
        <f aca="false">IF(OR(B7="",BL7="",BM7="",AB7="",AC7=""),"",IFERROR(ROUND(AI7/(ABS(AB7-AC7)/BL7*BM7),2),""))</f>
        <v/>
      </c>
      <c r="AW7" s="76" t="str">
        <f aca="false">IF(B7="","",ROUND(BK7+SUMIFS(AM$5:AM6,BJ$5:BJ6,BJ7),2))</f>
        <v/>
      </c>
      <c r="AX7" s="66" t="str">
        <f aca="false">IF(B7="","",COUNTIFS(B$6:B7,B7,BJ$6:BJ7,BJ7))</f>
        <v/>
      </c>
      <c r="AY7" s="79" t="str">
        <f aca="false">IF(B7="","",ROUND(SUMIFS(AM$5:AM6,B$5:B6,B7,BJ$5:BJ6,BJ7),2))</f>
        <v/>
      </c>
      <c r="AZ7" s="79" t="str">
        <f aca="false">IF(AM7="","",ROUND(AY7+AM7,2))</f>
        <v/>
      </c>
      <c r="BA7" s="79" t="str">
        <f aca="false">IF(B7="","",ROUND(SUMIFS(AM$5:AM6,B$5:B6,"&gt;="&amp;(B7-WEEKDAY(B7,2)+1),B$5:B6,"&lt;="&amp;B7,BJ$5:BJ6,BJ7),2))</f>
        <v/>
      </c>
      <c r="BB7" s="68" t="str">
        <f aca="false">IF(B7="","",IF(AND(AF7&lt;&gt;"",AV7&lt;&gt;"",N(AF7)&gt;N(AV7)*(1+Settings!$C$13)),"Oversized",IF(AX7&gt;Settings!$C$10,"Overtraded",IF(AY7&lt;=-Settings!$C$11*(AW7-AY7),"Daily loss hit",IF(BA7&lt;=-Settings!$C$12*(AW7-BA7),"Weekly loss hit","OK")))))</f>
        <v/>
      </c>
      <c r="BC7" s="69"/>
      <c r="BD7" s="69"/>
      <c r="BE7" s="69"/>
      <c r="BF7" s="73"/>
      <c r="BG7" s="73"/>
      <c r="BH7" s="71"/>
      <c r="BI7" s="71"/>
      <c r="BJ7" s="68" t="str">
        <f aca="false">IF(B7="","",IF(E7="",Settings!$F$5,E7))</f>
        <v/>
      </c>
      <c r="BK7" s="76" t="str">
        <f aca="false">IF(B7="","",IFERROR(INDEX(Settings!$G$5:$G$10,MATCH(BJ7,Settings!$F$5:$F$10,0)),Settings!$G$5))</f>
        <v/>
      </c>
      <c r="BL7" s="82" t="str">
        <f aca="false">IF(I7="","",IFERROR(1/(1/INDEX(Lists!$C$6:$C$17,MATCH(I7,Lists!$B$6:$B$17,0))),""))</f>
        <v/>
      </c>
      <c r="BM7" s="81" t="str">
        <f aca="false">IF(I7="","",IFERROR(1/(1/INDEX(Lists!$D$6:$D$17,MATCH(I7,Lists!$B$6:$B$17,0))),""))</f>
        <v/>
      </c>
      <c r="BN7" s="76" t="str">
        <f aca="false">IF(AN7="","",MAX(BK7,_xlfn.MAXIFS(AN$6:AN7,BJ$6:BJ7,BJ7)))</f>
        <v/>
      </c>
      <c r="BO7" s="83" t="str">
        <f aca="false">IF(AN7="","",(AN7-BN7)/BN7)</f>
        <v/>
      </c>
      <c r="BP7" s="66" t="n">
        <f aca="false">IF(OR(B7="",AL7=""),0,IF(OR(Settings!$C$28="All Accounts",BJ7=Settings!$C$28),1,0))</f>
        <v>0</v>
      </c>
      <c r="BQ7" s="66" t="str">
        <f aca="false">IF(BP7=1,SUM(BP$6:BP7),"")</f>
        <v/>
      </c>
      <c r="BR7" s="76" t="str">
        <f aca="false">IF(BP7=1,ROUND(Settings!$C$29+SUMIFS(AM$6:AM7,BP$6:BP7,1),2),"")</f>
        <v/>
      </c>
      <c r="BS7" s="76" t="str">
        <f aca="false">IF(BP7=1,MAX(Settings!$C$29,MAX(BR$6:BR7)),"")</f>
        <v/>
      </c>
      <c r="BT7" s="83" t="str">
        <f aca="false">IF(BP7=1,(BR7-BS7)/BS7,"")</f>
        <v/>
      </c>
      <c r="BU7" s="66" t="str">
        <f aca="false">IF(BP7=1,IF(AL7="Win",1+IF(BQ7=1,0,INDEX(BU$5:BU6,MATCH(BQ7-1,BQ$5:BQ6,0))),0),"")</f>
        <v/>
      </c>
      <c r="BV7" s="66" t="str">
        <f aca="false">IF(BP7=1,IF(AL7="Loss",1+IF(BQ7=1,0,INDEX(BV$5:BV6,MATCH(BQ7-1,BQ$5:BQ6,0))),0),"")</f>
        <v/>
      </c>
    </row>
    <row r="8" customFormat="false" ht="18" hidden="false" customHeight="true" outlineLevel="0" collapsed="false">
      <c r="A8" s="66" t="str">
        <f aca="false">IF(B8="","",ROW()-5)</f>
        <v/>
      </c>
      <c r="B8" s="67"/>
      <c r="C8" s="68" t="str">
        <f aca="false">IF(B8="","",CHOOSE(WEEKDAY(B8,2),"Mon","Tue","Wed","Thu","Fri","Sat","Sun"))</f>
        <v/>
      </c>
      <c r="D8" s="66" t="str">
        <f aca="false">IF(B8="","",WEEKNUM(B8,2))</f>
        <v/>
      </c>
      <c r="E8" s="69"/>
      <c r="F8" s="69"/>
      <c r="G8" s="70"/>
      <c r="H8" s="70"/>
      <c r="I8" s="69"/>
      <c r="J8" s="69"/>
      <c r="K8" s="69"/>
      <c r="L8" s="71"/>
      <c r="M8" s="69"/>
      <c r="N8" s="69"/>
      <c r="O8" s="69"/>
      <c r="P8" s="71"/>
      <c r="Q8" s="69"/>
      <c r="R8" s="69"/>
      <c r="S8" s="69"/>
      <c r="T8" s="69"/>
      <c r="U8" s="69"/>
      <c r="V8" s="69"/>
      <c r="W8" s="69"/>
      <c r="X8" s="66" t="str">
        <f aca="false">IF(B8="","",COUNTIF(Q8:W8,"Yes"))</f>
        <v/>
      </c>
      <c r="Y8" s="68" t="str">
        <f aca="false">IF(B8="","",IF(X8&gt;=Settings!$C$16,"A+",IF(X8&gt;=Settings!$C$17,"A",IF(X8&gt;=Settings!$C$18,"B","C"))))</f>
        <v/>
      </c>
      <c r="Z8" s="72"/>
      <c r="AA8" s="72"/>
      <c r="AB8" s="72"/>
      <c r="AC8" s="72"/>
      <c r="AD8" s="72"/>
      <c r="AE8" s="72"/>
      <c r="AF8" s="73"/>
      <c r="AG8" s="74"/>
      <c r="AH8" s="75"/>
      <c r="AI8" s="76" t="str">
        <f aca="false">IF(B8="","",ROUND(IF(AG8="",Settings!$C$5,AG8)*AW8,2))</f>
        <v/>
      </c>
      <c r="AJ8" s="77" t="str">
        <f aca="false">IF(OR(B8="",AB8="",AC8="",AD8=""),"",IFERROR(ROUND(ABS(AD8-AB8)/ABS(AB8-AC8),2),""))</f>
        <v/>
      </c>
      <c r="AK8" s="78" t="str">
        <f aca="false">IF(OR(B8="",AB8="",AC8="",AE8=""),"",IFERROR(ROUND(IF(J8="Short",AB8-AE8,AE8-AB8)/ABS(AB8-AC8),2),""))</f>
        <v/>
      </c>
      <c r="AL8" s="68" t="str">
        <f aca="false">IF(AK8="","",IF(ABS(AK8)&lt;=Settings!$C$6,"BE",IF(AK8&gt;0,"Win","Loss")))</f>
        <v/>
      </c>
      <c r="AM8" s="79" t="str">
        <f aca="false">IF(OR(AK8="",AI8=""),"",ROUND(AK8*AI8-N(AH8),2))</f>
        <v/>
      </c>
      <c r="AN8" s="76" t="str">
        <f aca="false">IF(AM8="","",ROUND(BK8+SUMIFS(AM$6:AM8,BJ$6:BJ8,BJ8),2))</f>
        <v/>
      </c>
      <c r="AO8" s="78" t="str">
        <f aca="false">IF(AK8="","",ROUND(SUMIFS(AK$6:AK8,BJ$6:BJ8,BJ8),2))</f>
        <v/>
      </c>
      <c r="AP8" s="80" t="str">
        <f aca="false">IF(OR(AK8="",BL8=""),"",IFERROR(ROUND(IF(J8="Short",AB8-AE8,AE8-AB8)/BL8,1),""))</f>
        <v/>
      </c>
      <c r="AQ8" s="66" t="str">
        <f aca="false">IF(OR(G8="",H8=""),"",ROUND(MOD(H8-G8,1)*1440,0))</f>
        <v/>
      </c>
      <c r="AR8" s="68" t="str">
        <f aca="false">IF(AQ8="","",IF(AQ8&lt;15,"Under 15m",IF(AQ8&lt;60,"15-60m",IF(AQ8&lt;240,"1-4 hours","4+ hours"))))</f>
        <v/>
      </c>
      <c r="AS8" s="66" t="str">
        <f aca="false">IF(G8="","",HOUR(G8))</f>
        <v/>
      </c>
      <c r="AT8" s="80" t="str">
        <f aca="false">IF(OR(Z8="",AB8="",BL8=""),"",IFERROR(ROUND(IF(J8="Short",Z8-AB8,AB8-Z8)/BL8,1),""))</f>
        <v/>
      </c>
      <c r="AU8" s="68" t="str">
        <f aca="false">IF(OR(AA8="",AC8=""),"",IF(AA8=AC8,"No","Yes"))</f>
        <v/>
      </c>
      <c r="AV8" s="81" t="str">
        <f aca="false">IF(OR(B8="",BL8="",BM8="",AB8="",AC8=""),"",IFERROR(ROUND(AI8/(ABS(AB8-AC8)/BL8*BM8),2),""))</f>
        <v/>
      </c>
      <c r="AW8" s="76" t="str">
        <f aca="false">IF(B8="","",ROUND(BK8+SUMIFS(AM$5:AM7,BJ$5:BJ7,BJ8),2))</f>
        <v/>
      </c>
      <c r="AX8" s="66" t="str">
        <f aca="false">IF(B8="","",COUNTIFS(B$6:B8,B8,BJ$6:BJ8,BJ8))</f>
        <v/>
      </c>
      <c r="AY8" s="79" t="str">
        <f aca="false">IF(B8="","",ROUND(SUMIFS(AM$5:AM7,B$5:B7,B8,BJ$5:BJ7,BJ8),2))</f>
        <v/>
      </c>
      <c r="AZ8" s="79" t="str">
        <f aca="false">IF(AM8="","",ROUND(AY8+AM8,2))</f>
        <v/>
      </c>
      <c r="BA8" s="79" t="str">
        <f aca="false">IF(B8="","",ROUND(SUMIFS(AM$5:AM7,B$5:B7,"&gt;="&amp;(B8-WEEKDAY(B8,2)+1),B$5:B7,"&lt;="&amp;B8,BJ$5:BJ7,BJ8),2))</f>
        <v/>
      </c>
      <c r="BB8" s="68" t="str">
        <f aca="false">IF(B8="","",IF(AND(AF8&lt;&gt;"",AV8&lt;&gt;"",N(AF8)&gt;N(AV8)*(1+Settings!$C$13)),"Oversized",IF(AX8&gt;Settings!$C$10,"Overtraded",IF(AY8&lt;=-Settings!$C$11*(AW8-AY8),"Daily loss hit",IF(BA8&lt;=-Settings!$C$12*(AW8-BA8),"Weekly loss hit","OK")))))</f>
        <v/>
      </c>
      <c r="BC8" s="69"/>
      <c r="BD8" s="69"/>
      <c r="BE8" s="69"/>
      <c r="BF8" s="73"/>
      <c r="BG8" s="73"/>
      <c r="BH8" s="71"/>
      <c r="BI8" s="71"/>
      <c r="BJ8" s="68" t="str">
        <f aca="false">IF(B8="","",IF(E8="",Settings!$F$5,E8))</f>
        <v/>
      </c>
      <c r="BK8" s="76" t="str">
        <f aca="false">IF(B8="","",IFERROR(INDEX(Settings!$G$5:$G$10,MATCH(BJ8,Settings!$F$5:$F$10,0)),Settings!$G$5))</f>
        <v/>
      </c>
      <c r="BL8" s="82" t="str">
        <f aca="false">IF(I8="","",IFERROR(1/(1/INDEX(Lists!$C$6:$C$17,MATCH(I8,Lists!$B$6:$B$17,0))),""))</f>
        <v/>
      </c>
      <c r="BM8" s="81" t="str">
        <f aca="false">IF(I8="","",IFERROR(1/(1/INDEX(Lists!$D$6:$D$17,MATCH(I8,Lists!$B$6:$B$17,0))),""))</f>
        <v/>
      </c>
      <c r="BN8" s="76" t="str">
        <f aca="false">IF(AN8="","",MAX(BK8,_xlfn.MAXIFS(AN$6:AN8,BJ$6:BJ8,BJ8)))</f>
        <v/>
      </c>
      <c r="BO8" s="83" t="str">
        <f aca="false">IF(AN8="","",(AN8-BN8)/BN8)</f>
        <v/>
      </c>
      <c r="BP8" s="66" t="n">
        <f aca="false">IF(OR(B8="",AL8=""),0,IF(OR(Settings!$C$28="All Accounts",BJ8=Settings!$C$28),1,0))</f>
        <v>0</v>
      </c>
      <c r="BQ8" s="66" t="str">
        <f aca="false">IF(BP8=1,SUM(BP$6:BP8),"")</f>
        <v/>
      </c>
      <c r="BR8" s="76" t="str">
        <f aca="false">IF(BP8=1,ROUND(Settings!$C$29+SUMIFS(AM$6:AM8,BP$6:BP8,1),2),"")</f>
        <v/>
      </c>
      <c r="BS8" s="76" t="str">
        <f aca="false">IF(BP8=1,MAX(Settings!$C$29,MAX(BR$6:BR8)),"")</f>
        <v/>
      </c>
      <c r="BT8" s="83" t="str">
        <f aca="false">IF(BP8=1,(BR8-BS8)/BS8,"")</f>
        <v/>
      </c>
      <c r="BU8" s="66" t="str">
        <f aca="false">IF(BP8=1,IF(AL8="Win",1+IF(BQ8=1,0,INDEX(BU$5:BU7,MATCH(BQ8-1,BQ$5:BQ7,0))),0),"")</f>
        <v/>
      </c>
      <c r="BV8" s="66" t="str">
        <f aca="false">IF(BP8=1,IF(AL8="Loss",1+IF(BQ8=1,0,INDEX(BV$5:BV7,MATCH(BQ8-1,BQ$5:BQ7,0))),0),"")</f>
        <v/>
      </c>
    </row>
    <row r="9" customFormat="false" ht="18" hidden="false" customHeight="true" outlineLevel="0" collapsed="false">
      <c r="A9" s="66" t="str">
        <f aca="false">IF(B9="","",ROW()-5)</f>
        <v/>
      </c>
      <c r="B9" s="67"/>
      <c r="C9" s="68" t="str">
        <f aca="false">IF(B9="","",CHOOSE(WEEKDAY(B9,2),"Mon","Tue","Wed","Thu","Fri","Sat","Sun"))</f>
        <v/>
      </c>
      <c r="D9" s="66" t="str">
        <f aca="false">IF(B9="","",WEEKNUM(B9,2))</f>
        <v/>
      </c>
      <c r="E9" s="69"/>
      <c r="F9" s="69"/>
      <c r="G9" s="70"/>
      <c r="H9" s="70"/>
      <c r="I9" s="69"/>
      <c r="J9" s="69"/>
      <c r="K9" s="69"/>
      <c r="L9" s="71"/>
      <c r="M9" s="69"/>
      <c r="N9" s="69"/>
      <c r="O9" s="69"/>
      <c r="P9" s="71"/>
      <c r="Q9" s="69"/>
      <c r="R9" s="69"/>
      <c r="S9" s="69"/>
      <c r="T9" s="69"/>
      <c r="U9" s="69"/>
      <c r="V9" s="69"/>
      <c r="W9" s="69"/>
      <c r="X9" s="66" t="str">
        <f aca="false">IF(B9="","",COUNTIF(Q9:W9,"Yes"))</f>
        <v/>
      </c>
      <c r="Y9" s="68" t="str">
        <f aca="false">IF(B9="","",IF(X9&gt;=Settings!$C$16,"A+",IF(X9&gt;=Settings!$C$17,"A",IF(X9&gt;=Settings!$C$18,"B","C"))))</f>
        <v/>
      </c>
      <c r="Z9" s="72"/>
      <c r="AA9" s="72"/>
      <c r="AB9" s="72"/>
      <c r="AC9" s="72"/>
      <c r="AD9" s="72"/>
      <c r="AE9" s="72"/>
      <c r="AF9" s="73"/>
      <c r="AG9" s="74"/>
      <c r="AH9" s="75"/>
      <c r="AI9" s="76" t="str">
        <f aca="false">IF(B9="","",ROUND(IF(AG9="",Settings!$C$5,AG9)*AW9,2))</f>
        <v/>
      </c>
      <c r="AJ9" s="77" t="str">
        <f aca="false">IF(OR(B9="",AB9="",AC9="",AD9=""),"",IFERROR(ROUND(ABS(AD9-AB9)/ABS(AB9-AC9),2),""))</f>
        <v/>
      </c>
      <c r="AK9" s="78" t="str">
        <f aca="false">IF(OR(B9="",AB9="",AC9="",AE9=""),"",IFERROR(ROUND(IF(J9="Short",AB9-AE9,AE9-AB9)/ABS(AB9-AC9),2),""))</f>
        <v/>
      </c>
      <c r="AL9" s="68" t="str">
        <f aca="false">IF(AK9="","",IF(ABS(AK9)&lt;=Settings!$C$6,"BE",IF(AK9&gt;0,"Win","Loss")))</f>
        <v/>
      </c>
      <c r="AM9" s="79" t="str">
        <f aca="false">IF(OR(AK9="",AI9=""),"",ROUND(AK9*AI9-N(AH9),2))</f>
        <v/>
      </c>
      <c r="AN9" s="76" t="str">
        <f aca="false">IF(AM9="","",ROUND(BK9+SUMIFS(AM$6:AM9,BJ$6:BJ9,BJ9),2))</f>
        <v/>
      </c>
      <c r="AO9" s="78" t="str">
        <f aca="false">IF(AK9="","",ROUND(SUMIFS(AK$6:AK9,BJ$6:BJ9,BJ9),2))</f>
        <v/>
      </c>
      <c r="AP9" s="80" t="str">
        <f aca="false">IF(OR(AK9="",BL9=""),"",IFERROR(ROUND(IF(J9="Short",AB9-AE9,AE9-AB9)/BL9,1),""))</f>
        <v/>
      </c>
      <c r="AQ9" s="66" t="str">
        <f aca="false">IF(OR(G9="",H9=""),"",ROUND(MOD(H9-G9,1)*1440,0))</f>
        <v/>
      </c>
      <c r="AR9" s="68" t="str">
        <f aca="false">IF(AQ9="","",IF(AQ9&lt;15,"Under 15m",IF(AQ9&lt;60,"15-60m",IF(AQ9&lt;240,"1-4 hours","4+ hours"))))</f>
        <v/>
      </c>
      <c r="AS9" s="66" t="str">
        <f aca="false">IF(G9="","",HOUR(G9))</f>
        <v/>
      </c>
      <c r="AT9" s="80" t="str">
        <f aca="false">IF(OR(Z9="",AB9="",BL9=""),"",IFERROR(ROUND(IF(J9="Short",Z9-AB9,AB9-Z9)/BL9,1),""))</f>
        <v/>
      </c>
      <c r="AU9" s="68" t="str">
        <f aca="false">IF(OR(AA9="",AC9=""),"",IF(AA9=AC9,"No","Yes"))</f>
        <v/>
      </c>
      <c r="AV9" s="81" t="str">
        <f aca="false">IF(OR(B9="",BL9="",BM9="",AB9="",AC9=""),"",IFERROR(ROUND(AI9/(ABS(AB9-AC9)/BL9*BM9),2),""))</f>
        <v/>
      </c>
      <c r="AW9" s="76" t="str">
        <f aca="false">IF(B9="","",ROUND(BK9+SUMIFS(AM$5:AM8,BJ$5:BJ8,BJ9),2))</f>
        <v/>
      </c>
      <c r="AX9" s="66" t="str">
        <f aca="false">IF(B9="","",COUNTIFS(B$6:B9,B9,BJ$6:BJ9,BJ9))</f>
        <v/>
      </c>
      <c r="AY9" s="79" t="str">
        <f aca="false">IF(B9="","",ROUND(SUMIFS(AM$5:AM8,B$5:B8,B9,BJ$5:BJ8,BJ9),2))</f>
        <v/>
      </c>
      <c r="AZ9" s="79" t="str">
        <f aca="false">IF(AM9="","",ROUND(AY9+AM9,2))</f>
        <v/>
      </c>
      <c r="BA9" s="79" t="str">
        <f aca="false">IF(B9="","",ROUND(SUMIFS(AM$5:AM8,B$5:B8,"&gt;="&amp;(B9-WEEKDAY(B9,2)+1),B$5:B8,"&lt;="&amp;B9,BJ$5:BJ8,BJ9),2))</f>
        <v/>
      </c>
      <c r="BB9" s="68" t="str">
        <f aca="false">IF(B9="","",IF(AND(AF9&lt;&gt;"",AV9&lt;&gt;"",N(AF9)&gt;N(AV9)*(1+Settings!$C$13)),"Oversized",IF(AX9&gt;Settings!$C$10,"Overtraded",IF(AY9&lt;=-Settings!$C$11*(AW9-AY9),"Daily loss hit",IF(BA9&lt;=-Settings!$C$12*(AW9-BA9),"Weekly loss hit","OK")))))</f>
        <v/>
      </c>
      <c r="BC9" s="69"/>
      <c r="BD9" s="69"/>
      <c r="BE9" s="69"/>
      <c r="BF9" s="73"/>
      <c r="BG9" s="73"/>
      <c r="BH9" s="71"/>
      <c r="BI9" s="71"/>
      <c r="BJ9" s="68" t="str">
        <f aca="false">IF(B9="","",IF(E9="",Settings!$F$5,E9))</f>
        <v/>
      </c>
      <c r="BK9" s="76" t="str">
        <f aca="false">IF(B9="","",IFERROR(INDEX(Settings!$G$5:$G$10,MATCH(BJ9,Settings!$F$5:$F$10,0)),Settings!$G$5))</f>
        <v/>
      </c>
      <c r="BL9" s="82" t="str">
        <f aca="false">IF(I9="","",IFERROR(1/(1/INDEX(Lists!$C$6:$C$17,MATCH(I9,Lists!$B$6:$B$17,0))),""))</f>
        <v/>
      </c>
      <c r="BM9" s="81" t="str">
        <f aca="false">IF(I9="","",IFERROR(1/(1/INDEX(Lists!$D$6:$D$17,MATCH(I9,Lists!$B$6:$B$17,0))),""))</f>
        <v/>
      </c>
      <c r="BN9" s="76" t="str">
        <f aca="false">IF(AN9="","",MAX(BK9,_xlfn.MAXIFS(AN$6:AN9,BJ$6:BJ9,BJ9)))</f>
        <v/>
      </c>
      <c r="BO9" s="83" t="str">
        <f aca="false">IF(AN9="","",(AN9-BN9)/BN9)</f>
        <v/>
      </c>
      <c r="BP9" s="66" t="n">
        <f aca="false">IF(OR(B9="",AL9=""),0,IF(OR(Settings!$C$28="All Accounts",BJ9=Settings!$C$28),1,0))</f>
        <v>0</v>
      </c>
      <c r="BQ9" s="66" t="str">
        <f aca="false">IF(BP9=1,SUM(BP$6:BP9),"")</f>
        <v/>
      </c>
      <c r="BR9" s="76" t="str">
        <f aca="false">IF(BP9=1,ROUND(Settings!$C$29+SUMIFS(AM$6:AM9,BP$6:BP9,1),2),"")</f>
        <v/>
      </c>
      <c r="BS9" s="76" t="str">
        <f aca="false">IF(BP9=1,MAX(Settings!$C$29,MAX(BR$6:BR9)),"")</f>
        <v/>
      </c>
      <c r="BT9" s="83" t="str">
        <f aca="false">IF(BP9=1,(BR9-BS9)/BS9,"")</f>
        <v/>
      </c>
      <c r="BU9" s="66" t="str">
        <f aca="false">IF(BP9=1,IF(AL9="Win",1+IF(BQ9=1,0,INDEX(BU$5:BU8,MATCH(BQ9-1,BQ$5:BQ8,0))),0),"")</f>
        <v/>
      </c>
      <c r="BV9" s="66" t="str">
        <f aca="false">IF(BP9=1,IF(AL9="Loss",1+IF(BQ9=1,0,INDEX(BV$5:BV8,MATCH(BQ9-1,BQ$5:BQ8,0))),0),"")</f>
        <v/>
      </c>
    </row>
    <row r="10" customFormat="false" ht="18" hidden="false" customHeight="true" outlineLevel="0" collapsed="false">
      <c r="A10" s="66" t="str">
        <f aca="false">IF(B10="","",ROW()-5)</f>
        <v/>
      </c>
      <c r="B10" s="67"/>
      <c r="C10" s="68" t="str">
        <f aca="false">IF(B10="","",CHOOSE(WEEKDAY(B10,2),"Mon","Tue","Wed","Thu","Fri","Sat","Sun"))</f>
        <v/>
      </c>
      <c r="D10" s="66" t="str">
        <f aca="false">IF(B10="","",WEEKNUM(B10,2))</f>
        <v/>
      </c>
      <c r="E10" s="69"/>
      <c r="F10" s="69"/>
      <c r="G10" s="70"/>
      <c r="H10" s="70"/>
      <c r="I10" s="69"/>
      <c r="J10" s="69"/>
      <c r="K10" s="69"/>
      <c r="L10" s="71"/>
      <c r="M10" s="69"/>
      <c r="N10" s="69"/>
      <c r="O10" s="69"/>
      <c r="P10" s="71"/>
      <c r="Q10" s="69"/>
      <c r="R10" s="69"/>
      <c r="S10" s="69"/>
      <c r="T10" s="69"/>
      <c r="U10" s="69"/>
      <c r="V10" s="69"/>
      <c r="W10" s="69"/>
      <c r="X10" s="66" t="str">
        <f aca="false">IF(B10="","",COUNTIF(Q10:W10,"Yes"))</f>
        <v/>
      </c>
      <c r="Y10" s="68" t="str">
        <f aca="false">IF(B10="","",IF(X10&gt;=Settings!$C$16,"A+",IF(X10&gt;=Settings!$C$17,"A",IF(X10&gt;=Settings!$C$18,"B","C"))))</f>
        <v/>
      </c>
      <c r="Z10" s="72"/>
      <c r="AA10" s="72"/>
      <c r="AB10" s="72"/>
      <c r="AC10" s="72"/>
      <c r="AD10" s="72"/>
      <c r="AE10" s="72"/>
      <c r="AF10" s="73"/>
      <c r="AG10" s="74"/>
      <c r="AH10" s="75"/>
      <c r="AI10" s="76" t="str">
        <f aca="false">IF(B10="","",ROUND(IF(AG10="",Settings!$C$5,AG10)*AW10,2))</f>
        <v/>
      </c>
      <c r="AJ10" s="77" t="str">
        <f aca="false">IF(OR(B10="",AB10="",AC10="",AD10=""),"",IFERROR(ROUND(ABS(AD10-AB10)/ABS(AB10-AC10),2),""))</f>
        <v/>
      </c>
      <c r="AK10" s="78" t="str">
        <f aca="false">IF(OR(B10="",AB10="",AC10="",AE10=""),"",IFERROR(ROUND(IF(J10="Short",AB10-AE10,AE10-AB10)/ABS(AB10-AC10),2),""))</f>
        <v/>
      </c>
      <c r="AL10" s="68" t="str">
        <f aca="false">IF(AK10="","",IF(ABS(AK10)&lt;=Settings!$C$6,"BE",IF(AK10&gt;0,"Win","Loss")))</f>
        <v/>
      </c>
      <c r="AM10" s="79" t="str">
        <f aca="false">IF(OR(AK10="",AI10=""),"",ROUND(AK10*AI10-N(AH10),2))</f>
        <v/>
      </c>
      <c r="AN10" s="76" t="str">
        <f aca="false">IF(AM10="","",ROUND(BK10+SUMIFS(AM$6:AM10,BJ$6:BJ10,BJ10),2))</f>
        <v/>
      </c>
      <c r="AO10" s="78" t="str">
        <f aca="false">IF(AK10="","",ROUND(SUMIFS(AK$6:AK10,BJ$6:BJ10,BJ10),2))</f>
        <v/>
      </c>
      <c r="AP10" s="80" t="str">
        <f aca="false">IF(OR(AK10="",BL10=""),"",IFERROR(ROUND(IF(J10="Short",AB10-AE10,AE10-AB10)/BL10,1),""))</f>
        <v/>
      </c>
      <c r="AQ10" s="66" t="str">
        <f aca="false">IF(OR(G10="",H10=""),"",ROUND(MOD(H10-G10,1)*1440,0))</f>
        <v/>
      </c>
      <c r="AR10" s="68" t="str">
        <f aca="false">IF(AQ10="","",IF(AQ10&lt;15,"Under 15m",IF(AQ10&lt;60,"15-60m",IF(AQ10&lt;240,"1-4 hours","4+ hours"))))</f>
        <v/>
      </c>
      <c r="AS10" s="66" t="str">
        <f aca="false">IF(G10="","",HOUR(G10))</f>
        <v/>
      </c>
      <c r="AT10" s="80" t="str">
        <f aca="false">IF(OR(Z10="",AB10="",BL10=""),"",IFERROR(ROUND(IF(J10="Short",Z10-AB10,AB10-Z10)/BL10,1),""))</f>
        <v/>
      </c>
      <c r="AU10" s="68" t="str">
        <f aca="false">IF(OR(AA10="",AC10=""),"",IF(AA10=AC10,"No","Yes"))</f>
        <v/>
      </c>
      <c r="AV10" s="81" t="str">
        <f aca="false">IF(OR(B10="",BL10="",BM10="",AB10="",AC10=""),"",IFERROR(ROUND(AI10/(ABS(AB10-AC10)/BL10*BM10),2),""))</f>
        <v/>
      </c>
      <c r="AW10" s="76" t="str">
        <f aca="false">IF(B10="","",ROUND(BK10+SUMIFS(AM$5:AM9,BJ$5:BJ9,BJ10),2))</f>
        <v/>
      </c>
      <c r="AX10" s="66" t="str">
        <f aca="false">IF(B10="","",COUNTIFS(B$6:B10,B10,BJ$6:BJ10,BJ10))</f>
        <v/>
      </c>
      <c r="AY10" s="79" t="str">
        <f aca="false">IF(B10="","",ROUND(SUMIFS(AM$5:AM9,B$5:B9,B10,BJ$5:BJ9,BJ10),2))</f>
        <v/>
      </c>
      <c r="AZ10" s="79" t="str">
        <f aca="false">IF(AM10="","",ROUND(AY10+AM10,2))</f>
        <v/>
      </c>
      <c r="BA10" s="79" t="str">
        <f aca="false">IF(B10="","",ROUND(SUMIFS(AM$5:AM9,B$5:B9,"&gt;="&amp;(B10-WEEKDAY(B10,2)+1),B$5:B9,"&lt;="&amp;B10,BJ$5:BJ9,BJ10),2))</f>
        <v/>
      </c>
      <c r="BB10" s="68" t="str">
        <f aca="false">IF(B10="","",IF(AND(AF10&lt;&gt;"",AV10&lt;&gt;"",N(AF10)&gt;N(AV10)*(1+Settings!$C$13)),"Oversized",IF(AX10&gt;Settings!$C$10,"Overtraded",IF(AY10&lt;=-Settings!$C$11*(AW10-AY10),"Daily loss hit",IF(BA10&lt;=-Settings!$C$12*(AW10-BA10),"Weekly loss hit","OK")))))</f>
        <v/>
      </c>
      <c r="BC10" s="69"/>
      <c r="BD10" s="69"/>
      <c r="BE10" s="69"/>
      <c r="BF10" s="73"/>
      <c r="BG10" s="73"/>
      <c r="BH10" s="71"/>
      <c r="BI10" s="71"/>
      <c r="BJ10" s="68" t="str">
        <f aca="false">IF(B10="","",IF(E10="",Settings!$F$5,E10))</f>
        <v/>
      </c>
      <c r="BK10" s="76" t="str">
        <f aca="false">IF(B10="","",IFERROR(INDEX(Settings!$G$5:$G$10,MATCH(BJ10,Settings!$F$5:$F$10,0)),Settings!$G$5))</f>
        <v/>
      </c>
      <c r="BL10" s="82" t="str">
        <f aca="false">IF(I10="","",IFERROR(1/(1/INDEX(Lists!$C$6:$C$17,MATCH(I10,Lists!$B$6:$B$17,0))),""))</f>
        <v/>
      </c>
      <c r="BM10" s="81" t="str">
        <f aca="false">IF(I10="","",IFERROR(1/(1/INDEX(Lists!$D$6:$D$17,MATCH(I10,Lists!$B$6:$B$17,0))),""))</f>
        <v/>
      </c>
      <c r="BN10" s="76" t="str">
        <f aca="false">IF(AN10="","",MAX(BK10,_xlfn.MAXIFS(AN$6:AN10,BJ$6:BJ10,BJ10)))</f>
        <v/>
      </c>
      <c r="BO10" s="83" t="str">
        <f aca="false">IF(AN10="","",(AN10-BN10)/BN10)</f>
        <v/>
      </c>
      <c r="BP10" s="66" t="n">
        <f aca="false">IF(OR(B10="",AL10=""),0,IF(OR(Settings!$C$28="All Accounts",BJ10=Settings!$C$28),1,0))</f>
        <v>0</v>
      </c>
      <c r="BQ10" s="66" t="str">
        <f aca="false">IF(BP10=1,SUM(BP$6:BP10),"")</f>
        <v/>
      </c>
      <c r="BR10" s="76" t="str">
        <f aca="false">IF(BP10=1,ROUND(Settings!$C$29+SUMIFS(AM$6:AM10,BP$6:BP10,1),2),"")</f>
        <v/>
      </c>
      <c r="BS10" s="76" t="str">
        <f aca="false">IF(BP10=1,MAX(Settings!$C$29,MAX(BR$6:BR10)),"")</f>
        <v/>
      </c>
      <c r="BT10" s="83" t="str">
        <f aca="false">IF(BP10=1,(BR10-BS10)/BS10,"")</f>
        <v/>
      </c>
      <c r="BU10" s="66" t="str">
        <f aca="false">IF(BP10=1,IF(AL10="Win",1+IF(BQ10=1,0,INDEX(BU$5:BU9,MATCH(BQ10-1,BQ$5:BQ9,0))),0),"")</f>
        <v/>
      </c>
      <c r="BV10" s="66" t="str">
        <f aca="false">IF(BP10=1,IF(AL10="Loss",1+IF(BQ10=1,0,INDEX(BV$5:BV9,MATCH(BQ10-1,BQ$5:BQ9,0))),0),"")</f>
        <v/>
      </c>
    </row>
    <row r="11" customFormat="false" ht="18" hidden="false" customHeight="true" outlineLevel="0" collapsed="false">
      <c r="A11" s="66" t="str">
        <f aca="false">IF(B11="","",ROW()-5)</f>
        <v/>
      </c>
      <c r="B11" s="67"/>
      <c r="C11" s="68" t="str">
        <f aca="false">IF(B11="","",CHOOSE(WEEKDAY(B11,2),"Mon","Tue","Wed","Thu","Fri","Sat","Sun"))</f>
        <v/>
      </c>
      <c r="D11" s="66" t="str">
        <f aca="false">IF(B11="","",WEEKNUM(B11,2))</f>
        <v/>
      </c>
      <c r="E11" s="69"/>
      <c r="F11" s="69"/>
      <c r="G11" s="70"/>
      <c r="H11" s="70"/>
      <c r="I11" s="69"/>
      <c r="J11" s="69"/>
      <c r="K11" s="69"/>
      <c r="L11" s="71"/>
      <c r="M11" s="69"/>
      <c r="N11" s="69"/>
      <c r="O11" s="69"/>
      <c r="P11" s="71"/>
      <c r="Q11" s="69"/>
      <c r="R11" s="69"/>
      <c r="S11" s="69"/>
      <c r="T11" s="69"/>
      <c r="U11" s="69"/>
      <c r="V11" s="69"/>
      <c r="W11" s="69"/>
      <c r="X11" s="66" t="str">
        <f aca="false">IF(B11="","",COUNTIF(Q11:W11,"Yes"))</f>
        <v/>
      </c>
      <c r="Y11" s="68" t="str">
        <f aca="false">IF(B11="","",IF(X11&gt;=Settings!$C$16,"A+",IF(X11&gt;=Settings!$C$17,"A",IF(X11&gt;=Settings!$C$18,"B","C"))))</f>
        <v/>
      </c>
      <c r="Z11" s="72"/>
      <c r="AA11" s="72"/>
      <c r="AB11" s="72"/>
      <c r="AC11" s="72"/>
      <c r="AD11" s="72"/>
      <c r="AE11" s="72"/>
      <c r="AF11" s="73"/>
      <c r="AG11" s="74"/>
      <c r="AH11" s="75"/>
      <c r="AI11" s="76" t="str">
        <f aca="false">IF(B11="","",ROUND(IF(AG11="",Settings!$C$5,AG11)*AW11,2))</f>
        <v/>
      </c>
      <c r="AJ11" s="77" t="str">
        <f aca="false">IF(OR(B11="",AB11="",AC11="",AD11=""),"",IFERROR(ROUND(ABS(AD11-AB11)/ABS(AB11-AC11),2),""))</f>
        <v/>
      </c>
      <c r="AK11" s="78" t="str">
        <f aca="false">IF(OR(B11="",AB11="",AC11="",AE11=""),"",IFERROR(ROUND(IF(J11="Short",AB11-AE11,AE11-AB11)/ABS(AB11-AC11),2),""))</f>
        <v/>
      </c>
      <c r="AL11" s="68" t="str">
        <f aca="false">IF(AK11="","",IF(ABS(AK11)&lt;=Settings!$C$6,"BE",IF(AK11&gt;0,"Win","Loss")))</f>
        <v/>
      </c>
      <c r="AM11" s="79" t="str">
        <f aca="false">IF(OR(AK11="",AI11=""),"",ROUND(AK11*AI11-N(AH11),2))</f>
        <v/>
      </c>
      <c r="AN11" s="76" t="str">
        <f aca="false">IF(AM11="","",ROUND(BK11+SUMIFS(AM$6:AM11,BJ$6:BJ11,BJ11),2))</f>
        <v/>
      </c>
      <c r="AO11" s="78" t="str">
        <f aca="false">IF(AK11="","",ROUND(SUMIFS(AK$6:AK11,BJ$6:BJ11,BJ11),2))</f>
        <v/>
      </c>
      <c r="AP11" s="80" t="str">
        <f aca="false">IF(OR(AK11="",BL11=""),"",IFERROR(ROUND(IF(J11="Short",AB11-AE11,AE11-AB11)/BL11,1),""))</f>
        <v/>
      </c>
      <c r="AQ11" s="66" t="str">
        <f aca="false">IF(OR(G11="",H11=""),"",ROUND(MOD(H11-G11,1)*1440,0))</f>
        <v/>
      </c>
      <c r="AR11" s="68" t="str">
        <f aca="false">IF(AQ11="","",IF(AQ11&lt;15,"Under 15m",IF(AQ11&lt;60,"15-60m",IF(AQ11&lt;240,"1-4 hours","4+ hours"))))</f>
        <v/>
      </c>
      <c r="AS11" s="66" t="str">
        <f aca="false">IF(G11="","",HOUR(G11))</f>
        <v/>
      </c>
      <c r="AT11" s="80" t="str">
        <f aca="false">IF(OR(Z11="",AB11="",BL11=""),"",IFERROR(ROUND(IF(J11="Short",Z11-AB11,AB11-Z11)/BL11,1),""))</f>
        <v/>
      </c>
      <c r="AU11" s="68" t="str">
        <f aca="false">IF(OR(AA11="",AC11=""),"",IF(AA11=AC11,"No","Yes"))</f>
        <v/>
      </c>
      <c r="AV11" s="81" t="str">
        <f aca="false">IF(OR(B11="",BL11="",BM11="",AB11="",AC11=""),"",IFERROR(ROUND(AI11/(ABS(AB11-AC11)/BL11*BM11),2),""))</f>
        <v/>
      </c>
      <c r="AW11" s="76" t="str">
        <f aca="false">IF(B11="","",ROUND(BK11+SUMIFS(AM$5:AM10,BJ$5:BJ10,BJ11),2))</f>
        <v/>
      </c>
      <c r="AX11" s="66" t="str">
        <f aca="false">IF(B11="","",COUNTIFS(B$6:B11,B11,BJ$6:BJ11,BJ11))</f>
        <v/>
      </c>
      <c r="AY11" s="79" t="str">
        <f aca="false">IF(B11="","",ROUND(SUMIFS(AM$5:AM10,B$5:B10,B11,BJ$5:BJ10,BJ11),2))</f>
        <v/>
      </c>
      <c r="AZ11" s="79" t="str">
        <f aca="false">IF(AM11="","",ROUND(AY11+AM11,2))</f>
        <v/>
      </c>
      <c r="BA11" s="79" t="str">
        <f aca="false">IF(B11="","",ROUND(SUMIFS(AM$5:AM10,B$5:B10,"&gt;="&amp;(B11-WEEKDAY(B11,2)+1),B$5:B10,"&lt;="&amp;B11,BJ$5:BJ10,BJ11),2))</f>
        <v/>
      </c>
      <c r="BB11" s="68" t="str">
        <f aca="false">IF(B11="","",IF(AND(AF11&lt;&gt;"",AV11&lt;&gt;"",N(AF11)&gt;N(AV11)*(1+Settings!$C$13)),"Oversized",IF(AX11&gt;Settings!$C$10,"Overtraded",IF(AY11&lt;=-Settings!$C$11*(AW11-AY11),"Daily loss hit",IF(BA11&lt;=-Settings!$C$12*(AW11-BA11),"Weekly loss hit","OK")))))</f>
        <v/>
      </c>
      <c r="BC11" s="69"/>
      <c r="BD11" s="69"/>
      <c r="BE11" s="69"/>
      <c r="BF11" s="73"/>
      <c r="BG11" s="73"/>
      <c r="BH11" s="71"/>
      <c r="BI11" s="71"/>
      <c r="BJ11" s="68" t="str">
        <f aca="false">IF(B11="","",IF(E11="",Settings!$F$5,E11))</f>
        <v/>
      </c>
      <c r="BK11" s="76" t="str">
        <f aca="false">IF(B11="","",IFERROR(INDEX(Settings!$G$5:$G$10,MATCH(BJ11,Settings!$F$5:$F$10,0)),Settings!$G$5))</f>
        <v/>
      </c>
      <c r="BL11" s="82" t="str">
        <f aca="false">IF(I11="","",IFERROR(1/(1/INDEX(Lists!$C$6:$C$17,MATCH(I11,Lists!$B$6:$B$17,0))),""))</f>
        <v/>
      </c>
      <c r="BM11" s="81" t="str">
        <f aca="false">IF(I11="","",IFERROR(1/(1/INDEX(Lists!$D$6:$D$17,MATCH(I11,Lists!$B$6:$B$17,0))),""))</f>
        <v/>
      </c>
      <c r="BN11" s="76" t="str">
        <f aca="false">IF(AN11="","",MAX(BK11,_xlfn.MAXIFS(AN$6:AN11,BJ$6:BJ11,BJ11)))</f>
        <v/>
      </c>
      <c r="BO11" s="83" t="str">
        <f aca="false">IF(AN11="","",(AN11-BN11)/BN11)</f>
        <v/>
      </c>
      <c r="BP11" s="66" t="n">
        <f aca="false">IF(OR(B11="",AL11=""),0,IF(OR(Settings!$C$28="All Accounts",BJ11=Settings!$C$28),1,0))</f>
        <v>0</v>
      </c>
      <c r="BQ11" s="66" t="str">
        <f aca="false">IF(BP11=1,SUM(BP$6:BP11),"")</f>
        <v/>
      </c>
      <c r="BR11" s="76" t="str">
        <f aca="false">IF(BP11=1,ROUND(Settings!$C$29+SUMIFS(AM$6:AM11,BP$6:BP11,1),2),"")</f>
        <v/>
      </c>
      <c r="BS11" s="76" t="str">
        <f aca="false">IF(BP11=1,MAX(Settings!$C$29,MAX(BR$6:BR11)),"")</f>
        <v/>
      </c>
      <c r="BT11" s="83" t="str">
        <f aca="false">IF(BP11=1,(BR11-BS11)/BS11,"")</f>
        <v/>
      </c>
      <c r="BU11" s="66" t="str">
        <f aca="false">IF(BP11=1,IF(AL11="Win",1+IF(BQ11=1,0,INDEX(BU$5:BU10,MATCH(BQ11-1,BQ$5:BQ10,0))),0),"")</f>
        <v/>
      </c>
      <c r="BV11" s="66" t="str">
        <f aca="false">IF(BP11=1,IF(AL11="Loss",1+IF(BQ11=1,0,INDEX(BV$5:BV10,MATCH(BQ11-1,BQ$5:BQ10,0))),0),"")</f>
        <v/>
      </c>
    </row>
    <row r="12" customFormat="false" ht="18" hidden="false" customHeight="true" outlineLevel="0" collapsed="false">
      <c r="A12" s="66" t="str">
        <f aca="false">IF(B12="","",ROW()-5)</f>
        <v/>
      </c>
      <c r="B12" s="67"/>
      <c r="C12" s="68" t="str">
        <f aca="false">IF(B12="","",CHOOSE(WEEKDAY(B12,2),"Mon","Tue","Wed","Thu","Fri","Sat","Sun"))</f>
        <v/>
      </c>
      <c r="D12" s="66" t="str">
        <f aca="false">IF(B12="","",WEEKNUM(B12,2))</f>
        <v/>
      </c>
      <c r="E12" s="69"/>
      <c r="F12" s="69"/>
      <c r="G12" s="70"/>
      <c r="H12" s="70"/>
      <c r="I12" s="69"/>
      <c r="J12" s="69"/>
      <c r="K12" s="69"/>
      <c r="L12" s="71"/>
      <c r="M12" s="69"/>
      <c r="N12" s="69"/>
      <c r="O12" s="69"/>
      <c r="P12" s="71"/>
      <c r="Q12" s="69"/>
      <c r="R12" s="69"/>
      <c r="S12" s="69"/>
      <c r="T12" s="69"/>
      <c r="U12" s="69"/>
      <c r="V12" s="69"/>
      <c r="W12" s="69"/>
      <c r="X12" s="66" t="str">
        <f aca="false">IF(B12="","",COUNTIF(Q12:W12,"Yes"))</f>
        <v/>
      </c>
      <c r="Y12" s="68" t="str">
        <f aca="false">IF(B12="","",IF(X12&gt;=Settings!$C$16,"A+",IF(X12&gt;=Settings!$C$17,"A",IF(X12&gt;=Settings!$C$18,"B","C"))))</f>
        <v/>
      </c>
      <c r="Z12" s="72"/>
      <c r="AA12" s="72"/>
      <c r="AB12" s="72"/>
      <c r="AC12" s="72"/>
      <c r="AD12" s="72"/>
      <c r="AE12" s="72"/>
      <c r="AF12" s="73"/>
      <c r="AG12" s="74"/>
      <c r="AH12" s="75"/>
      <c r="AI12" s="76" t="str">
        <f aca="false">IF(B12="","",ROUND(IF(AG12="",Settings!$C$5,AG12)*AW12,2))</f>
        <v/>
      </c>
      <c r="AJ12" s="77" t="str">
        <f aca="false">IF(OR(B12="",AB12="",AC12="",AD12=""),"",IFERROR(ROUND(ABS(AD12-AB12)/ABS(AB12-AC12),2),""))</f>
        <v/>
      </c>
      <c r="AK12" s="78" t="str">
        <f aca="false">IF(OR(B12="",AB12="",AC12="",AE12=""),"",IFERROR(ROUND(IF(J12="Short",AB12-AE12,AE12-AB12)/ABS(AB12-AC12),2),""))</f>
        <v/>
      </c>
      <c r="AL12" s="68" t="str">
        <f aca="false">IF(AK12="","",IF(ABS(AK12)&lt;=Settings!$C$6,"BE",IF(AK12&gt;0,"Win","Loss")))</f>
        <v/>
      </c>
      <c r="AM12" s="79" t="str">
        <f aca="false">IF(OR(AK12="",AI12=""),"",ROUND(AK12*AI12-N(AH12),2))</f>
        <v/>
      </c>
      <c r="AN12" s="76" t="str">
        <f aca="false">IF(AM12="","",ROUND(BK12+SUMIFS(AM$6:AM12,BJ$6:BJ12,BJ12),2))</f>
        <v/>
      </c>
      <c r="AO12" s="78" t="str">
        <f aca="false">IF(AK12="","",ROUND(SUMIFS(AK$6:AK12,BJ$6:BJ12,BJ12),2))</f>
        <v/>
      </c>
      <c r="AP12" s="80" t="str">
        <f aca="false">IF(OR(AK12="",BL12=""),"",IFERROR(ROUND(IF(J12="Short",AB12-AE12,AE12-AB12)/BL12,1),""))</f>
        <v/>
      </c>
      <c r="AQ12" s="66" t="str">
        <f aca="false">IF(OR(G12="",H12=""),"",ROUND(MOD(H12-G12,1)*1440,0))</f>
        <v/>
      </c>
      <c r="AR12" s="68" t="str">
        <f aca="false">IF(AQ12="","",IF(AQ12&lt;15,"Under 15m",IF(AQ12&lt;60,"15-60m",IF(AQ12&lt;240,"1-4 hours","4+ hours"))))</f>
        <v/>
      </c>
      <c r="AS12" s="66" t="str">
        <f aca="false">IF(G12="","",HOUR(G12))</f>
        <v/>
      </c>
      <c r="AT12" s="80" t="str">
        <f aca="false">IF(OR(Z12="",AB12="",BL12=""),"",IFERROR(ROUND(IF(J12="Short",Z12-AB12,AB12-Z12)/BL12,1),""))</f>
        <v/>
      </c>
      <c r="AU12" s="68" t="str">
        <f aca="false">IF(OR(AA12="",AC12=""),"",IF(AA12=AC12,"No","Yes"))</f>
        <v/>
      </c>
      <c r="AV12" s="81" t="str">
        <f aca="false">IF(OR(B12="",BL12="",BM12="",AB12="",AC12=""),"",IFERROR(ROUND(AI12/(ABS(AB12-AC12)/BL12*BM12),2),""))</f>
        <v/>
      </c>
      <c r="AW12" s="76" t="str">
        <f aca="false">IF(B12="","",ROUND(BK12+SUMIFS(AM$5:AM11,BJ$5:BJ11,BJ12),2))</f>
        <v/>
      </c>
      <c r="AX12" s="66" t="str">
        <f aca="false">IF(B12="","",COUNTIFS(B$6:B12,B12,BJ$6:BJ12,BJ12))</f>
        <v/>
      </c>
      <c r="AY12" s="79" t="str">
        <f aca="false">IF(B12="","",ROUND(SUMIFS(AM$5:AM11,B$5:B11,B12,BJ$5:BJ11,BJ12),2))</f>
        <v/>
      </c>
      <c r="AZ12" s="79" t="str">
        <f aca="false">IF(AM12="","",ROUND(AY12+AM12,2))</f>
        <v/>
      </c>
      <c r="BA12" s="79" t="str">
        <f aca="false">IF(B12="","",ROUND(SUMIFS(AM$5:AM11,B$5:B11,"&gt;="&amp;(B12-WEEKDAY(B12,2)+1),B$5:B11,"&lt;="&amp;B12,BJ$5:BJ11,BJ12),2))</f>
        <v/>
      </c>
      <c r="BB12" s="68" t="str">
        <f aca="false">IF(B12="","",IF(AND(AF12&lt;&gt;"",AV12&lt;&gt;"",N(AF12)&gt;N(AV12)*(1+Settings!$C$13)),"Oversized",IF(AX12&gt;Settings!$C$10,"Overtraded",IF(AY12&lt;=-Settings!$C$11*(AW12-AY12),"Daily loss hit",IF(BA12&lt;=-Settings!$C$12*(AW12-BA12),"Weekly loss hit","OK")))))</f>
        <v/>
      </c>
      <c r="BC12" s="69"/>
      <c r="BD12" s="69"/>
      <c r="BE12" s="69"/>
      <c r="BF12" s="73"/>
      <c r="BG12" s="73"/>
      <c r="BH12" s="71"/>
      <c r="BI12" s="71"/>
      <c r="BJ12" s="68" t="str">
        <f aca="false">IF(B12="","",IF(E12="",Settings!$F$5,E12))</f>
        <v/>
      </c>
      <c r="BK12" s="76" t="str">
        <f aca="false">IF(B12="","",IFERROR(INDEX(Settings!$G$5:$G$10,MATCH(BJ12,Settings!$F$5:$F$10,0)),Settings!$G$5))</f>
        <v/>
      </c>
      <c r="BL12" s="82" t="str">
        <f aca="false">IF(I12="","",IFERROR(1/(1/INDEX(Lists!$C$6:$C$17,MATCH(I12,Lists!$B$6:$B$17,0))),""))</f>
        <v/>
      </c>
      <c r="BM12" s="81" t="str">
        <f aca="false">IF(I12="","",IFERROR(1/(1/INDEX(Lists!$D$6:$D$17,MATCH(I12,Lists!$B$6:$B$17,0))),""))</f>
        <v/>
      </c>
      <c r="BN12" s="76" t="str">
        <f aca="false">IF(AN12="","",MAX(BK12,_xlfn.MAXIFS(AN$6:AN12,BJ$6:BJ12,BJ12)))</f>
        <v/>
      </c>
      <c r="BO12" s="83" t="str">
        <f aca="false">IF(AN12="","",(AN12-BN12)/BN12)</f>
        <v/>
      </c>
      <c r="BP12" s="66" t="n">
        <f aca="false">IF(OR(B12="",AL12=""),0,IF(OR(Settings!$C$28="All Accounts",BJ12=Settings!$C$28),1,0))</f>
        <v>0</v>
      </c>
      <c r="BQ12" s="66" t="str">
        <f aca="false">IF(BP12=1,SUM(BP$6:BP12),"")</f>
        <v/>
      </c>
      <c r="BR12" s="76" t="str">
        <f aca="false">IF(BP12=1,ROUND(Settings!$C$29+SUMIFS(AM$6:AM12,BP$6:BP12,1),2),"")</f>
        <v/>
      </c>
      <c r="BS12" s="76" t="str">
        <f aca="false">IF(BP12=1,MAX(Settings!$C$29,MAX(BR$6:BR12)),"")</f>
        <v/>
      </c>
      <c r="BT12" s="83" t="str">
        <f aca="false">IF(BP12=1,(BR12-BS12)/BS12,"")</f>
        <v/>
      </c>
      <c r="BU12" s="66" t="str">
        <f aca="false">IF(BP12=1,IF(AL12="Win",1+IF(BQ12=1,0,INDEX(BU$5:BU11,MATCH(BQ12-1,BQ$5:BQ11,0))),0),"")</f>
        <v/>
      </c>
      <c r="BV12" s="66" t="str">
        <f aca="false">IF(BP12=1,IF(AL12="Loss",1+IF(BQ12=1,0,INDEX(BV$5:BV11,MATCH(BQ12-1,BQ$5:BQ11,0))),0),"")</f>
        <v/>
      </c>
    </row>
    <row r="13" customFormat="false" ht="18" hidden="false" customHeight="true" outlineLevel="0" collapsed="false">
      <c r="A13" s="66" t="str">
        <f aca="false">IF(B13="","",ROW()-5)</f>
        <v/>
      </c>
      <c r="B13" s="67"/>
      <c r="C13" s="68" t="str">
        <f aca="false">IF(B13="","",CHOOSE(WEEKDAY(B13,2),"Mon","Tue","Wed","Thu","Fri","Sat","Sun"))</f>
        <v/>
      </c>
      <c r="D13" s="66" t="str">
        <f aca="false">IF(B13="","",WEEKNUM(B13,2))</f>
        <v/>
      </c>
      <c r="E13" s="69"/>
      <c r="F13" s="69"/>
      <c r="G13" s="70"/>
      <c r="H13" s="70"/>
      <c r="I13" s="69"/>
      <c r="J13" s="69"/>
      <c r="K13" s="69"/>
      <c r="L13" s="71"/>
      <c r="M13" s="69"/>
      <c r="N13" s="69"/>
      <c r="O13" s="69"/>
      <c r="P13" s="71"/>
      <c r="Q13" s="69"/>
      <c r="R13" s="69"/>
      <c r="S13" s="69"/>
      <c r="T13" s="69"/>
      <c r="U13" s="69"/>
      <c r="V13" s="69"/>
      <c r="W13" s="69"/>
      <c r="X13" s="66" t="str">
        <f aca="false">IF(B13="","",COUNTIF(Q13:W13,"Yes"))</f>
        <v/>
      </c>
      <c r="Y13" s="68" t="str">
        <f aca="false">IF(B13="","",IF(X13&gt;=Settings!$C$16,"A+",IF(X13&gt;=Settings!$C$17,"A",IF(X13&gt;=Settings!$C$18,"B","C"))))</f>
        <v/>
      </c>
      <c r="Z13" s="72"/>
      <c r="AA13" s="72"/>
      <c r="AB13" s="72"/>
      <c r="AC13" s="72"/>
      <c r="AD13" s="72"/>
      <c r="AE13" s="72"/>
      <c r="AF13" s="73"/>
      <c r="AG13" s="74"/>
      <c r="AH13" s="75"/>
      <c r="AI13" s="76" t="str">
        <f aca="false">IF(B13="","",ROUND(IF(AG13="",Settings!$C$5,AG13)*AW13,2))</f>
        <v/>
      </c>
      <c r="AJ13" s="77" t="str">
        <f aca="false">IF(OR(B13="",AB13="",AC13="",AD13=""),"",IFERROR(ROUND(ABS(AD13-AB13)/ABS(AB13-AC13),2),""))</f>
        <v/>
      </c>
      <c r="AK13" s="78" t="str">
        <f aca="false">IF(OR(B13="",AB13="",AC13="",AE13=""),"",IFERROR(ROUND(IF(J13="Short",AB13-AE13,AE13-AB13)/ABS(AB13-AC13),2),""))</f>
        <v/>
      </c>
      <c r="AL13" s="68" t="str">
        <f aca="false">IF(AK13="","",IF(ABS(AK13)&lt;=Settings!$C$6,"BE",IF(AK13&gt;0,"Win","Loss")))</f>
        <v/>
      </c>
      <c r="AM13" s="79" t="str">
        <f aca="false">IF(OR(AK13="",AI13=""),"",ROUND(AK13*AI13-N(AH13),2))</f>
        <v/>
      </c>
      <c r="AN13" s="76" t="str">
        <f aca="false">IF(AM13="","",ROUND(BK13+SUMIFS(AM$6:AM13,BJ$6:BJ13,BJ13),2))</f>
        <v/>
      </c>
      <c r="AO13" s="78" t="str">
        <f aca="false">IF(AK13="","",ROUND(SUMIFS(AK$6:AK13,BJ$6:BJ13,BJ13),2))</f>
        <v/>
      </c>
      <c r="AP13" s="80" t="str">
        <f aca="false">IF(OR(AK13="",BL13=""),"",IFERROR(ROUND(IF(J13="Short",AB13-AE13,AE13-AB13)/BL13,1),""))</f>
        <v/>
      </c>
      <c r="AQ13" s="66" t="str">
        <f aca="false">IF(OR(G13="",H13=""),"",ROUND(MOD(H13-G13,1)*1440,0))</f>
        <v/>
      </c>
      <c r="AR13" s="68" t="str">
        <f aca="false">IF(AQ13="","",IF(AQ13&lt;15,"Under 15m",IF(AQ13&lt;60,"15-60m",IF(AQ13&lt;240,"1-4 hours","4+ hours"))))</f>
        <v/>
      </c>
      <c r="AS13" s="66" t="str">
        <f aca="false">IF(G13="","",HOUR(G13))</f>
        <v/>
      </c>
      <c r="AT13" s="80" t="str">
        <f aca="false">IF(OR(Z13="",AB13="",BL13=""),"",IFERROR(ROUND(IF(J13="Short",Z13-AB13,AB13-Z13)/BL13,1),""))</f>
        <v/>
      </c>
      <c r="AU13" s="68" t="str">
        <f aca="false">IF(OR(AA13="",AC13=""),"",IF(AA13=AC13,"No","Yes"))</f>
        <v/>
      </c>
      <c r="AV13" s="81" t="str">
        <f aca="false">IF(OR(B13="",BL13="",BM13="",AB13="",AC13=""),"",IFERROR(ROUND(AI13/(ABS(AB13-AC13)/BL13*BM13),2),""))</f>
        <v/>
      </c>
      <c r="AW13" s="76" t="str">
        <f aca="false">IF(B13="","",ROUND(BK13+SUMIFS(AM$5:AM12,BJ$5:BJ12,BJ13),2))</f>
        <v/>
      </c>
      <c r="AX13" s="66" t="str">
        <f aca="false">IF(B13="","",COUNTIFS(B$6:B13,B13,BJ$6:BJ13,BJ13))</f>
        <v/>
      </c>
      <c r="AY13" s="79" t="str">
        <f aca="false">IF(B13="","",ROUND(SUMIFS(AM$5:AM12,B$5:B12,B13,BJ$5:BJ12,BJ13),2))</f>
        <v/>
      </c>
      <c r="AZ13" s="79" t="str">
        <f aca="false">IF(AM13="","",ROUND(AY13+AM13,2))</f>
        <v/>
      </c>
      <c r="BA13" s="79" t="str">
        <f aca="false">IF(B13="","",ROUND(SUMIFS(AM$5:AM12,B$5:B12,"&gt;="&amp;(B13-WEEKDAY(B13,2)+1),B$5:B12,"&lt;="&amp;B13,BJ$5:BJ12,BJ13),2))</f>
        <v/>
      </c>
      <c r="BB13" s="68" t="str">
        <f aca="false">IF(B13="","",IF(AND(AF13&lt;&gt;"",AV13&lt;&gt;"",N(AF13)&gt;N(AV13)*(1+Settings!$C$13)),"Oversized",IF(AX13&gt;Settings!$C$10,"Overtraded",IF(AY13&lt;=-Settings!$C$11*(AW13-AY13),"Daily loss hit",IF(BA13&lt;=-Settings!$C$12*(AW13-BA13),"Weekly loss hit","OK")))))</f>
        <v/>
      </c>
      <c r="BC13" s="69"/>
      <c r="BD13" s="69"/>
      <c r="BE13" s="69"/>
      <c r="BF13" s="73"/>
      <c r="BG13" s="73"/>
      <c r="BH13" s="71"/>
      <c r="BI13" s="71"/>
      <c r="BJ13" s="68" t="str">
        <f aca="false">IF(B13="","",IF(E13="",Settings!$F$5,E13))</f>
        <v/>
      </c>
      <c r="BK13" s="76" t="str">
        <f aca="false">IF(B13="","",IFERROR(INDEX(Settings!$G$5:$G$10,MATCH(BJ13,Settings!$F$5:$F$10,0)),Settings!$G$5))</f>
        <v/>
      </c>
      <c r="BL13" s="82" t="str">
        <f aca="false">IF(I13="","",IFERROR(1/(1/INDEX(Lists!$C$6:$C$17,MATCH(I13,Lists!$B$6:$B$17,0))),""))</f>
        <v/>
      </c>
      <c r="BM13" s="81" t="str">
        <f aca="false">IF(I13="","",IFERROR(1/(1/INDEX(Lists!$D$6:$D$17,MATCH(I13,Lists!$B$6:$B$17,0))),""))</f>
        <v/>
      </c>
      <c r="BN13" s="76" t="str">
        <f aca="false">IF(AN13="","",MAX(BK13,_xlfn.MAXIFS(AN$6:AN13,BJ$6:BJ13,BJ13)))</f>
        <v/>
      </c>
      <c r="BO13" s="83" t="str">
        <f aca="false">IF(AN13="","",(AN13-BN13)/BN13)</f>
        <v/>
      </c>
      <c r="BP13" s="66" t="n">
        <f aca="false">IF(OR(B13="",AL13=""),0,IF(OR(Settings!$C$28="All Accounts",BJ13=Settings!$C$28),1,0))</f>
        <v>0</v>
      </c>
      <c r="BQ13" s="66" t="str">
        <f aca="false">IF(BP13=1,SUM(BP$6:BP13),"")</f>
        <v/>
      </c>
      <c r="BR13" s="76" t="str">
        <f aca="false">IF(BP13=1,ROUND(Settings!$C$29+SUMIFS(AM$6:AM13,BP$6:BP13,1),2),"")</f>
        <v/>
      </c>
      <c r="BS13" s="76" t="str">
        <f aca="false">IF(BP13=1,MAX(Settings!$C$29,MAX(BR$6:BR13)),"")</f>
        <v/>
      </c>
      <c r="BT13" s="83" t="str">
        <f aca="false">IF(BP13=1,(BR13-BS13)/BS13,"")</f>
        <v/>
      </c>
      <c r="BU13" s="66" t="str">
        <f aca="false">IF(BP13=1,IF(AL13="Win",1+IF(BQ13=1,0,INDEX(BU$5:BU12,MATCH(BQ13-1,BQ$5:BQ12,0))),0),"")</f>
        <v/>
      </c>
      <c r="BV13" s="66" t="str">
        <f aca="false">IF(BP13=1,IF(AL13="Loss",1+IF(BQ13=1,0,INDEX(BV$5:BV12,MATCH(BQ13-1,BQ$5:BQ12,0))),0),"")</f>
        <v/>
      </c>
    </row>
    <row r="14" customFormat="false" ht="18" hidden="false" customHeight="true" outlineLevel="0" collapsed="false">
      <c r="A14" s="66" t="str">
        <f aca="false">IF(B14="","",ROW()-5)</f>
        <v/>
      </c>
      <c r="B14" s="67"/>
      <c r="C14" s="68" t="str">
        <f aca="false">IF(B14="","",CHOOSE(WEEKDAY(B14,2),"Mon","Tue","Wed","Thu","Fri","Sat","Sun"))</f>
        <v/>
      </c>
      <c r="D14" s="66" t="str">
        <f aca="false">IF(B14="","",WEEKNUM(B14,2))</f>
        <v/>
      </c>
      <c r="E14" s="69"/>
      <c r="F14" s="69"/>
      <c r="G14" s="70"/>
      <c r="H14" s="70"/>
      <c r="I14" s="69"/>
      <c r="J14" s="69"/>
      <c r="K14" s="69"/>
      <c r="L14" s="71"/>
      <c r="M14" s="69"/>
      <c r="N14" s="69"/>
      <c r="O14" s="69"/>
      <c r="P14" s="71"/>
      <c r="Q14" s="69"/>
      <c r="R14" s="69"/>
      <c r="S14" s="69"/>
      <c r="T14" s="69"/>
      <c r="U14" s="69"/>
      <c r="V14" s="69"/>
      <c r="W14" s="69"/>
      <c r="X14" s="66" t="str">
        <f aca="false">IF(B14="","",COUNTIF(Q14:W14,"Yes"))</f>
        <v/>
      </c>
      <c r="Y14" s="68" t="str">
        <f aca="false">IF(B14="","",IF(X14&gt;=Settings!$C$16,"A+",IF(X14&gt;=Settings!$C$17,"A",IF(X14&gt;=Settings!$C$18,"B","C"))))</f>
        <v/>
      </c>
      <c r="Z14" s="72"/>
      <c r="AA14" s="72"/>
      <c r="AB14" s="72"/>
      <c r="AC14" s="72"/>
      <c r="AD14" s="72"/>
      <c r="AE14" s="72"/>
      <c r="AF14" s="73"/>
      <c r="AG14" s="74"/>
      <c r="AH14" s="75"/>
      <c r="AI14" s="76" t="str">
        <f aca="false">IF(B14="","",ROUND(IF(AG14="",Settings!$C$5,AG14)*AW14,2))</f>
        <v/>
      </c>
      <c r="AJ14" s="77" t="str">
        <f aca="false">IF(OR(B14="",AB14="",AC14="",AD14=""),"",IFERROR(ROUND(ABS(AD14-AB14)/ABS(AB14-AC14),2),""))</f>
        <v/>
      </c>
      <c r="AK14" s="78" t="str">
        <f aca="false">IF(OR(B14="",AB14="",AC14="",AE14=""),"",IFERROR(ROUND(IF(J14="Short",AB14-AE14,AE14-AB14)/ABS(AB14-AC14),2),""))</f>
        <v/>
      </c>
      <c r="AL14" s="68" t="str">
        <f aca="false">IF(AK14="","",IF(ABS(AK14)&lt;=Settings!$C$6,"BE",IF(AK14&gt;0,"Win","Loss")))</f>
        <v/>
      </c>
      <c r="AM14" s="79" t="str">
        <f aca="false">IF(OR(AK14="",AI14=""),"",ROUND(AK14*AI14-N(AH14),2))</f>
        <v/>
      </c>
      <c r="AN14" s="76" t="str">
        <f aca="false">IF(AM14="","",ROUND(BK14+SUMIFS(AM$6:AM14,BJ$6:BJ14,BJ14),2))</f>
        <v/>
      </c>
      <c r="AO14" s="78" t="str">
        <f aca="false">IF(AK14="","",ROUND(SUMIFS(AK$6:AK14,BJ$6:BJ14,BJ14),2))</f>
        <v/>
      </c>
      <c r="AP14" s="80" t="str">
        <f aca="false">IF(OR(AK14="",BL14=""),"",IFERROR(ROUND(IF(J14="Short",AB14-AE14,AE14-AB14)/BL14,1),""))</f>
        <v/>
      </c>
      <c r="AQ14" s="66" t="str">
        <f aca="false">IF(OR(G14="",H14=""),"",ROUND(MOD(H14-G14,1)*1440,0))</f>
        <v/>
      </c>
      <c r="AR14" s="68" t="str">
        <f aca="false">IF(AQ14="","",IF(AQ14&lt;15,"Under 15m",IF(AQ14&lt;60,"15-60m",IF(AQ14&lt;240,"1-4 hours","4+ hours"))))</f>
        <v/>
      </c>
      <c r="AS14" s="66" t="str">
        <f aca="false">IF(G14="","",HOUR(G14))</f>
        <v/>
      </c>
      <c r="AT14" s="80" t="str">
        <f aca="false">IF(OR(Z14="",AB14="",BL14=""),"",IFERROR(ROUND(IF(J14="Short",Z14-AB14,AB14-Z14)/BL14,1),""))</f>
        <v/>
      </c>
      <c r="AU14" s="68" t="str">
        <f aca="false">IF(OR(AA14="",AC14=""),"",IF(AA14=AC14,"No","Yes"))</f>
        <v/>
      </c>
      <c r="AV14" s="81" t="str">
        <f aca="false">IF(OR(B14="",BL14="",BM14="",AB14="",AC14=""),"",IFERROR(ROUND(AI14/(ABS(AB14-AC14)/BL14*BM14),2),""))</f>
        <v/>
      </c>
      <c r="AW14" s="76" t="str">
        <f aca="false">IF(B14="","",ROUND(BK14+SUMIFS(AM$5:AM13,BJ$5:BJ13,BJ14),2))</f>
        <v/>
      </c>
      <c r="AX14" s="66" t="str">
        <f aca="false">IF(B14="","",COUNTIFS(B$6:B14,B14,BJ$6:BJ14,BJ14))</f>
        <v/>
      </c>
      <c r="AY14" s="79" t="str">
        <f aca="false">IF(B14="","",ROUND(SUMIFS(AM$5:AM13,B$5:B13,B14,BJ$5:BJ13,BJ14),2))</f>
        <v/>
      </c>
      <c r="AZ14" s="79" t="str">
        <f aca="false">IF(AM14="","",ROUND(AY14+AM14,2))</f>
        <v/>
      </c>
      <c r="BA14" s="79" t="str">
        <f aca="false">IF(B14="","",ROUND(SUMIFS(AM$5:AM13,B$5:B13,"&gt;="&amp;(B14-WEEKDAY(B14,2)+1),B$5:B13,"&lt;="&amp;B14,BJ$5:BJ13,BJ14),2))</f>
        <v/>
      </c>
      <c r="BB14" s="68" t="str">
        <f aca="false">IF(B14="","",IF(AND(AF14&lt;&gt;"",AV14&lt;&gt;"",N(AF14)&gt;N(AV14)*(1+Settings!$C$13)),"Oversized",IF(AX14&gt;Settings!$C$10,"Overtraded",IF(AY14&lt;=-Settings!$C$11*(AW14-AY14),"Daily loss hit",IF(BA14&lt;=-Settings!$C$12*(AW14-BA14),"Weekly loss hit","OK")))))</f>
        <v/>
      </c>
      <c r="BC14" s="69"/>
      <c r="BD14" s="69"/>
      <c r="BE14" s="69"/>
      <c r="BF14" s="73"/>
      <c r="BG14" s="73"/>
      <c r="BH14" s="71"/>
      <c r="BI14" s="71"/>
      <c r="BJ14" s="68" t="str">
        <f aca="false">IF(B14="","",IF(E14="",Settings!$F$5,E14))</f>
        <v/>
      </c>
      <c r="BK14" s="76" t="str">
        <f aca="false">IF(B14="","",IFERROR(INDEX(Settings!$G$5:$G$10,MATCH(BJ14,Settings!$F$5:$F$10,0)),Settings!$G$5))</f>
        <v/>
      </c>
      <c r="BL14" s="82" t="str">
        <f aca="false">IF(I14="","",IFERROR(1/(1/INDEX(Lists!$C$6:$C$17,MATCH(I14,Lists!$B$6:$B$17,0))),""))</f>
        <v/>
      </c>
      <c r="BM14" s="81" t="str">
        <f aca="false">IF(I14="","",IFERROR(1/(1/INDEX(Lists!$D$6:$D$17,MATCH(I14,Lists!$B$6:$B$17,0))),""))</f>
        <v/>
      </c>
      <c r="BN14" s="76" t="str">
        <f aca="false">IF(AN14="","",MAX(BK14,_xlfn.MAXIFS(AN$6:AN14,BJ$6:BJ14,BJ14)))</f>
        <v/>
      </c>
      <c r="BO14" s="83" t="str">
        <f aca="false">IF(AN14="","",(AN14-BN14)/BN14)</f>
        <v/>
      </c>
      <c r="BP14" s="66" t="n">
        <f aca="false">IF(OR(B14="",AL14=""),0,IF(OR(Settings!$C$28="All Accounts",BJ14=Settings!$C$28),1,0))</f>
        <v>0</v>
      </c>
      <c r="BQ14" s="66" t="str">
        <f aca="false">IF(BP14=1,SUM(BP$6:BP14),"")</f>
        <v/>
      </c>
      <c r="BR14" s="76" t="str">
        <f aca="false">IF(BP14=1,ROUND(Settings!$C$29+SUMIFS(AM$6:AM14,BP$6:BP14,1),2),"")</f>
        <v/>
      </c>
      <c r="BS14" s="76" t="str">
        <f aca="false">IF(BP14=1,MAX(Settings!$C$29,MAX(BR$6:BR14)),"")</f>
        <v/>
      </c>
      <c r="BT14" s="83" t="str">
        <f aca="false">IF(BP14=1,(BR14-BS14)/BS14,"")</f>
        <v/>
      </c>
      <c r="BU14" s="66" t="str">
        <f aca="false">IF(BP14=1,IF(AL14="Win",1+IF(BQ14=1,0,INDEX(BU$5:BU13,MATCH(BQ14-1,BQ$5:BQ13,0))),0),"")</f>
        <v/>
      </c>
      <c r="BV14" s="66" t="str">
        <f aca="false">IF(BP14=1,IF(AL14="Loss",1+IF(BQ14=1,0,INDEX(BV$5:BV13,MATCH(BQ14-1,BQ$5:BQ13,0))),0),"")</f>
        <v/>
      </c>
    </row>
    <row r="15" customFormat="false" ht="18" hidden="false" customHeight="true" outlineLevel="0" collapsed="false">
      <c r="A15" s="66" t="str">
        <f aca="false">IF(B15="","",ROW()-5)</f>
        <v/>
      </c>
      <c r="B15" s="67"/>
      <c r="C15" s="68" t="str">
        <f aca="false">IF(B15="","",CHOOSE(WEEKDAY(B15,2),"Mon","Tue","Wed","Thu","Fri","Sat","Sun"))</f>
        <v/>
      </c>
      <c r="D15" s="66" t="str">
        <f aca="false">IF(B15="","",WEEKNUM(B15,2))</f>
        <v/>
      </c>
      <c r="E15" s="69"/>
      <c r="F15" s="69"/>
      <c r="G15" s="70"/>
      <c r="H15" s="70"/>
      <c r="I15" s="69"/>
      <c r="J15" s="69"/>
      <c r="K15" s="69"/>
      <c r="L15" s="71"/>
      <c r="M15" s="69"/>
      <c r="N15" s="69"/>
      <c r="O15" s="69"/>
      <c r="P15" s="71"/>
      <c r="Q15" s="69"/>
      <c r="R15" s="69"/>
      <c r="S15" s="69"/>
      <c r="T15" s="69"/>
      <c r="U15" s="69"/>
      <c r="V15" s="69"/>
      <c r="W15" s="69"/>
      <c r="X15" s="66" t="str">
        <f aca="false">IF(B15="","",COUNTIF(Q15:W15,"Yes"))</f>
        <v/>
      </c>
      <c r="Y15" s="68" t="str">
        <f aca="false">IF(B15="","",IF(X15&gt;=Settings!$C$16,"A+",IF(X15&gt;=Settings!$C$17,"A",IF(X15&gt;=Settings!$C$18,"B","C"))))</f>
        <v/>
      </c>
      <c r="Z15" s="72"/>
      <c r="AA15" s="72"/>
      <c r="AB15" s="72"/>
      <c r="AC15" s="72"/>
      <c r="AD15" s="72"/>
      <c r="AE15" s="72"/>
      <c r="AF15" s="73"/>
      <c r="AG15" s="74"/>
      <c r="AH15" s="75"/>
      <c r="AI15" s="76" t="str">
        <f aca="false">IF(B15="","",ROUND(IF(AG15="",Settings!$C$5,AG15)*AW15,2))</f>
        <v/>
      </c>
      <c r="AJ15" s="77" t="str">
        <f aca="false">IF(OR(B15="",AB15="",AC15="",AD15=""),"",IFERROR(ROUND(ABS(AD15-AB15)/ABS(AB15-AC15),2),""))</f>
        <v/>
      </c>
      <c r="AK15" s="78" t="str">
        <f aca="false">IF(OR(B15="",AB15="",AC15="",AE15=""),"",IFERROR(ROUND(IF(J15="Short",AB15-AE15,AE15-AB15)/ABS(AB15-AC15),2),""))</f>
        <v/>
      </c>
      <c r="AL15" s="68" t="str">
        <f aca="false">IF(AK15="","",IF(ABS(AK15)&lt;=Settings!$C$6,"BE",IF(AK15&gt;0,"Win","Loss")))</f>
        <v/>
      </c>
      <c r="AM15" s="79" t="str">
        <f aca="false">IF(OR(AK15="",AI15=""),"",ROUND(AK15*AI15-N(AH15),2))</f>
        <v/>
      </c>
      <c r="AN15" s="76" t="str">
        <f aca="false">IF(AM15="","",ROUND(BK15+SUMIFS(AM$6:AM15,BJ$6:BJ15,BJ15),2))</f>
        <v/>
      </c>
      <c r="AO15" s="78" t="str">
        <f aca="false">IF(AK15="","",ROUND(SUMIFS(AK$6:AK15,BJ$6:BJ15,BJ15),2))</f>
        <v/>
      </c>
      <c r="AP15" s="80" t="str">
        <f aca="false">IF(OR(AK15="",BL15=""),"",IFERROR(ROUND(IF(J15="Short",AB15-AE15,AE15-AB15)/BL15,1),""))</f>
        <v/>
      </c>
      <c r="AQ15" s="66" t="str">
        <f aca="false">IF(OR(G15="",H15=""),"",ROUND(MOD(H15-G15,1)*1440,0))</f>
        <v/>
      </c>
      <c r="AR15" s="68" t="str">
        <f aca="false">IF(AQ15="","",IF(AQ15&lt;15,"Under 15m",IF(AQ15&lt;60,"15-60m",IF(AQ15&lt;240,"1-4 hours","4+ hours"))))</f>
        <v/>
      </c>
      <c r="AS15" s="66" t="str">
        <f aca="false">IF(G15="","",HOUR(G15))</f>
        <v/>
      </c>
      <c r="AT15" s="80" t="str">
        <f aca="false">IF(OR(Z15="",AB15="",BL15=""),"",IFERROR(ROUND(IF(J15="Short",Z15-AB15,AB15-Z15)/BL15,1),""))</f>
        <v/>
      </c>
      <c r="AU15" s="68" t="str">
        <f aca="false">IF(OR(AA15="",AC15=""),"",IF(AA15=AC15,"No","Yes"))</f>
        <v/>
      </c>
      <c r="AV15" s="81" t="str">
        <f aca="false">IF(OR(B15="",BL15="",BM15="",AB15="",AC15=""),"",IFERROR(ROUND(AI15/(ABS(AB15-AC15)/BL15*BM15),2),""))</f>
        <v/>
      </c>
      <c r="AW15" s="76" t="str">
        <f aca="false">IF(B15="","",ROUND(BK15+SUMIFS(AM$5:AM14,BJ$5:BJ14,BJ15),2))</f>
        <v/>
      </c>
      <c r="AX15" s="66" t="str">
        <f aca="false">IF(B15="","",COUNTIFS(B$6:B15,B15,BJ$6:BJ15,BJ15))</f>
        <v/>
      </c>
      <c r="AY15" s="79" t="str">
        <f aca="false">IF(B15="","",ROUND(SUMIFS(AM$5:AM14,B$5:B14,B15,BJ$5:BJ14,BJ15),2))</f>
        <v/>
      </c>
      <c r="AZ15" s="79" t="str">
        <f aca="false">IF(AM15="","",ROUND(AY15+AM15,2))</f>
        <v/>
      </c>
      <c r="BA15" s="79" t="str">
        <f aca="false">IF(B15="","",ROUND(SUMIFS(AM$5:AM14,B$5:B14,"&gt;="&amp;(B15-WEEKDAY(B15,2)+1),B$5:B14,"&lt;="&amp;B15,BJ$5:BJ14,BJ15),2))</f>
        <v/>
      </c>
      <c r="BB15" s="68" t="str">
        <f aca="false">IF(B15="","",IF(AND(AF15&lt;&gt;"",AV15&lt;&gt;"",N(AF15)&gt;N(AV15)*(1+Settings!$C$13)),"Oversized",IF(AX15&gt;Settings!$C$10,"Overtraded",IF(AY15&lt;=-Settings!$C$11*(AW15-AY15),"Daily loss hit",IF(BA15&lt;=-Settings!$C$12*(AW15-BA15),"Weekly loss hit","OK")))))</f>
        <v/>
      </c>
      <c r="BC15" s="69"/>
      <c r="BD15" s="69"/>
      <c r="BE15" s="69"/>
      <c r="BF15" s="73"/>
      <c r="BG15" s="73"/>
      <c r="BH15" s="71"/>
      <c r="BI15" s="71"/>
      <c r="BJ15" s="68" t="str">
        <f aca="false">IF(B15="","",IF(E15="",Settings!$F$5,E15))</f>
        <v/>
      </c>
      <c r="BK15" s="76" t="str">
        <f aca="false">IF(B15="","",IFERROR(INDEX(Settings!$G$5:$G$10,MATCH(BJ15,Settings!$F$5:$F$10,0)),Settings!$G$5))</f>
        <v/>
      </c>
      <c r="BL15" s="82" t="str">
        <f aca="false">IF(I15="","",IFERROR(1/(1/INDEX(Lists!$C$6:$C$17,MATCH(I15,Lists!$B$6:$B$17,0))),""))</f>
        <v/>
      </c>
      <c r="BM15" s="81" t="str">
        <f aca="false">IF(I15="","",IFERROR(1/(1/INDEX(Lists!$D$6:$D$17,MATCH(I15,Lists!$B$6:$B$17,0))),""))</f>
        <v/>
      </c>
      <c r="BN15" s="76" t="str">
        <f aca="false">IF(AN15="","",MAX(BK15,_xlfn.MAXIFS(AN$6:AN15,BJ$6:BJ15,BJ15)))</f>
        <v/>
      </c>
      <c r="BO15" s="83" t="str">
        <f aca="false">IF(AN15="","",(AN15-BN15)/BN15)</f>
        <v/>
      </c>
      <c r="BP15" s="66" t="n">
        <f aca="false">IF(OR(B15="",AL15=""),0,IF(OR(Settings!$C$28="All Accounts",BJ15=Settings!$C$28),1,0))</f>
        <v>0</v>
      </c>
      <c r="BQ15" s="66" t="str">
        <f aca="false">IF(BP15=1,SUM(BP$6:BP15),"")</f>
        <v/>
      </c>
      <c r="BR15" s="76" t="str">
        <f aca="false">IF(BP15=1,ROUND(Settings!$C$29+SUMIFS(AM$6:AM15,BP$6:BP15,1),2),"")</f>
        <v/>
      </c>
      <c r="BS15" s="76" t="str">
        <f aca="false">IF(BP15=1,MAX(Settings!$C$29,MAX(BR$6:BR15)),"")</f>
        <v/>
      </c>
      <c r="BT15" s="83" t="str">
        <f aca="false">IF(BP15=1,(BR15-BS15)/BS15,"")</f>
        <v/>
      </c>
      <c r="BU15" s="66" t="str">
        <f aca="false">IF(BP15=1,IF(AL15="Win",1+IF(BQ15=1,0,INDEX(BU$5:BU14,MATCH(BQ15-1,BQ$5:BQ14,0))),0),"")</f>
        <v/>
      </c>
      <c r="BV15" s="66" t="str">
        <f aca="false">IF(BP15=1,IF(AL15="Loss",1+IF(BQ15=1,0,INDEX(BV$5:BV14,MATCH(BQ15-1,BQ$5:BQ14,0))),0),"")</f>
        <v/>
      </c>
    </row>
    <row r="16" customFormat="false" ht="18" hidden="false" customHeight="true" outlineLevel="0" collapsed="false">
      <c r="A16" s="66" t="str">
        <f aca="false">IF(B16="","",ROW()-5)</f>
        <v/>
      </c>
      <c r="B16" s="67"/>
      <c r="C16" s="68" t="str">
        <f aca="false">IF(B16="","",CHOOSE(WEEKDAY(B16,2),"Mon","Tue","Wed","Thu","Fri","Sat","Sun"))</f>
        <v/>
      </c>
      <c r="D16" s="66" t="str">
        <f aca="false">IF(B16="","",WEEKNUM(B16,2))</f>
        <v/>
      </c>
      <c r="E16" s="69"/>
      <c r="F16" s="69"/>
      <c r="G16" s="70"/>
      <c r="H16" s="70"/>
      <c r="I16" s="69"/>
      <c r="J16" s="69"/>
      <c r="K16" s="69"/>
      <c r="L16" s="71"/>
      <c r="M16" s="69"/>
      <c r="N16" s="69"/>
      <c r="O16" s="69"/>
      <c r="P16" s="71"/>
      <c r="Q16" s="69"/>
      <c r="R16" s="69"/>
      <c r="S16" s="69"/>
      <c r="T16" s="69"/>
      <c r="U16" s="69"/>
      <c r="V16" s="69"/>
      <c r="W16" s="69"/>
      <c r="X16" s="66" t="str">
        <f aca="false">IF(B16="","",COUNTIF(Q16:W16,"Yes"))</f>
        <v/>
      </c>
      <c r="Y16" s="68" t="str">
        <f aca="false">IF(B16="","",IF(X16&gt;=Settings!$C$16,"A+",IF(X16&gt;=Settings!$C$17,"A",IF(X16&gt;=Settings!$C$18,"B","C"))))</f>
        <v/>
      </c>
      <c r="Z16" s="72"/>
      <c r="AA16" s="72"/>
      <c r="AB16" s="72"/>
      <c r="AC16" s="72"/>
      <c r="AD16" s="72"/>
      <c r="AE16" s="72"/>
      <c r="AF16" s="73"/>
      <c r="AG16" s="74"/>
      <c r="AH16" s="75"/>
      <c r="AI16" s="76" t="str">
        <f aca="false">IF(B16="","",ROUND(IF(AG16="",Settings!$C$5,AG16)*AW16,2))</f>
        <v/>
      </c>
      <c r="AJ16" s="77" t="str">
        <f aca="false">IF(OR(B16="",AB16="",AC16="",AD16=""),"",IFERROR(ROUND(ABS(AD16-AB16)/ABS(AB16-AC16),2),""))</f>
        <v/>
      </c>
      <c r="AK16" s="78" t="str">
        <f aca="false">IF(OR(B16="",AB16="",AC16="",AE16=""),"",IFERROR(ROUND(IF(J16="Short",AB16-AE16,AE16-AB16)/ABS(AB16-AC16),2),""))</f>
        <v/>
      </c>
      <c r="AL16" s="68" t="str">
        <f aca="false">IF(AK16="","",IF(ABS(AK16)&lt;=Settings!$C$6,"BE",IF(AK16&gt;0,"Win","Loss")))</f>
        <v/>
      </c>
      <c r="AM16" s="79" t="str">
        <f aca="false">IF(OR(AK16="",AI16=""),"",ROUND(AK16*AI16-N(AH16),2))</f>
        <v/>
      </c>
      <c r="AN16" s="76" t="str">
        <f aca="false">IF(AM16="","",ROUND(BK16+SUMIFS(AM$6:AM16,BJ$6:BJ16,BJ16),2))</f>
        <v/>
      </c>
      <c r="AO16" s="78" t="str">
        <f aca="false">IF(AK16="","",ROUND(SUMIFS(AK$6:AK16,BJ$6:BJ16,BJ16),2))</f>
        <v/>
      </c>
      <c r="AP16" s="80" t="str">
        <f aca="false">IF(OR(AK16="",BL16=""),"",IFERROR(ROUND(IF(J16="Short",AB16-AE16,AE16-AB16)/BL16,1),""))</f>
        <v/>
      </c>
      <c r="AQ16" s="66" t="str">
        <f aca="false">IF(OR(G16="",H16=""),"",ROUND(MOD(H16-G16,1)*1440,0))</f>
        <v/>
      </c>
      <c r="AR16" s="68" t="str">
        <f aca="false">IF(AQ16="","",IF(AQ16&lt;15,"Under 15m",IF(AQ16&lt;60,"15-60m",IF(AQ16&lt;240,"1-4 hours","4+ hours"))))</f>
        <v/>
      </c>
      <c r="AS16" s="66" t="str">
        <f aca="false">IF(G16="","",HOUR(G16))</f>
        <v/>
      </c>
      <c r="AT16" s="80" t="str">
        <f aca="false">IF(OR(Z16="",AB16="",BL16=""),"",IFERROR(ROUND(IF(J16="Short",Z16-AB16,AB16-Z16)/BL16,1),""))</f>
        <v/>
      </c>
      <c r="AU16" s="68" t="str">
        <f aca="false">IF(OR(AA16="",AC16=""),"",IF(AA16=AC16,"No","Yes"))</f>
        <v/>
      </c>
      <c r="AV16" s="81" t="str">
        <f aca="false">IF(OR(B16="",BL16="",BM16="",AB16="",AC16=""),"",IFERROR(ROUND(AI16/(ABS(AB16-AC16)/BL16*BM16),2),""))</f>
        <v/>
      </c>
      <c r="AW16" s="76" t="str">
        <f aca="false">IF(B16="","",ROUND(BK16+SUMIFS(AM$5:AM15,BJ$5:BJ15,BJ16),2))</f>
        <v/>
      </c>
      <c r="AX16" s="66" t="str">
        <f aca="false">IF(B16="","",COUNTIFS(B$6:B16,B16,BJ$6:BJ16,BJ16))</f>
        <v/>
      </c>
      <c r="AY16" s="79" t="str">
        <f aca="false">IF(B16="","",ROUND(SUMIFS(AM$5:AM15,B$5:B15,B16,BJ$5:BJ15,BJ16),2))</f>
        <v/>
      </c>
      <c r="AZ16" s="79" t="str">
        <f aca="false">IF(AM16="","",ROUND(AY16+AM16,2))</f>
        <v/>
      </c>
      <c r="BA16" s="79" t="str">
        <f aca="false">IF(B16="","",ROUND(SUMIFS(AM$5:AM15,B$5:B15,"&gt;="&amp;(B16-WEEKDAY(B16,2)+1),B$5:B15,"&lt;="&amp;B16,BJ$5:BJ15,BJ16),2))</f>
        <v/>
      </c>
      <c r="BB16" s="68" t="str">
        <f aca="false">IF(B16="","",IF(AND(AF16&lt;&gt;"",AV16&lt;&gt;"",N(AF16)&gt;N(AV16)*(1+Settings!$C$13)),"Oversized",IF(AX16&gt;Settings!$C$10,"Overtraded",IF(AY16&lt;=-Settings!$C$11*(AW16-AY16),"Daily loss hit",IF(BA16&lt;=-Settings!$C$12*(AW16-BA16),"Weekly loss hit","OK")))))</f>
        <v/>
      </c>
      <c r="BC16" s="69"/>
      <c r="BD16" s="69"/>
      <c r="BE16" s="69"/>
      <c r="BF16" s="73"/>
      <c r="BG16" s="73"/>
      <c r="BH16" s="71"/>
      <c r="BI16" s="71"/>
      <c r="BJ16" s="68" t="str">
        <f aca="false">IF(B16="","",IF(E16="",Settings!$F$5,E16))</f>
        <v/>
      </c>
      <c r="BK16" s="76" t="str">
        <f aca="false">IF(B16="","",IFERROR(INDEX(Settings!$G$5:$G$10,MATCH(BJ16,Settings!$F$5:$F$10,0)),Settings!$G$5))</f>
        <v/>
      </c>
      <c r="BL16" s="82" t="str">
        <f aca="false">IF(I16="","",IFERROR(1/(1/INDEX(Lists!$C$6:$C$17,MATCH(I16,Lists!$B$6:$B$17,0))),""))</f>
        <v/>
      </c>
      <c r="BM16" s="81" t="str">
        <f aca="false">IF(I16="","",IFERROR(1/(1/INDEX(Lists!$D$6:$D$17,MATCH(I16,Lists!$B$6:$B$17,0))),""))</f>
        <v/>
      </c>
      <c r="BN16" s="76" t="str">
        <f aca="false">IF(AN16="","",MAX(BK16,_xlfn.MAXIFS(AN$6:AN16,BJ$6:BJ16,BJ16)))</f>
        <v/>
      </c>
      <c r="BO16" s="83" t="str">
        <f aca="false">IF(AN16="","",(AN16-BN16)/BN16)</f>
        <v/>
      </c>
      <c r="BP16" s="66" t="n">
        <f aca="false">IF(OR(B16="",AL16=""),0,IF(OR(Settings!$C$28="All Accounts",BJ16=Settings!$C$28),1,0))</f>
        <v>0</v>
      </c>
      <c r="BQ16" s="66" t="str">
        <f aca="false">IF(BP16=1,SUM(BP$6:BP16),"")</f>
        <v/>
      </c>
      <c r="BR16" s="76" t="str">
        <f aca="false">IF(BP16=1,ROUND(Settings!$C$29+SUMIFS(AM$6:AM16,BP$6:BP16,1),2),"")</f>
        <v/>
      </c>
      <c r="BS16" s="76" t="str">
        <f aca="false">IF(BP16=1,MAX(Settings!$C$29,MAX(BR$6:BR16)),"")</f>
        <v/>
      </c>
      <c r="BT16" s="83" t="str">
        <f aca="false">IF(BP16=1,(BR16-BS16)/BS16,"")</f>
        <v/>
      </c>
      <c r="BU16" s="66" t="str">
        <f aca="false">IF(BP16=1,IF(AL16="Win",1+IF(BQ16=1,0,INDEX(BU$5:BU15,MATCH(BQ16-1,BQ$5:BQ15,0))),0),"")</f>
        <v/>
      </c>
      <c r="BV16" s="66" t="str">
        <f aca="false">IF(BP16=1,IF(AL16="Loss",1+IF(BQ16=1,0,INDEX(BV$5:BV15,MATCH(BQ16-1,BQ$5:BQ15,0))),0),"")</f>
        <v/>
      </c>
    </row>
    <row r="17" customFormat="false" ht="18" hidden="false" customHeight="true" outlineLevel="0" collapsed="false">
      <c r="A17" s="66" t="str">
        <f aca="false">IF(B17="","",ROW()-5)</f>
        <v/>
      </c>
      <c r="B17" s="67"/>
      <c r="C17" s="68" t="str">
        <f aca="false">IF(B17="","",CHOOSE(WEEKDAY(B17,2),"Mon","Tue","Wed","Thu","Fri","Sat","Sun"))</f>
        <v/>
      </c>
      <c r="D17" s="66" t="str">
        <f aca="false">IF(B17="","",WEEKNUM(B17,2))</f>
        <v/>
      </c>
      <c r="E17" s="69"/>
      <c r="F17" s="69"/>
      <c r="G17" s="70"/>
      <c r="H17" s="70"/>
      <c r="I17" s="69"/>
      <c r="J17" s="69"/>
      <c r="K17" s="69"/>
      <c r="L17" s="71"/>
      <c r="M17" s="69"/>
      <c r="N17" s="69"/>
      <c r="O17" s="69"/>
      <c r="P17" s="71"/>
      <c r="Q17" s="69"/>
      <c r="R17" s="69"/>
      <c r="S17" s="69"/>
      <c r="T17" s="69"/>
      <c r="U17" s="69"/>
      <c r="V17" s="69"/>
      <c r="W17" s="69"/>
      <c r="X17" s="66" t="str">
        <f aca="false">IF(B17="","",COUNTIF(Q17:W17,"Yes"))</f>
        <v/>
      </c>
      <c r="Y17" s="68" t="str">
        <f aca="false">IF(B17="","",IF(X17&gt;=Settings!$C$16,"A+",IF(X17&gt;=Settings!$C$17,"A",IF(X17&gt;=Settings!$C$18,"B","C"))))</f>
        <v/>
      </c>
      <c r="Z17" s="72"/>
      <c r="AA17" s="72"/>
      <c r="AB17" s="72"/>
      <c r="AC17" s="72"/>
      <c r="AD17" s="72"/>
      <c r="AE17" s="72"/>
      <c r="AF17" s="73"/>
      <c r="AG17" s="74"/>
      <c r="AH17" s="75"/>
      <c r="AI17" s="76" t="str">
        <f aca="false">IF(B17="","",ROUND(IF(AG17="",Settings!$C$5,AG17)*AW17,2))</f>
        <v/>
      </c>
      <c r="AJ17" s="77" t="str">
        <f aca="false">IF(OR(B17="",AB17="",AC17="",AD17=""),"",IFERROR(ROUND(ABS(AD17-AB17)/ABS(AB17-AC17),2),""))</f>
        <v/>
      </c>
      <c r="AK17" s="78" t="str">
        <f aca="false">IF(OR(B17="",AB17="",AC17="",AE17=""),"",IFERROR(ROUND(IF(J17="Short",AB17-AE17,AE17-AB17)/ABS(AB17-AC17),2),""))</f>
        <v/>
      </c>
      <c r="AL17" s="68" t="str">
        <f aca="false">IF(AK17="","",IF(ABS(AK17)&lt;=Settings!$C$6,"BE",IF(AK17&gt;0,"Win","Loss")))</f>
        <v/>
      </c>
      <c r="AM17" s="79" t="str">
        <f aca="false">IF(OR(AK17="",AI17=""),"",ROUND(AK17*AI17-N(AH17),2))</f>
        <v/>
      </c>
      <c r="AN17" s="76" t="str">
        <f aca="false">IF(AM17="","",ROUND(BK17+SUMIFS(AM$6:AM17,BJ$6:BJ17,BJ17),2))</f>
        <v/>
      </c>
      <c r="AO17" s="78" t="str">
        <f aca="false">IF(AK17="","",ROUND(SUMIFS(AK$6:AK17,BJ$6:BJ17,BJ17),2))</f>
        <v/>
      </c>
      <c r="AP17" s="80" t="str">
        <f aca="false">IF(OR(AK17="",BL17=""),"",IFERROR(ROUND(IF(J17="Short",AB17-AE17,AE17-AB17)/BL17,1),""))</f>
        <v/>
      </c>
      <c r="AQ17" s="66" t="str">
        <f aca="false">IF(OR(G17="",H17=""),"",ROUND(MOD(H17-G17,1)*1440,0))</f>
        <v/>
      </c>
      <c r="AR17" s="68" t="str">
        <f aca="false">IF(AQ17="","",IF(AQ17&lt;15,"Under 15m",IF(AQ17&lt;60,"15-60m",IF(AQ17&lt;240,"1-4 hours","4+ hours"))))</f>
        <v/>
      </c>
      <c r="AS17" s="66" t="str">
        <f aca="false">IF(G17="","",HOUR(G17))</f>
        <v/>
      </c>
      <c r="AT17" s="80" t="str">
        <f aca="false">IF(OR(Z17="",AB17="",BL17=""),"",IFERROR(ROUND(IF(J17="Short",Z17-AB17,AB17-Z17)/BL17,1),""))</f>
        <v/>
      </c>
      <c r="AU17" s="68" t="str">
        <f aca="false">IF(OR(AA17="",AC17=""),"",IF(AA17=AC17,"No","Yes"))</f>
        <v/>
      </c>
      <c r="AV17" s="81" t="str">
        <f aca="false">IF(OR(B17="",BL17="",BM17="",AB17="",AC17=""),"",IFERROR(ROUND(AI17/(ABS(AB17-AC17)/BL17*BM17),2),""))</f>
        <v/>
      </c>
      <c r="AW17" s="76" t="str">
        <f aca="false">IF(B17="","",ROUND(BK17+SUMIFS(AM$5:AM16,BJ$5:BJ16,BJ17),2))</f>
        <v/>
      </c>
      <c r="AX17" s="66" t="str">
        <f aca="false">IF(B17="","",COUNTIFS(B$6:B17,B17,BJ$6:BJ17,BJ17))</f>
        <v/>
      </c>
      <c r="AY17" s="79" t="str">
        <f aca="false">IF(B17="","",ROUND(SUMIFS(AM$5:AM16,B$5:B16,B17,BJ$5:BJ16,BJ17),2))</f>
        <v/>
      </c>
      <c r="AZ17" s="79" t="str">
        <f aca="false">IF(AM17="","",ROUND(AY17+AM17,2))</f>
        <v/>
      </c>
      <c r="BA17" s="79" t="str">
        <f aca="false">IF(B17="","",ROUND(SUMIFS(AM$5:AM16,B$5:B16,"&gt;="&amp;(B17-WEEKDAY(B17,2)+1),B$5:B16,"&lt;="&amp;B17,BJ$5:BJ16,BJ17),2))</f>
        <v/>
      </c>
      <c r="BB17" s="68" t="str">
        <f aca="false">IF(B17="","",IF(AND(AF17&lt;&gt;"",AV17&lt;&gt;"",N(AF17)&gt;N(AV17)*(1+Settings!$C$13)),"Oversized",IF(AX17&gt;Settings!$C$10,"Overtraded",IF(AY17&lt;=-Settings!$C$11*(AW17-AY17),"Daily loss hit",IF(BA17&lt;=-Settings!$C$12*(AW17-BA17),"Weekly loss hit","OK")))))</f>
        <v/>
      </c>
      <c r="BC17" s="69"/>
      <c r="BD17" s="69"/>
      <c r="BE17" s="69"/>
      <c r="BF17" s="73"/>
      <c r="BG17" s="73"/>
      <c r="BH17" s="71"/>
      <c r="BI17" s="71"/>
      <c r="BJ17" s="68" t="str">
        <f aca="false">IF(B17="","",IF(E17="",Settings!$F$5,E17))</f>
        <v/>
      </c>
      <c r="BK17" s="76" t="str">
        <f aca="false">IF(B17="","",IFERROR(INDEX(Settings!$G$5:$G$10,MATCH(BJ17,Settings!$F$5:$F$10,0)),Settings!$G$5))</f>
        <v/>
      </c>
      <c r="BL17" s="82" t="str">
        <f aca="false">IF(I17="","",IFERROR(1/(1/INDEX(Lists!$C$6:$C$17,MATCH(I17,Lists!$B$6:$B$17,0))),""))</f>
        <v/>
      </c>
      <c r="BM17" s="81" t="str">
        <f aca="false">IF(I17="","",IFERROR(1/(1/INDEX(Lists!$D$6:$D$17,MATCH(I17,Lists!$B$6:$B$17,0))),""))</f>
        <v/>
      </c>
      <c r="BN17" s="76" t="str">
        <f aca="false">IF(AN17="","",MAX(BK17,_xlfn.MAXIFS(AN$6:AN17,BJ$6:BJ17,BJ17)))</f>
        <v/>
      </c>
      <c r="BO17" s="83" t="str">
        <f aca="false">IF(AN17="","",(AN17-BN17)/BN17)</f>
        <v/>
      </c>
      <c r="BP17" s="66" t="n">
        <f aca="false">IF(OR(B17="",AL17=""),0,IF(OR(Settings!$C$28="All Accounts",BJ17=Settings!$C$28),1,0))</f>
        <v>0</v>
      </c>
      <c r="BQ17" s="66" t="str">
        <f aca="false">IF(BP17=1,SUM(BP$6:BP17),"")</f>
        <v/>
      </c>
      <c r="BR17" s="76" t="str">
        <f aca="false">IF(BP17=1,ROUND(Settings!$C$29+SUMIFS(AM$6:AM17,BP$6:BP17,1),2),"")</f>
        <v/>
      </c>
      <c r="BS17" s="76" t="str">
        <f aca="false">IF(BP17=1,MAX(Settings!$C$29,MAX(BR$6:BR17)),"")</f>
        <v/>
      </c>
      <c r="BT17" s="83" t="str">
        <f aca="false">IF(BP17=1,(BR17-BS17)/BS17,"")</f>
        <v/>
      </c>
      <c r="BU17" s="66" t="str">
        <f aca="false">IF(BP17=1,IF(AL17="Win",1+IF(BQ17=1,0,INDEX(BU$5:BU16,MATCH(BQ17-1,BQ$5:BQ16,0))),0),"")</f>
        <v/>
      </c>
      <c r="BV17" s="66" t="str">
        <f aca="false">IF(BP17=1,IF(AL17="Loss",1+IF(BQ17=1,0,INDEX(BV$5:BV16,MATCH(BQ17-1,BQ$5:BQ16,0))),0),"")</f>
        <v/>
      </c>
    </row>
    <row r="18" customFormat="false" ht="18" hidden="false" customHeight="true" outlineLevel="0" collapsed="false">
      <c r="A18" s="66" t="str">
        <f aca="false">IF(B18="","",ROW()-5)</f>
        <v/>
      </c>
      <c r="B18" s="67"/>
      <c r="C18" s="68" t="str">
        <f aca="false">IF(B18="","",CHOOSE(WEEKDAY(B18,2),"Mon","Tue","Wed","Thu","Fri","Sat","Sun"))</f>
        <v/>
      </c>
      <c r="D18" s="66" t="str">
        <f aca="false">IF(B18="","",WEEKNUM(B18,2))</f>
        <v/>
      </c>
      <c r="E18" s="69"/>
      <c r="F18" s="69"/>
      <c r="G18" s="70"/>
      <c r="H18" s="70"/>
      <c r="I18" s="69"/>
      <c r="J18" s="69"/>
      <c r="K18" s="69"/>
      <c r="L18" s="71"/>
      <c r="M18" s="69"/>
      <c r="N18" s="69"/>
      <c r="O18" s="69"/>
      <c r="P18" s="71"/>
      <c r="Q18" s="69"/>
      <c r="R18" s="69"/>
      <c r="S18" s="69"/>
      <c r="T18" s="69"/>
      <c r="U18" s="69"/>
      <c r="V18" s="69"/>
      <c r="W18" s="69"/>
      <c r="X18" s="66" t="str">
        <f aca="false">IF(B18="","",COUNTIF(Q18:W18,"Yes"))</f>
        <v/>
      </c>
      <c r="Y18" s="68" t="str">
        <f aca="false">IF(B18="","",IF(X18&gt;=Settings!$C$16,"A+",IF(X18&gt;=Settings!$C$17,"A",IF(X18&gt;=Settings!$C$18,"B","C"))))</f>
        <v/>
      </c>
      <c r="Z18" s="72"/>
      <c r="AA18" s="72"/>
      <c r="AB18" s="72"/>
      <c r="AC18" s="72"/>
      <c r="AD18" s="72"/>
      <c r="AE18" s="72"/>
      <c r="AF18" s="73"/>
      <c r="AG18" s="74"/>
      <c r="AH18" s="75"/>
      <c r="AI18" s="76" t="str">
        <f aca="false">IF(B18="","",ROUND(IF(AG18="",Settings!$C$5,AG18)*AW18,2))</f>
        <v/>
      </c>
      <c r="AJ18" s="77" t="str">
        <f aca="false">IF(OR(B18="",AB18="",AC18="",AD18=""),"",IFERROR(ROUND(ABS(AD18-AB18)/ABS(AB18-AC18),2),""))</f>
        <v/>
      </c>
      <c r="AK18" s="78" t="str">
        <f aca="false">IF(OR(B18="",AB18="",AC18="",AE18=""),"",IFERROR(ROUND(IF(J18="Short",AB18-AE18,AE18-AB18)/ABS(AB18-AC18),2),""))</f>
        <v/>
      </c>
      <c r="AL18" s="68" t="str">
        <f aca="false">IF(AK18="","",IF(ABS(AK18)&lt;=Settings!$C$6,"BE",IF(AK18&gt;0,"Win","Loss")))</f>
        <v/>
      </c>
      <c r="AM18" s="79" t="str">
        <f aca="false">IF(OR(AK18="",AI18=""),"",ROUND(AK18*AI18-N(AH18),2))</f>
        <v/>
      </c>
      <c r="AN18" s="76" t="str">
        <f aca="false">IF(AM18="","",ROUND(BK18+SUMIFS(AM$6:AM18,BJ$6:BJ18,BJ18),2))</f>
        <v/>
      </c>
      <c r="AO18" s="78" t="str">
        <f aca="false">IF(AK18="","",ROUND(SUMIFS(AK$6:AK18,BJ$6:BJ18,BJ18),2))</f>
        <v/>
      </c>
      <c r="AP18" s="80" t="str">
        <f aca="false">IF(OR(AK18="",BL18=""),"",IFERROR(ROUND(IF(J18="Short",AB18-AE18,AE18-AB18)/BL18,1),""))</f>
        <v/>
      </c>
      <c r="AQ18" s="66" t="str">
        <f aca="false">IF(OR(G18="",H18=""),"",ROUND(MOD(H18-G18,1)*1440,0))</f>
        <v/>
      </c>
      <c r="AR18" s="68" t="str">
        <f aca="false">IF(AQ18="","",IF(AQ18&lt;15,"Under 15m",IF(AQ18&lt;60,"15-60m",IF(AQ18&lt;240,"1-4 hours","4+ hours"))))</f>
        <v/>
      </c>
      <c r="AS18" s="66" t="str">
        <f aca="false">IF(G18="","",HOUR(G18))</f>
        <v/>
      </c>
      <c r="AT18" s="80" t="str">
        <f aca="false">IF(OR(Z18="",AB18="",BL18=""),"",IFERROR(ROUND(IF(J18="Short",Z18-AB18,AB18-Z18)/BL18,1),""))</f>
        <v/>
      </c>
      <c r="AU18" s="68" t="str">
        <f aca="false">IF(OR(AA18="",AC18=""),"",IF(AA18=AC18,"No","Yes"))</f>
        <v/>
      </c>
      <c r="AV18" s="81" t="str">
        <f aca="false">IF(OR(B18="",BL18="",BM18="",AB18="",AC18=""),"",IFERROR(ROUND(AI18/(ABS(AB18-AC18)/BL18*BM18),2),""))</f>
        <v/>
      </c>
      <c r="AW18" s="76" t="str">
        <f aca="false">IF(B18="","",ROUND(BK18+SUMIFS(AM$5:AM17,BJ$5:BJ17,BJ18),2))</f>
        <v/>
      </c>
      <c r="AX18" s="66" t="str">
        <f aca="false">IF(B18="","",COUNTIFS(B$6:B18,B18,BJ$6:BJ18,BJ18))</f>
        <v/>
      </c>
      <c r="AY18" s="79" t="str">
        <f aca="false">IF(B18="","",ROUND(SUMIFS(AM$5:AM17,B$5:B17,B18,BJ$5:BJ17,BJ18),2))</f>
        <v/>
      </c>
      <c r="AZ18" s="79" t="str">
        <f aca="false">IF(AM18="","",ROUND(AY18+AM18,2))</f>
        <v/>
      </c>
      <c r="BA18" s="79" t="str">
        <f aca="false">IF(B18="","",ROUND(SUMIFS(AM$5:AM17,B$5:B17,"&gt;="&amp;(B18-WEEKDAY(B18,2)+1),B$5:B17,"&lt;="&amp;B18,BJ$5:BJ17,BJ18),2))</f>
        <v/>
      </c>
      <c r="BB18" s="68" t="str">
        <f aca="false">IF(B18="","",IF(AND(AF18&lt;&gt;"",AV18&lt;&gt;"",N(AF18)&gt;N(AV18)*(1+Settings!$C$13)),"Oversized",IF(AX18&gt;Settings!$C$10,"Overtraded",IF(AY18&lt;=-Settings!$C$11*(AW18-AY18),"Daily loss hit",IF(BA18&lt;=-Settings!$C$12*(AW18-BA18),"Weekly loss hit","OK")))))</f>
        <v/>
      </c>
      <c r="BC18" s="69"/>
      <c r="BD18" s="69"/>
      <c r="BE18" s="69"/>
      <c r="BF18" s="73"/>
      <c r="BG18" s="73"/>
      <c r="BH18" s="71"/>
      <c r="BI18" s="71"/>
      <c r="BJ18" s="68" t="str">
        <f aca="false">IF(B18="","",IF(E18="",Settings!$F$5,E18))</f>
        <v/>
      </c>
      <c r="BK18" s="76" t="str">
        <f aca="false">IF(B18="","",IFERROR(INDEX(Settings!$G$5:$G$10,MATCH(BJ18,Settings!$F$5:$F$10,0)),Settings!$G$5))</f>
        <v/>
      </c>
      <c r="BL18" s="82" t="str">
        <f aca="false">IF(I18="","",IFERROR(1/(1/INDEX(Lists!$C$6:$C$17,MATCH(I18,Lists!$B$6:$B$17,0))),""))</f>
        <v/>
      </c>
      <c r="BM18" s="81" t="str">
        <f aca="false">IF(I18="","",IFERROR(1/(1/INDEX(Lists!$D$6:$D$17,MATCH(I18,Lists!$B$6:$B$17,0))),""))</f>
        <v/>
      </c>
      <c r="BN18" s="76" t="str">
        <f aca="false">IF(AN18="","",MAX(BK18,_xlfn.MAXIFS(AN$6:AN18,BJ$6:BJ18,BJ18)))</f>
        <v/>
      </c>
      <c r="BO18" s="83" t="str">
        <f aca="false">IF(AN18="","",(AN18-BN18)/BN18)</f>
        <v/>
      </c>
      <c r="BP18" s="66" t="n">
        <f aca="false">IF(OR(B18="",AL18=""),0,IF(OR(Settings!$C$28="All Accounts",BJ18=Settings!$C$28),1,0))</f>
        <v>0</v>
      </c>
      <c r="BQ18" s="66" t="str">
        <f aca="false">IF(BP18=1,SUM(BP$6:BP18),"")</f>
        <v/>
      </c>
      <c r="BR18" s="76" t="str">
        <f aca="false">IF(BP18=1,ROUND(Settings!$C$29+SUMIFS(AM$6:AM18,BP$6:BP18,1),2),"")</f>
        <v/>
      </c>
      <c r="BS18" s="76" t="str">
        <f aca="false">IF(BP18=1,MAX(Settings!$C$29,MAX(BR$6:BR18)),"")</f>
        <v/>
      </c>
      <c r="BT18" s="83" t="str">
        <f aca="false">IF(BP18=1,(BR18-BS18)/BS18,"")</f>
        <v/>
      </c>
      <c r="BU18" s="66" t="str">
        <f aca="false">IF(BP18=1,IF(AL18="Win",1+IF(BQ18=1,0,INDEX(BU$5:BU17,MATCH(BQ18-1,BQ$5:BQ17,0))),0),"")</f>
        <v/>
      </c>
      <c r="BV18" s="66" t="str">
        <f aca="false">IF(BP18=1,IF(AL18="Loss",1+IF(BQ18=1,0,INDEX(BV$5:BV17,MATCH(BQ18-1,BQ$5:BQ17,0))),0),"")</f>
        <v/>
      </c>
    </row>
    <row r="19" customFormat="false" ht="18" hidden="false" customHeight="true" outlineLevel="0" collapsed="false">
      <c r="A19" s="66" t="str">
        <f aca="false">IF(B19="","",ROW()-5)</f>
        <v/>
      </c>
      <c r="B19" s="67"/>
      <c r="C19" s="68" t="str">
        <f aca="false">IF(B19="","",CHOOSE(WEEKDAY(B19,2),"Mon","Tue","Wed","Thu","Fri","Sat","Sun"))</f>
        <v/>
      </c>
      <c r="D19" s="66" t="str">
        <f aca="false">IF(B19="","",WEEKNUM(B19,2))</f>
        <v/>
      </c>
      <c r="E19" s="69"/>
      <c r="F19" s="69"/>
      <c r="G19" s="70"/>
      <c r="H19" s="70"/>
      <c r="I19" s="69"/>
      <c r="J19" s="69"/>
      <c r="K19" s="69"/>
      <c r="L19" s="71"/>
      <c r="M19" s="69"/>
      <c r="N19" s="69"/>
      <c r="O19" s="69"/>
      <c r="P19" s="71"/>
      <c r="Q19" s="69"/>
      <c r="R19" s="69"/>
      <c r="S19" s="69"/>
      <c r="T19" s="69"/>
      <c r="U19" s="69"/>
      <c r="V19" s="69"/>
      <c r="W19" s="69"/>
      <c r="X19" s="66" t="str">
        <f aca="false">IF(B19="","",COUNTIF(Q19:W19,"Yes"))</f>
        <v/>
      </c>
      <c r="Y19" s="68" t="str">
        <f aca="false">IF(B19="","",IF(X19&gt;=Settings!$C$16,"A+",IF(X19&gt;=Settings!$C$17,"A",IF(X19&gt;=Settings!$C$18,"B","C"))))</f>
        <v/>
      </c>
      <c r="Z19" s="72"/>
      <c r="AA19" s="72"/>
      <c r="AB19" s="72"/>
      <c r="AC19" s="72"/>
      <c r="AD19" s="72"/>
      <c r="AE19" s="72"/>
      <c r="AF19" s="73"/>
      <c r="AG19" s="74"/>
      <c r="AH19" s="75"/>
      <c r="AI19" s="76" t="str">
        <f aca="false">IF(B19="","",ROUND(IF(AG19="",Settings!$C$5,AG19)*AW19,2))</f>
        <v/>
      </c>
      <c r="AJ19" s="77" t="str">
        <f aca="false">IF(OR(B19="",AB19="",AC19="",AD19=""),"",IFERROR(ROUND(ABS(AD19-AB19)/ABS(AB19-AC19),2),""))</f>
        <v/>
      </c>
      <c r="AK19" s="78" t="str">
        <f aca="false">IF(OR(B19="",AB19="",AC19="",AE19=""),"",IFERROR(ROUND(IF(J19="Short",AB19-AE19,AE19-AB19)/ABS(AB19-AC19),2),""))</f>
        <v/>
      </c>
      <c r="AL19" s="68" t="str">
        <f aca="false">IF(AK19="","",IF(ABS(AK19)&lt;=Settings!$C$6,"BE",IF(AK19&gt;0,"Win","Loss")))</f>
        <v/>
      </c>
      <c r="AM19" s="79" t="str">
        <f aca="false">IF(OR(AK19="",AI19=""),"",ROUND(AK19*AI19-N(AH19),2))</f>
        <v/>
      </c>
      <c r="AN19" s="76" t="str">
        <f aca="false">IF(AM19="","",ROUND(BK19+SUMIFS(AM$6:AM19,BJ$6:BJ19,BJ19),2))</f>
        <v/>
      </c>
      <c r="AO19" s="78" t="str">
        <f aca="false">IF(AK19="","",ROUND(SUMIFS(AK$6:AK19,BJ$6:BJ19,BJ19),2))</f>
        <v/>
      </c>
      <c r="AP19" s="80" t="str">
        <f aca="false">IF(OR(AK19="",BL19=""),"",IFERROR(ROUND(IF(J19="Short",AB19-AE19,AE19-AB19)/BL19,1),""))</f>
        <v/>
      </c>
      <c r="AQ19" s="66" t="str">
        <f aca="false">IF(OR(G19="",H19=""),"",ROUND(MOD(H19-G19,1)*1440,0))</f>
        <v/>
      </c>
      <c r="AR19" s="68" t="str">
        <f aca="false">IF(AQ19="","",IF(AQ19&lt;15,"Under 15m",IF(AQ19&lt;60,"15-60m",IF(AQ19&lt;240,"1-4 hours","4+ hours"))))</f>
        <v/>
      </c>
      <c r="AS19" s="66" t="str">
        <f aca="false">IF(G19="","",HOUR(G19))</f>
        <v/>
      </c>
      <c r="AT19" s="80" t="str">
        <f aca="false">IF(OR(Z19="",AB19="",BL19=""),"",IFERROR(ROUND(IF(J19="Short",Z19-AB19,AB19-Z19)/BL19,1),""))</f>
        <v/>
      </c>
      <c r="AU19" s="68" t="str">
        <f aca="false">IF(OR(AA19="",AC19=""),"",IF(AA19=AC19,"No","Yes"))</f>
        <v/>
      </c>
      <c r="AV19" s="81" t="str">
        <f aca="false">IF(OR(B19="",BL19="",BM19="",AB19="",AC19=""),"",IFERROR(ROUND(AI19/(ABS(AB19-AC19)/BL19*BM19),2),""))</f>
        <v/>
      </c>
      <c r="AW19" s="76" t="str">
        <f aca="false">IF(B19="","",ROUND(BK19+SUMIFS(AM$5:AM18,BJ$5:BJ18,BJ19),2))</f>
        <v/>
      </c>
      <c r="AX19" s="66" t="str">
        <f aca="false">IF(B19="","",COUNTIFS(B$6:B19,B19,BJ$6:BJ19,BJ19))</f>
        <v/>
      </c>
      <c r="AY19" s="79" t="str">
        <f aca="false">IF(B19="","",ROUND(SUMIFS(AM$5:AM18,B$5:B18,B19,BJ$5:BJ18,BJ19),2))</f>
        <v/>
      </c>
      <c r="AZ19" s="79" t="str">
        <f aca="false">IF(AM19="","",ROUND(AY19+AM19,2))</f>
        <v/>
      </c>
      <c r="BA19" s="79" t="str">
        <f aca="false">IF(B19="","",ROUND(SUMIFS(AM$5:AM18,B$5:B18,"&gt;="&amp;(B19-WEEKDAY(B19,2)+1),B$5:B18,"&lt;="&amp;B19,BJ$5:BJ18,BJ19),2))</f>
        <v/>
      </c>
      <c r="BB19" s="68" t="str">
        <f aca="false">IF(B19="","",IF(AND(AF19&lt;&gt;"",AV19&lt;&gt;"",N(AF19)&gt;N(AV19)*(1+Settings!$C$13)),"Oversized",IF(AX19&gt;Settings!$C$10,"Overtraded",IF(AY19&lt;=-Settings!$C$11*(AW19-AY19),"Daily loss hit",IF(BA19&lt;=-Settings!$C$12*(AW19-BA19),"Weekly loss hit","OK")))))</f>
        <v/>
      </c>
      <c r="BC19" s="69"/>
      <c r="BD19" s="69"/>
      <c r="BE19" s="69"/>
      <c r="BF19" s="73"/>
      <c r="BG19" s="73"/>
      <c r="BH19" s="71"/>
      <c r="BI19" s="71"/>
      <c r="BJ19" s="68" t="str">
        <f aca="false">IF(B19="","",IF(E19="",Settings!$F$5,E19))</f>
        <v/>
      </c>
      <c r="BK19" s="76" t="str">
        <f aca="false">IF(B19="","",IFERROR(INDEX(Settings!$G$5:$G$10,MATCH(BJ19,Settings!$F$5:$F$10,0)),Settings!$G$5))</f>
        <v/>
      </c>
      <c r="BL19" s="82" t="str">
        <f aca="false">IF(I19="","",IFERROR(1/(1/INDEX(Lists!$C$6:$C$17,MATCH(I19,Lists!$B$6:$B$17,0))),""))</f>
        <v/>
      </c>
      <c r="BM19" s="81" t="str">
        <f aca="false">IF(I19="","",IFERROR(1/(1/INDEX(Lists!$D$6:$D$17,MATCH(I19,Lists!$B$6:$B$17,0))),""))</f>
        <v/>
      </c>
      <c r="BN19" s="76" t="str">
        <f aca="false">IF(AN19="","",MAX(BK19,_xlfn.MAXIFS(AN$6:AN19,BJ$6:BJ19,BJ19)))</f>
        <v/>
      </c>
      <c r="BO19" s="83" t="str">
        <f aca="false">IF(AN19="","",(AN19-BN19)/BN19)</f>
        <v/>
      </c>
      <c r="BP19" s="66" t="n">
        <f aca="false">IF(OR(B19="",AL19=""),0,IF(OR(Settings!$C$28="All Accounts",BJ19=Settings!$C$28),1,0))</f>
        <v>0</v>
      </c>
      <c r="BQ19" s="66" t="str">
        <f aca="false">IF(BP19=1,SUM(BP$6:BP19),"")</f>
        <v/>
      </c>
      <c r="BR19" s="76" t="str">
        <f aca="false">IF(BP19=1,ROUND(Settings!$C$29+SUMIFS(AM$6:AM19,BP$6:BP19,1),2),"")</f>
        <v/>
      </c>
      <c r="BS19" s="76" t="str">
        <f aca="false">IF(BP19=1,MAX(Settings!$C$29,MAX(BR$6:BR19)),"")</f>
        <v/>
      </c>
      <c r="BT19" s="83" t="str">
        <f aca="false">IF(BP19=1,(BR19-BS19)/BS19,"")</f>
        <v/>
      </c>
      <c r="BU19" s="66" t="str">
        <f aca="false">IF(BP19=1,IF(AL19="Win",1+IF(BQ19=1,0,INDEX(BU$5:BU18,MATCH(BQ19-1,BQ$5:BQ18,0))),0),"")</f>
        <v/>
      </c>
      <c r="BV19" s="66" t="str">
        <f aca="false">IF(BP19=1,IF(AL19="Loss",1+IF(BQ19=1,0,INDEX(BV$5:BV18,MATCH(BQ19-1,BQ$5:BQ18,0))),0),"")</f>
        <v/>
      </c>
    </row>
    <row r="20" customFormat="false" ht="18" hidden="false" customHeight="true" outlineLevel="0" collapsed="false">
      <c r="A20" s="66" t="str">
        <f aca="false">IF(B20="","",ROW()-5)</f>
        <v/>
      </c>
      <c r="B20" s="67"/>
      <c r="C20" s="68" t="str">
        <f aca="false">IF(B20="","",CHOOSE(WEEKDAY(B20,2),"Mon","Tue","Wed","Thu","Fri","Sat","Sun"))</f>
        <v/>
      </c>
      <c r="D20" s="66" t="str">
        <f aca="false">IF(B20="","",WEEKNUM(B20,2))</f>
        <v/>
      </c>
      <c r="E20" s="69"/>
      <c r="F20" s="69"/>
      <c r="G20" s="70"/>
      <c r="H20" s="70"/>
      <c r="I20" s="69"/>
      <c r="J20" s="69"/>
      <c r="K20" s="69"/>
      <c r="L20" s="71"/>
      <c r="M20" s="69"/>
      <c r="N20" s="69"/>
      <c r="O20" s="69"/>
      <c r="P20" s="71"/>
      <c r="Q20" s="69"/>
      <c r="R20" s="69"/>
      <c r="S20" s="69"/>
      <c r="T20" s="69"/>
      <c r="U20" s="69"/>
      <c r="V20" s="69"/>
      <c r="W20" s="69"/>
      <c r="X20" s="66" t="str">
        <f aca="false">IF(B20="","",COUNTIF(Q20:W20,"Yes"))</f>
        <v/>
      </c>
      <c r="Y20" s="68" t="str">
        <f aca="false">IF(B20="","",IF(X20&gt;=Settings!$C$16,"A+",IF(X20&gt;=Settings!$C$17,"A",IF(X20&gt;=Settings!$C$18,"B","C"))))</f>
        <v/>
      </c>
      <c r="Z20" s="72"/>
      <c r="AA20" s="72"/>
      <c r="AB20" s="72"/>
      <c r="AC20" s="72"/>
      <c r="AD20" s="72"/>
      <c r="AE20" s="72"/>
      <c r="AF20" s="73"/>
      <c r="AG20" s="74"/>
      <c r="AH20" s="75"/>
      <c r="AI20" s="76" t="str">
        <f aca="false">IF(B20="","",ROUND(IF(AG20="",Settings!$C$5,AG20)*AW20,2))</f>
        <v/>
      </c>
      <c r="AJ20" s="77" t="str">
        <f aca="false">IF(OR(B20="",AB20="",AC20="",AD20=""),"",IFERROR(ROUND(ABS(AD20-AB20)/ABS(AB20-AC20),2),""))</f>
        <v/>
      </c>
      <c r="AK20" s="78" t="str">
        <f aca="false">IF(OR(B20="",AB20="",AC20="",AE20=""),"",IFERROR(ROUND(IF(J20="Short",AB20-AE20,AE20-AB20)/ABS(AB20-AC20),2),""))</f>
        <v/>
      </c>
      <c r="AL20" s="68" t="str">
        <f aca="false">IF(AK20="","",IF(ABS(AK20)&lt;=Settings!$C$6,"BE",IF(AK20&gt;0,"Win","Loss")))</f>
        <v/>
      </c>
      <c r="AM20" s="79" t="str">
        <f aca="false">IF(OR(AK20="",AI20=""),"",ROUND(AK20*AI20-N(AH20),2))</f>
        <v/>
      </c>
      <c r="AN20" s="76" t="str">
        <f aca="false">IF(AM20="","",ROUND(BK20+SUMIFS(AM$6:AM20,BJ$6:BJ20,BJ20),2))</f>
        <v/>
      </c>
      <c r="AO20" s="78" t="str">
        <f aca="false">IF(AK20="","",ROUND(SUMIFS(AK$6:AK20,BJ$6:BJ20,BJ20),2))</f>
        <v/>
      </c>
      <c r="AP20" s="80" t="str">
        <f aca="false">IF(OR(AK20="",BL20=""),"",IFERROR(ROUND(IF(J20="Short",AB20-AE20,AE20-AB20)/BL20,1),""))</f>
        <v/>
      </c>
      <c r="AQ20" s="66" t="str">
        <f aca="false">IF(OR(G20="",H20=""),"",ROUND(MOD(H20-G20,1)*1440,0))</f>
        <v/>
      </c>
      <c r="AR20" s="68" t="str">
        <f aca="false">IF(AQ20="","",IF(AQ20&lt;15,"Under 15m",IF(AQ20&lt;60,"15-60m",IF(AQ20&lt;240,"1-4 hours","4+ hours"))))</f>
        <v/>
      </c>
      <c r="AS20" s="66" t="str">
        <f aca="false">IF(G20="","",HOUR(G20))</f>
        <v/>
      </c>
      <c r="AT20" s="80" t="str">
        <f aca="false">IF(OR(Z20="",AB20="",BL20=""),"",IFERROR(ROUND(IF(J20="Short",Z20-AB20,AB20-Z20)/BL20,1),""))</f>
        <v/>
      </c>
      <c r="AU20" s="68" t="str">
        <f aca="false">IF(OR(AA20="",AC20=""),"",IF(AA20=AC20,"No","Yes"))</f>
        <v/>
      </c>
      <c r="AV20" s="81" t="str">
        <f aca="false">IF(OR(B20="",BL20="",BM20="",AB20="",AC20=""),"",IFERROR(ROUND(AI20/(ABS(AB20-AC20)/BL20*BM20),2),""))</f>
        <v/>
      </c>
      <c r="AW20" s="76" t="str">
        <f aca="false">IF(B20="","",ROUND(BK20+SUMIFS(AM$5:AM19,BJ$5:BJ19,BJ20),2))</f>
        <v/>
      </c>
      <c r="AX20" s="66" t="str">
        <f aca="false">IF(B20="","",COUNTIFS(B$6:B20,B20,BJ$6:BJ20,BJ20))</f>
        <v/>
      </c>
      <c r="AY20" s="79" t="str">
        <f aca="false">IF(B20="","",ROUND(SUMIFS(AM$5:AM19,B$5:B19,B20,BJ$5:BJ19,BJ20),2))</f>
        <v/>
      </c>
      <c r="AZ20" s="79" t="str">
        <f aca="false">IF(AM20="","",ROUND(AY20+AM20,2))</f>
        <v/>
      </c>
      <c r="BA20" s="79" t="str">
        <f aca="false">IF(B20="","",ROUND(SUMIFS(AM$5:AM19,B$5:B19,"&gt;="&amp;(B20-WEEKDAY(B20,2)+1),B$5:B19,"&lt;="&amp;B20,BJ$5:BJ19,BJ20),2))</f>
        <v/>
      </c>
      <c r="BB20" s="68" t="str">
        <f aca="false">IF(B20="","",IF(AND(AF20&lt;&gt;"",AV20&lt;&gt;"",N(AF20)&gt;N(AV20)*(1+Settings!$C$13)),"Oversized",IF(AX20&gt;Settings!$C$10,"Overtraded",IF(AY20&lt;=-Settings!$C$11*(AW20-AY20),"Daily loss hit",IF(BA20&lt;=-Settings!$C$12*(AW20-BA20),"Weekly loss hit","OK")))))</f>
        <v/>
      </c>
      <c r="BC20" s="69"/>
      <c r="BD20" s="69"/>
      <c r="BE20" s="69"/>
      <c r="BF20" s="73"/>
      <c r="BG20" s="73"/>
      <c r="BH20" s="71"/>
      <c r="BI20" s="71"/>
      <c r="BJ20" s="68" t="str">
        <f aca="false">IF(B20="","",IF(E20="",Settings!$F$5,E20))</f>
        <v/>
      </c>
      <c r="BK20" s="76" t="str">
        <f aca="false">IF(B20="","",IFERROR(INDEX(Settings!$G$5:$G$10,MATCH(BJ20,Settings!$F$5:$F$10,0)),Settings!$G$5))</f>
        <v/>
      </c>
      <c r="BL20" s="82" t="str">
        <f aca="false">IF(I20="","",IFERROR(1/(1/INDEX(Lists!$C$6:$C$17,MATCH(I20,Lists!$B$6:$B$17,0))),""))</f>
        <v/>
      </c>
      <c r="BM20" s="81" t="str">
        <f aca="false">IF(I20="","",IFERROR(1/(1/INDEX(Lists!$D$6:$D$17,MATCH(I20,Lists!$B$6:$B$17,0))),""))</f>
        <v/>
      </c>
      <c r="BN20" s="76" t="str">
        <f aca="false">IF(AN20="","",MAX(BK20,_xlfn.MAXIFS(AN$6:AN20,BJ$6:BJ20,BJ20)))</f>
        <v/>
      </c>
      <c r="BO20" s="83" t="str">
        <f aca="false">IF(AN20="","",(AN20-BN20)/BN20)</f>
        <v/>
      </c>
      <c r="BP20" s="66" t="n">
        <f aca="false">IF(OR(B20="",AL20=""),0,IF(OR(Settings!$C$28="All Accounts",BJ20=Settings!$C$28),1,0))</f>
        <v>0</v>
      </c>
      <c r="BQ20" s="66" t="str">
        <f aca="false">IF(BP20=1,SUM(BP$6:BP20),"")</f>
        <v/>
      </c>
      <c r="BR20" s="76" t="str">
        <f aca="false">IF(BP20=1,ROUND(Settings!$C$29+SUMIFS(AM$6:AM20,BP$6:BP20,1),2),"")</f>
        <v/>
      </c>
      <c r="BS20" s="76" t="str">
        <f aca="false">IF(BP20=1,MAX(Settings!$C$29,MAX(BR$6:BR20)),"")</f>
        <v/>
      </c>
      <c r="BT20" s="83" t="str">
        <f aca="false">IF(BP20=1,(BR20-BS20)/BS20,"")</f>
        <v/>
      </c>
      <c r="BU20" s="66" t="str">
        <f aca="false">IF(BP20=1,IF(AL20="Win",1+IF(BQ20=1,0,INDEX(BU$5:BU19,MATCH(BQ20-1,BQ$5:BQ19,0))),0),"")</f>
        <v/>
      </c>
      <c r="BV20" s="66" t="str">
        <f aca="false">IF(BP20=1,IF(AL20="Loss",1+IF(BQ20=1,0,INDEX(BV$5:BV19,MATCH(BQ20-1,BQ$5:BQ19,0))),0),"")</f>
        <v/>
      </c>
    </row>
    <row r="21" customFormat="false" ht="18" hidden="false" customHeight="true" outlineLevel="0" collapsed="false">
      <c r="A21" s="66" t="str">
        <f aca="false">IF(B21="","",ROW()-5)</f>
        <v/>
      </c>
      <c r="B21" s="67"/>
      <c r="C21" s="68" t="str">
        <f aca="false">IF(B21="","",CHOOSE(WEEKDAY(B21,2),"Mon","Tue","Wed","Thu","Fri","Sat","Sun"))</f>
        <v/>
      </c>
      <c r="D21" s="66" t="str">
        <f aca="false">IF(B21="","",WEEKNUM(B21,2))</f>
        <v/>
      </c>
      <c r="E21" s="69"/>
      <c r="F21" s="69"/>
      <c r="G21" s="70"/>
      <c r="H21" s="70"/>
      <c r="I21" s="69"/>
      <c r="J21" s="69"/>
      <c r="K21" s="69"/>
      <c r="L21" s="71"/>
      <c r="M21" s="69"/>
      <c r="N21" s="69"/>
      <c r="O21" s="69"/>
      <c r="P21" s="71"/>
      <c r="Q21" s="69"/>
      <c r="R21" s="69"/>
      <c r="S21" s="69"/>
      <c r="T21" s="69"/>
      <c r="U21" s="69"/>
      <c r="V21" s="69"/>
      <c r="W21" s="69"/>
      <c r="X21" s="66" t="str">
        <f aca="false">IF(B21="","",COUNTIF(Q21:W21,"Yes"))</f>
        <v/>
      </c>
      <c r="Y21" s="68" t="str">
        <f aca="false">IF(B21="","",IF(X21&gt;=Settings!$C$16,"A+",IF(X21&gt;=Settings!$C$17,"A",IF(X21&gt;=Settings!$C$18,"B","C"))))</f>
        <v/>
      </c>
      <c r="Z21" s="72"/>
      <c r="AA21" s="72"/>
      <c r="AB21" s="72"/>
      <c r="AC21" s="72"/>
      <c r="AD21" s="72"/>
      <c r="AE21" s="72"/>
      <c r="AF21" s="73"/>
      <c r="AG21" s="74"/>
      <c r="AH21" s="75"/>
      <c r="AI21" s="76" t="str">
        <f aca="false">IF(B21="","",ROUND(IF(AG21="",Settings!$C$5,AG21)*AW21,2))</f>
        <v/>
      </c>
      <c r="AJ21" s="77" t="str">
        <f aca="false">IF(OR(B21="",AB21="",AC21="",AD21=""),"",IFERROR(ROUND(ABS(AD21-AB21)/ABS(AB21-AC21),2),""))</f>
        <v/>
      </c>
      <c r="AK21" s="78" t="str">
        <f aca="false">IF(OR(B21="",AB21="",AC21="",AE21=""),"",IFERROR(ROUND(IF(J21="Short",AB21-AE21,AE21-AB21)/ABS(AB21-AC21),2),""))</f>
        <v/>
      </c>
      <c r="AL21" s="68" t="str">
        <f aca="false">IF(AK21="","",IF(ABS(AK21)&lt;=Settings!$C$6,"BE",IF(AK21&gt;0,"Win","Loss")))</f>
        <v/>
      </c>
      <c r="AM21" s="79" t="str">
        <f aca="false">IF(OR(AK21="",AI21=""),"",ROUND(AK21*AI21-N(AH21),2))</f>
        <v/>
      </c>
      <c r="AN21" s="76" t="str">
        <f aca="false">IF(AM21="","",ROUND(BK21+SUMIFS(AM$6:AM21,BJ$6:BJ21,BJ21),2))</f>
        <v/>
      </c>
      <c r="AO21" s="78" t="str">
        <f aca="false">IF(AK21="","",ROUND(SUMIFS(AK$6:AK21,BJ$6:BJ21,BJ21),2))</f>
        <v/>
      </c>
      <c r="AP21" s="80" t="str">
        <f aca="false">IF(OR(AK21="",BL21=""),"",IFERROR(ROUND(IF(J21="Short",AB21-AE21,AE21-AB21)/BL21,1),""))</f>
        <v/>
      </c>
      <c r="AQ21" s="66" t="str">
        <f aca="false">IF(OR(G21="",H21=""),"",ROUND(MOD(H21-G21,1)*1440,0))</f>
        <v/>
      </c>
      <c r="AR21" s="68" t="str">
        <f aca="false">IF(AQ21="","",IF(AQ21&lt;15,"Under 15m",IF(AQ21&lt;60,"15-60m",IF(AQ21&lt;240,"1-4 hours","4+ hours"))))</f>
        <v/>
      </c>
      <c r="AS21" s="66" t="str">
        <f aca="false">IF(G21="","",HOUR(G21))</f>
        <v/>
      </c>
      <c r="AT21" s="80" t="str">
        <f aca="false">IF(OR(Z21="",AB21="",BL21=""),"",IFERROR(ROUND(IF(J21="Short",Z21-AB21,AB21-Z21)/BL21,1),""))</f>
        <v/>
      </c>
      <c r="AU21" s="68" t="str">
        <f aca="false">IF(OR(AA21="",AC21=""),"",IF(AA21=AC21,"No","Yes"))</f>
        <v/>
      </c>
      <c r="AV21" s="81" t="str">
        <f aca="false">IF(OR(B21="",BL21="",BM21="",AB21="",AC21=""),"",IFERROR(ROUND(AI21/(ABS(AB21-AC21)/BL21*BM21),2),""))</f>
        <v/>
      </c>
      <c r="AW21" s="76" t="str">
        <f aca="false">IF(B21="","",ROUND(BK21+SUMIFS(AM$5:AM20,BJ$5:BJ20,BJ21),2))</f>
        <v/>
      </c>
      <c r="AX21" s="66" t="str">
        <f aca="false">IF(B21="","",COUNTIFS(B$6:B21,B21,BJ$6:BJ21,BJ21))</f>
        <v/>
      </c>
      <c r="AY21" s="79" t="str">
        <f aca="false">IF(B21="","",ROUND(SUMIFS(AM$5:AM20,B$5:B20,B21,BJ$5:BJ20,BJ21),2))</f>
        <v/>
      </c>
      <c r="AZ21" s="79" t="str">
        <f aca="false">IF(AM21="","",ROUND(AY21+AM21,2))</f>
        <v/>
      </c>
      <c r="BA21" s="79" t="str">
        <f aca="false">IF(B21="","",ROUND(SUMIFS(AM$5:AM20,B$5:B20,"&gt;="&amp;(B21-WEEKDAY(B21,2)+1),B$5:B20,"&lt;="&amp;B21,BJ$5:BJ20,BJ21),2))</f>
        <v/>
      </c>
      <c r="BB21" s="68" t="str">
        <f aca="false">IF(B21="","",IF(AND(AF21&lt;&gt;"",AV21&lt;&gt;"",N(AF21)&gt;N(AV21)*(1+Settings!$C$13)),"Oversized",IF(AX21&gt;Settings!$C$10,"Overtraded",IF(AY21&lt;=-Settings!$C$11*(AW21-AY21),"Daily loss hit",IF(BA21&lt;=-Settings!$C$12*(AW21-BA21),"Weekly loss hit","OK")))))</f>
        <v/>
      </c>
      <c r="BC21" s="69"/>
      <c r="BD21" s="69"/>
      <c r="BE21" s="69"/>
      <c r="BF21" s="73"/>
      <c r="BG21" s="73"/>
      <c r="BH21" s="71"/>
      <c r="BI21" s="71"/>
      <c r="BJ21" s="68" t="str">
        <f aca="false">IF(B21="","",IF(E21="",Settings!$F$5,E21))</f>
        <v/>
      </c>
      <c r="BK21" s="76" t="str">
        <f aca="false">IF(B21="","",IFERROR(INDEX(Settings!$G$5:$G$10,MATCH(BJ21,Settings!$F$5:$F$10,0)),Settings!$G$5))</f>
        <v/>
      </c>
      <c r="BL21" s="82" t="str">
        <f aca="false">IF(I21="","",IFERROR(1/(1/INDEX(Lists!$C$6:$C$17,MATCH(I21,Lists!$B$6:$B$17,0))),""))</f>
        <v/>
      </c>
      <c r="BM21" s="81" t="str">
        <f aca="false">IF(I21="","",IFERROR(1/(1/INDEX(Lists!$D$6:$D$17,MATCH(I21,Lists!$B$6:$B$17,0))),""))</f>
        <v/>
      </c>
      <c r="BN21" s="76" t="str">
        <f aca="false">IF(AN21="","",MAX(BK21,_xlfn.MAXIFS(AN$6:AN21,BJ$6:BJ21,BJ21)))</f>
        <v/>
      </c>
      <c r="BO21" s="83" t="str">
        <f aca="false">IF(AN21="","",(AN21-BN21)/BN21)</f>
        <v/>
      </c>
      <c r="BP21" s="66" t="n">
        <f aca="false">IF(OR(B21="",AL21=""),0,IF(OR(Settings!$C$28="All Accounts",BJ21=Settings!$C$28),1,0))</f>
        <v>0</v>
      </c>
      <c r="BQ21" s="66" t="str">
        <f aca="false">IF(BP21=1,SUM(BP$6:BP21),"")</f>
        <v/>
      </c>
      <c r="BR21" s="76" t="str">
        <f aca="false">IF(BP21=1,ROUND(Settings!$C$29+SUMIFS(AM$6:AM21,BP$6:BP21,1),2),"")</f>
        <v/>
      </c>
      <c r="BS21" s="76" t="str">
        <f aca="false">IF(BP21=1,MAX(Settings!$C$29,MAX(BR$6:BR21)),"")</f>
        <v/>
      </c>
      <c r="BT21" s="83" t="str">
        <f aca="false">IF(BP21=1,(BR21-BS21)/BS21,"")</f>
        <v/>
      </c>
      <c r="BU21" s="66" t="str">
        <f aca="false">IF(BP21=1,IF(AL21="Win",1+IF(BQ21=1,0,INDEX(BU$5:BU20,MATCH(BQ21-1,BQ$5:BQ20,0))),0),"")</f>
        <v/>
      </c>
      <c r="BV21" s="66" t="str">
        <f aca="false">IF(BP21=1,IF(AL21="Loss",1+IF(BQ21=1,0,INDEX(BV$5:BV20,MATCH(BQ21-1,BQ$5:BQ20,0))),0),"")</f>
        <v/>
      </c>
    </row>
    <row r="22" customFormat="false" ht="18" hidden="false" customHeight="true" outlineLevel="0" collapsed="false">
      <c r="A22" s="66" t="str">
        <f aca="false">IF(B22="","",ROW()-5)</f>
        <v/>
      </c>
      <c r="B22" s="67"/>
      <c r="C22" s="68" t="str">
        <f aca="false">IF(B22="","",CHOOSE(WEEKDAY(B22,2),"Mon","Tue","Wed","Thu","Fri","Sat","Sun"))</f>
        <v/>
      </c>
      <c r="D22" s="66" t="str">
        <f aca="false">IF(B22="","",WEEKNUM(B22,2))</f>
        <v/>
      </c>
      <c r="E22" s="69"/>
      <c r="F22" s="69"/>
      <c r="G22" s="70"/>
      <c r="H22" s="70"/>
      <c r="I22" s="69"/>
      <c r="J22" s="69"/>
      <c r="K22" s="69"/>
      <c r="L22" s="71"/>
      <c r="M22" s="69"/>
      <c r="N22" s="69"/>
      <c r="O22" s="69"/>
      <c r="P22" s="71"/>
      <c r="Q22" s="69"/>
      <c r="R22" s="69"/>
      <c r="S22" s="69"/>
      <c r="T22" s="69"/>
      <c r="U22" s="69"/>
      <c r="V22" s="69"/>
      <c r="W22" s="69"/>
      <c r="X22" s="66" t="str">
        <f aca="false">IF(B22="","",COUNTIF(Q22:W22,"Yes"))</f>
        <v/>
      </c>
      <c r="Y22" s="68" t="str">
        <f aca="false">IF(B22="","",IF(X22&gt;=Settings!$C$16,"A+",IF(X22&gt;=Settings!$C$17,"A",IF(X22&gt;=Settings!$C$18,"B","C"))))</f>
        <v/>
      </c>
      <c r="Z22" s="72"/>
      <c r="AA22" s="72"/>
      <c r="AB22" s="72"/>
      <c r="AC22" s="72"/>
      <c r="AD22" s="72"/>
      <c r="AE22" s="72"/>
      <c r="AF22" s="73"/>
      <c r="AG22" s="74"/>
      <c r="AH22" s="75"/>
      <c r="AI22" s="76" t="str">
        <f aca="false">IF(B22="","",ROUND(IF(AG22="",Settings!$C$5,AG22)*AW22,2))</f>
        <v/>
      </c>
      <c r="AJ22" s="77" t="str">
        <f aca="false">IF(OR(B22="",AB22="",AC22="",AD22=""),"",IFERROR(ROUND(ABS(AD22-AB22)/ABS(AB22-AC22),2),""))</f>
        <v/>
      </c>
      <c r="AK22" s="78" t="str">
        <f aca="false">IF(OR(B22="",AB22="",AC22="",AE22=""),"",IFERROR(ROUND(IF(J22="Short",AB22-AE22,AE22-AB22)/ABS(AB22-AC22),2),""))</f>
        <v/>
      </c>
      <c r="AL22" s="68" t="str">
        <f aca="false">IF(AK22="","",IF(ABS(AK22)&lt;=Settings!$C$6,"BE",IF(AK22&gt;0,"Win","Loss")))</f>
        <v/>
      </c>
      <c r="AM22" s="79" t="str">
        <f aca="false">IF(OR(AK22="",AI22=""),"",ROUND(AK22*AI22-N(AH22),2))</f>
        <v/>
      </c>
      <c r="AN22" s="76" t="str">
        <f aca="false">IF(AM22="","",ROUND(BK22+SUMIFS(AM$6:AM22,BJ$6:BJ22,BJ22),2))</f>
        <v/>
      </c>
      <c r="AO22" s="78" t="str">
        <f aca="false">IF(AK22="","",ROUND(SUMIFS(AK$6:AK22,BJ$6:BJ22,BJ22),2))</f>
        <v/>
      </c>
      <c r="AP22" s="80" t="str">
        <f aca="false">IF(OR(AK22="",BL22=""),"",IFERROR(ROUND(IF(J22="Short",AB22-AE22,AE22-AB22)/BL22,1),""))</f>
        <v/>
      </c>
      <c r="AQ22" s="66" t="str">
        <f aca="false">IF(OR(G22="",H22=""),"",ROUND(MOD(H22-G22,1)*1440,0))</f>
        <v/>
      </c>
      <c r="AR22" s="68" t="str">
        <f aca="false">IF(AQ22="","",IF(AQ22&lt;15,"Under 15m",IF(AQ22&lt;60,"15-60m",IF(AQ22&lt;240,"1-4 hours","4+ hours"))))</f>
        <v/>
      </c>
      <c r="AS22" s="66" t="str">
        <f aca="false">IF(G22="","",HOUR(G22))</f>
        <v/>
      </c>
      <c r="AT22" s="80" t="str">
        <f aca="false">IF(OR(Z22="",AB22="",BL22=""),"",IFERROR(ROUND(IF(J22="Short",Z22-AB22,AB22-Z22)/BL22,1),""))</f>
        <v/>
      </c>
      <c r="AU22" s="68" t="str">
        <f aca="false">IF(OR(AA22="",AC22=""),"",IF(AA22=AC22,"No","Yes"))</f>
        <v/>
      </c>
      <c r="AV22" s="81" t="str">
        <f aca="false">IF(OR(B22="",BL22="",BM22="",AB22="",AC22=""),"",IFERROR(ROUND(AI22/(ABS(AB22-AC22)/BL22*BM22),2),""))</f>
        <v/>
      </c>
      <c r="AW22" s="76" t="str">
        <f aca="false">IF(B22="","",ROUND(BK22+SUMIFS(AM$5:AM21,BJ$5:BJ21,BJ22),2))</f>
        <v/>
      </c>
      <c r="AX22" s="66" t="str">
        <f aca="false">IF(B22="","",COUNTIFS(B$6:B22,B22,BJ$6:BJ22,BJ22))</f>
        <v/>
      </c>
      <c r="AY22" s="79" t="str">
        <f aca="false">IF(B22="","",ROUND(SUMIFS(AM$5:AM21,B$5:B21,B22,BJ$5:BJ21,BJ22),2))</f>
        <v/>
      </c>
      <c r="AZ22" s="79" t="str">
        <f aca="false">IF(AM22="","",ROUND(AY22+AM22,2))</f>
        <v/>
      </c>
      <c r="BA22" s="79" t="str">
        <f aca="false">IF(B22="","",ROUND(SUMIFS(AM$5:AM21,B$5:B21,"&gt;="&amp;(B22-WEEKDAY(B22,2)+1),B$5:B21,"&lt;="&amp;B22,BJ$5:BJ21,BJ22),2))</f>
        <v/>
      </c>
      <c r="BB22" s="68" t="str">
        <f aca="false">IF(B22="","",IF(AND(AF22&lt;&gt;"",AV22&lt;&gt;"",N(AF22)&gt;N(AV22)*(1+Settings!$C$13)),"Oversized",IF(AX22&gt;Settings!$C$10,"Overtraded",IF(AY22&lt;=-Settings!$C$11*(AW22-AY22),"Daily loss hit",IF(BA22&lt;=-Settings!$C$12*(AW22-BA22),"Weekly loss hit","OK")))))</f>
        <v/>
      </c>
      <c r="BC22" s="69"/>
      <c r="BD22" s="69"/>
      <c r="BE22" s="69"/>
      <c r="BF22" s="73"/>
      <c r="BG22" s="73"/>
      <c r="BH22" s="71"/>
      <c r="BI22" s="71"/>
      <c r="BJ22" s="68" t="str">
        <f aca="false">IF(B22="","",IF(E22="",Settings!$F$5,E22))</f>
        <v/>
      </c>
      <c r="BK22" s="76" t="str">
        <f aca="false">IF(B22="","",IFERROR(INDEX(Settings!$G$5:$G$10,MATCH(BJ22,Settings!$F$5:$F$10,0)),Settings!$G$5))</f>
        <v/>
      </c>
      <c r="BL22" s="82" t="str">
        <f aca="false">IF(I22="","",IFERROR(1/(1/INDEX(Lists!$C$6:$C$17,MATCH(I22,Lists!$B$6:$B$17,0))),""))</f>
        <v/>
      </c>
      <c r="BM22" s="81" t="str">
        <f aca="false">IF(I22="","",IFERROR(1/(1/INDEX(Lists!$D$6:$D$17,MATCH(I22,Lists!$B$6:$B$17,0))),""))</f>
        <v/>
      </c>
      <c r="BN22" s="76" t="str">
        <f aca="false">IF(AN22="","",MAX(BK22,_xlfn.MAXIFS(AN$6:AN22,BJ$6:BJ22,BJ22)))</f>
        <v/>
      </c>
      <c r="BO22" s="83" t="str">
        <f aca="false">IF(AN22="","",(AN22-BN22)/BN22)</f>
        <v/>
      </c>
      <c r="BP22" s="66" t="n">
        <f aca="false">IF(OR(B22="",AL22=""),0,IF(OR(Settings!$C$28="All Accounts",BJ22=Settings!$C$28),1,0))</f>
        <v>0</v>
      </c>
      <c r="BQ22" s="66" t="str">
        <f aca="false">IF(BP22=1,SUM(BP$6:BP22),"")</f>
        <v/>
      </c>
      <c r="BR22" s="76" t="str">
        <f aca="false">IF(BP22=1,ROUND(Settings!$C$29+SUMIFS(AM$6:AM22,BP$6:BP22,1),2),"")</f>
        <v/>
      </c>
      <c r="BS22" s="76" t="str">
        <f aca="false">IF(BP22=1,MAX(Settings!$C$29,MAX(BR$6:BR22)),"")</f>
        <v/>
      </c>
      <c r="BT22" s="83" t="str">
        <f aca="false">IF(BP22=1,(BR22-BS22)/BS22,"")</f>
        <v/>
      </c>
      <c r="BU22" s="66" t="str">
        <f aca="false">IF(BP22=1,IF(AL22="Win",1+IF(BQ22=1,0,INDEX(BU$5:BU21,MATCH(BQ22-1,BQ$5:BQ21,0))),0),"")</f>
        <v/>
      </c>
      <c r="BV22" s="66" t="str">
        <f aca="false">IF(BP22=1,IF(AL22="Loss",1+IF(BQ22=1,0,INDEX(BV$5:BV21,MATCH(BQ22-1,BQ$5:BQ21,0))),0),"")</f>
        <v/>
      </c>
    </row>
    <row r="23" customFormat="false" ht="18" hidden="false" customHeight="true" outlineLevel="0" collapsed="false">
      <c r="A23" s="66" t="str">
        <f aca="false">IF(B23="","",ROW()-5)</f>
        <v/>
      </c>
      <c r="B23" s="67"/>
      <c r="C23" s="68" t="str">
        <f aca="false">IF(B23="","",CHOOSE(WEEKDAY(B23,2),"Mon","Tue","Wed","Thu","Fri","Sat","Sun"))</f>
        <v/>
      </c>
      <c r="D23" s="66" t="str">
        <f aca="false">IF(B23="","",WEEKNUM(B23,2))</f>
        <v/>
      </c>
      <c r="E23" s="69"/>
      <c r="F23" s="69"/>
      <c r="G23" s="70"/>
      <c r="H23" s="70"/>
      <c r="I23" s="69"/>
      <c r="J23" s="69"/>
      <c r="K23" s="69"/>
      <c r="L23" s="71"/>
      <c r="M23" s="69"/>
      <c r="N23" s="69"/>
      <c r="O23" s="69"/>
      <c r="P23" s="71"/>
      <c r="Q23" s="69"/>
      <c r="R23" s="69"/>
      <c r="S23" s="69"/>
      <c r="T23" s="69"/>
      <c r="U23" s="69"/>
      <c r="V23" s="69"/>
      <c r="W23" s="69"/>
      <c r="X23" s="66" t="str">
        <f aca="false">IF(B23="","",COUNTIF(Q23:W23,"Yes"))</f>
        <v/>
      </c>
      <c r="Y23" s="68" t="str">
        <f aca="false">IF(B23="","",IF(X23&gt;=Settings!$C$16,"A+",IF(X23&gt;=Settings!$C$17,"A",IF(X23&gt;=Settings!$C$18,"B","C"))))</f>
        <v/>
      </c>
      <c r="Z23" s="72"/>
      <c r="AA23" s="72"/>
      <c r="AB23" s="72"/>
      <c r="AC23" s="72"/>
      <c r="AD23" s="72"/>
      <c r="AE23" s="72"/>
      <c r="AF23" s="73"/>
      <c r="AG23" s="74"/>
      <c r="AH23" s="75"/>
      <c r="AI23" s="76" t="str">
        <f aca="false">IF(B23="","",ROUND(IF(AG23="",Settings!$C$5,AG23)*AW23,2))</f>
        <v/>
      </c>
      <c r="AJ23" s="77" t="str">
        <f aca="false">IF(OR(B23="",AB23="",AC23="",AD23=""),"",IFERROR(ROUND(ABS(AD23-AB23)/ABS(AB23-AC23),2),""))</f>
        <v/>
      </c>
      <c r="AK23" s="78" t="str">
        <f aca="false">IF(OR(B23="",AB23="",AC23="",AE23=""),"",IFERROR(ROUND(IF(J23="Short",AB23-AE23,AE23-AB23)/ABS(AB23-AC23),2),""))</f>
        <v/>
      </c>
      <c r="AL23" s="68" t="str">
        <f aca="false">IF(AK23="","",IF(ABS(AK23)&lt;=Settings!$C$6,"BE",IF(AK23&gt;0,"Win","Loss")))</f>
        <v/>
      </c>
      <c r="AM23" s="79" t="str">
        <f aca="false">IF(OR(AK23="",AI23=""),"",ROUND(AK23*AI23-N(AH23),2))</f>
        <v/>
      </c>
      <c r="AN23" s="76" t="str">
        <f aca="false">IF(AM23="","",ROUND(BK23+SUMIFS(AM$6:AM23,BJ$6:BJ23,BJ23),2))</f>
        <v/>
      </c>
      <c r="AO23" s="78" t="str">
        <f aca="false">IF(AK23="","",ROUND(SUMIFS(AK$6:AK23,BJ$6:BJ23,BJ23),2))</f>
        <v/>
      </c>
      <c r="AP23" s="80" t="str">
        <f aca="false">IF(OR(AK23="",BL23=""),"",IFERROR(ROUND(IF(J23="Short",AB23-AE23,AE23-AB23)/BL23,1),""))</f>
        <v/>
      </c>
      <c r="AQ23" s="66" t="str">
        <f aca="false">IF(OR(G23="",H23=""),"",ROUND(MOD(H23-G23,1)*1440,0))</f>
        <v/>
      </c>
      <c r="AR23" s="68" t="str">
        <f aca="false">IF(AQ23="","",IF(AQ23&lt;15,"Under 15m",IF(AQ23&lt;60,"15-60m",IF(AQ23&lt;240,"1-4 hours","4+ hours"))))</f>
        <v/>
      </c>
      <c r="AS23" s="66" t="str">
        <f aca="false">IF(G23="","",HOUR(G23))</f>
        <v/>
      </c>
      <c r="AT23" s="80" t="str">
        <f aca="false">IF(OR(Z23="",AB23="",BL23=""),"",IFERROR(ROUND(IF(J23="Short",Z23-AB23,AB23-Z23)/BL23,1),""))</f>
        <v/>
      </c>
      <c r="AU23" s="68" t="str">
        <f aca="false">IF(OR(AA23="",AC23=""),"",IF(AA23=AC23,"No","Yes"))</f>
        <v/>
      </c>
      <c r="AV23" s="81" t="str">
        <f aca="false">IF(OR(B23="",BL23="",BM23="",AB23="",AC23=""),"",IFERROR(ROUND(AI23/(ABS(AB23-AC23)/BL23*BM23),2),""))</f>
        <v/>
      </c>
      <c r="AW23" s="76" t="str">
        <f aca="false">IF(B23="","",ROUND(BK23+SUMIFS(AM$5:AM22,BJ$5:BJ22,BJ23),2))</f>
        <v/>
      </c>
      <c r="AX23" s="66" t="str">
        <f aca="false">IF(B23="","",COUNTIFS(B$6:B23,B23,BJ$6:BJ23,BJ23))</f>
        <v/>
      </c>
      <c r="AY23" s="79" t="str">
        <f aca="false">IF(B23="","",ROUND(SUMIFS(AM$5:AM22,B$5:B22,B23,BJ$5:BJ22,BJ23),2))</f>
        <v/>
      </c>
      <c r="AZ23" s="79" t="str">
        <f aca="false">IF(AM23="","",ROUND(AY23+AM23,2))</f>
        <v/>
      </c>
      <c r="BA23" s="79" t="str">
        <f aca="false">IF(B23="","",ROUND(SUMIFS(AM$5:AM22,B$5:B22,"&gt;="&amp;(B23-WEEKDAY(B23,2)+1),B$5:B22,"&lt;="&amp;B23,BJ$5:BJ22,BJ23),2))</f>
        <v/>
      </c>
      <c r="BB23" s="68" t="str">
        <f aca="false">IF(B23="","",IF(AND(AF23&lt;&gt;"",AV23&lt;&gt;"",N(AF23)&gt;N(AV23)*(1+Settings!$C$13)),"Oversized",IF(AX23&gt;Settings!$C$10,"Overtraded",IF(AY23&lt;=-Settings!$C$11*(AW23-AY23),"Daily loss hit",IF(BA23&lt;=-Settings!$C$12*(AW23-BA23),"Weekly loss hit","OK")))))</f>
        <v/>
      </c>
      <c r="BC23" s="69"/>
      <c r="BD23" s="69"/>
      <c r="BE23" s="69"/>
      <c r="BF23" s="73"/>
      <c r="BG23" s="73"/>
      <c r="BH23" s="71"/>
      <c r="BI23" s="71"/>
      <c r="BJ23" s="68" t="str">
        <f aca="false">IF(B23="","",IF(E23="",Settings!$F$5,E23))</f>
        <v/>
      </c>
      <c r="BK23" s="76" t="str">
        <f aca="false">IF(B23="","",IFERROR(INDEX(Settings!$G$5:$G$10,MATCH(BJ23,Settings!$F$5:$F$10,0)),Settings!$G$5))</f>
        <v/>
      </c>
      <c r="BL23" s="82" t="str">
        <f aca="false">IF(I23="","",IFERROR(1/(1/INDEX(Lists!$C$6:$C$17,MATCH(I23,Lists!$B$6:$B$17,0))),""))</f>
        <v/>
      </c>
      <c r="BM23" s="81" t="str">
        <f aca="false">IF(I23="","",IFERROR(1/(1/INDEX(Lists!$D$6:$D$17,MATCH(I23,Lists!$B$6:$B$17,0))),""))</f>
        <v/>
      </c>
      <c r="BN23" s="76" t="str">
        <f aca="false">IF(AN23="","",MAX(BK23,_xlfn.MAXIFS(AN$6:AN23,BJ$6:BJ23,BJ23)))</f>
        <v/>
      </c>
      <c r="BO23" s="83" t="str">
        <f aca="false">IF(AN23="","",(AN23-BN23)/BN23)</f>
        <v/>
      </c>
      <c r="BP23" s="66" t="n">
        <f aca="false">IF(OR(B23="",AL23=""),0,IF(OR(Settings!$C$28="All Accounts",BJ23=Settings!$C$28),1,0))</f>
        <v>0</v>
      </c>
      <c r="BQ23" s="66" t="str">
        <f aca="false">IF(BP23=1,SUM(BP$6:BP23),"")</f>
        <v/>
      </c>
      <c r="BR23" s="76" t="str">
        <f aca="false">IF(BP23=1,ROUND(Settings!$C$29+SUMIFS(AM$6:AM23,BP$6:BP23,1),2),"")</f>
        <v/>
      </c>
      <c r="BS23" s="76" t="str">
        <f aca="false">IF(BP23=1,MAX(Settings!$C$29,MAX(BR$6:BR23)),"")</f>
        <v/>
      </c>
      <c r="BT23" s="83" t="str">
        <f aca="false">IF(BP23=1,(BR23-BS23)/BS23,"")</f>
        <v/>
      </c>
      <c r="BU23" s="66" t="str">
        <f aca="false">IF(BP23=1,IF(AL23="Win",1+IF(BQ23=1,0,INDEX(BU$5:BU22,MATCH(BQ23-1,BQ$5:BQ22,0))),0),"")</f>
        <v/>
      </c>
      <c r="BV23" s="66" t="str">
        <f aca="false">IF(BP23=1,IF(AL23="Loss",1+IF(BQ23=1,0,INDEX(BV$5:BV22,MATCH(BQ23-1,BQ$5:BQ22,0))),0),"")</f>
        <v/>
      </c>
    </row>
    <row r="24" customFormat="false" ht="18" hidden="false" customHeight="true" outlineLevel="0" collapsed="false">
      <c r="A24" s="66" t="str">
        <f aca="false">IF(B24="","",ROW()-5)</f>
        <v/>
      </c>
      <c r="B24" s="67"/>
      <c r="C24" s="68" t="str">
        <f aca="false">IF(B24="","",CHOOSE(WEEKDAY(B24,2),"Mon","Tue","Wed","Thu","Fri","Sat","Sun"))</f>
        <v/>
      </c>
      <c r="D24" s="66" t="str">
        <f aca="false">IF(B24="","",WEEKNUM(B24,2))</f>
        <v/>
      </c>
      <c r="E24" s="69"/>
      <c r="F24" s="69"/>
      <c r="G24" s="70"/>
      <c r="H24" s="70"/>
      <c r="I24" s="69"/>
      <c r="J24" s="69"/>
      <c r="K24" s="69"/>
      <c r="L24" s="71"/>
      <c r="M24" s="69"/>
      <c r="N24" s="69"/>
      <c r="O24" s="69"/>
      <c r="P24" s="71"/>
      <c r="Q24" s="69"/>
      <c r="R24" s="69"/>
      <c r="S24" s="69"/>
      <c r="T24" s="69"/>
      <c r="U24" s="69"/>
      <c r="V24" s="69"/>
      <c r="W24" s="69"/>
      <c r="X24" s="66" t="str">
        <f aca="false">IF(B24="","",COUNTIF(Q24:W24,"Yes"))</f>
        <v/>
      </c>
      <c r="Y24" s="68" t="str">
        <f aca="false">IF(B24="","",IF(X24&gt;=Settings!$C$16,"A+",IF(X24&gt;=Settings!$C$17,"A",IF(X24&gt;=Settings!$C$18,"B","C"))))</f>
        <v/>
      </c>
      <c r="Z24" s="72"/>
      <c r="AA24" s="72"/>
      <c r="AB24" s="72"/>
      <c r="AC24" s="72"/>
      <c r="AD24" s="72"/>
      <c r="AE24" s="72"/>
      <c r="AF24" s="73"/>
      <c r="AG24" s="74"/>
      <c r="AH24" s="75"/>
      <c r="AI24" s="76" t="str">
        <f aca="false">IF(B24="","",ROUND(IF(AG24="",Settings!$C$5,AG24)*AW24,2))</f>
        <v/>
      </c>
      <c r="AJ24" s="77" t="str">
        <f aca="false">IF(OR(B24="",AB24="",AC24="",AD24=""),"",IFERROR(ROUND(ABS(AD24-AB24)/ABS(AB24-AC24),2),""))</f>
        <v/>
      </c>
      <c r="AK24" s="78" t="str">
        <f aca="false">IF(OR(B24="",AB24="",AC24="",AE24=""),"",IFERROR(ROUND(IF(J24="Short",AB24-AE24,AE24-AB24)/ABS(AB24-AC24),2),""))</f>
        <v/>
      </c>
      <c r="AL24" s="68" t="str">
        <f aca="false">IF(AK24="","",IF(ABS(AK24)&lt;=Settings!$C$6,"BE",IF(AK24&gt;0,"Win","Loss")))</f>
        <v/>
      </c>
      <c r="AM24" s="79" t="str">
        <f aca="false">IF(OR(AK24="",AI24=""),"",ROUND(AK24*AI24-N(AH24),2))</f>
        <v/>
      </c>
      <c r="AN24" s="76" t="str">
        <f aca="false">IF(AM24="","",ROUND(BK24+SUMIFS(AM$6:AM24,BJ$6:BJ24,BJ24),2))</f>
        <v/>
      </c>
      <c r="AO24" s="78" t="str">
        <f aca="false">IF(AK24="","",ROUND(SUMIFS(AK$6:AK24,BJ$6:BJ24,BJ24),2))</f>
        <v/>
      </c>
      <c r="AP24" s="80" t="str">
        <f aca="false">IF(OR(AK24="",BL24=""),"",IFERROR(ROUND(IF(J24="Short",AB24-AE24,AE24-AB24)/BL24,1),""))</f>
        <v/>
      </c>
      <c r="AQ24" s="66" t="str">
        <f aca="false">IF(OR(G24="",H24=""),"",ROUND(MOD(H24-G24,1)*1440,0))</f>
        <v/>
      </c>
      <c r="AR24" s="68" t="str">
        <f aca="false">IF(AQ24="","",IF(AQ24&lt;15,"Under 15m",IF(AQ24&lt;60,"15-60m",IF(AQ24&lt;240,"1-4 hours","4+ hours"))))</f>
        <v/>
      </c>
      <c r="AS24" s="66" t="str">
        <f aca="false">IF(G24="","",HOUR(G24))</f>
        <v/>
      </c>
      <c r="AT24" s="80" t="str">
        <f aca="false">IF(OR(Z24="",AB24="",BL24=""),"",IFERROR(ROUND(IF(J24="Short",Z24-AB24,AB24-Z24)/BL24,1),""))</f>
        <v/>
      </c>
      <c r="AU24" s="68" t="str">
        <f aca="false">IF(OR(AA24="",AC24=""),"",IF(AA24=AC24,"No","Yes"))</f>
        <v/>
      </c>
      <c r="AV24" s="81" t="str">
        <f aca="false">IF(OR(B24="",BL24="",BM24="",AB24="",AC24=""),"",IFERROR(ROUND(AI24/(ABS(AB24-AC24)/BL24*BM24),2),""))</f>
        <v/>
      </c>
      <c r="AW24" s="76" t="str">
        <f aca="false">IF(B24="","",ROUND(BK24+SUMIFS(AM$5:AM23,BJ$5:BJ23,BJ24),2))</f>
        <v/>
      </c>
      <c r="AX24" s="66" t="str">
        <f aca="false">IF(B24="","",COUNTIFS(B$6:B24,B24,BJ$6:BJ24,BJ24))</f>
        <v/>
      </c>
      <c r="AY24" s="79" t="str">
        <f aca="false">IF(B24="","",ROUND(SUMIFS(AM$5:AM23,B$5:B23,B24,BJ$5:BJ23,BJ24),2))</f>
        <v/>
      </c>
      <c r="AZ24" s="79" t="str">
        <f aca="false">IF(AM24="","",ROUND(AY24+AM24,2))</f>
        <v/>
      </c>
      <c r="BA24" s="79" t="str">
        <f aca="false">IF(B24="","",ROUND(SUMIFS(AM$5:AM23,B$5:B23,"&gt;="&amp;(B24-WEEKDAY(B24,2)+1),B$5:B23,"&lt;="&amp;B24,BJ$5:BJ23,BJ24),2))</f>
        <v/>
      </c>
      <c r="BB24" s="68" t="str">
        <f aca="false">IF(B24="","",IF(AND(AF24&lt;&gt;"",AV24&lt;&gt;"",N(AF24)&gt;N(AV24)*(1+Settings!$C$13)),"Oversized",IF(AX24&gt;Settings!$C$10,"Overtraded",IF(AY24&lt;=-Settings!$C$11*(AW24-AY24),"Daily loss hit",IF(BA24&lt;=-Settings!$C$12*(AW24-BA24),"Weekly loss hit","OK")))))</f>
        <v/>
      </c>
      <c r="BC24" s="69"/>
      <c r="BD24" s="69"/>
      <c r="BE24" s="69"/>
      <c r="BF24" s="73"/>
      <c r="BG24" s="73"/>
      <c r="BH24" s="71"/>
      <c r="BI24" s="71"/>
      <c r="BJ24" s="68" t="str">
        <f aca="false">IF(B24="","",IF(E24="",Settings!$F$5,E24))</f>
        <v/>
      </c>
      <c r="BK24" s="76" t="str">
        <f aca="false">IF(B24="","",IFERROR(INDEX(Settings!$G$5:$G$10,MATCH(BJ24,Settings!$F$5:$F$10,0)),Settings!$G$5))</f>
        <v/>
      </c>
      <c r="BL24" s="82" t="str">
        <f aca="false">IF(I24="","",IFERROR(1/(1/INDEX(Lists!$C$6:$C$17,MATCH(I24,Lists!$B$6:$B$17,0))),""))</f>
        <v/>
      </c>
      <c r="BM24" s="81" t="str">
        <f aca="false">IF(I24="","",IFERROR(1/(1/INDEX(Lists!$D$6:$D$17,MATCH(I24,Lists!$B$6:$B$17,0))),""))</f>
        <v/>
      </c>
      <c r="BN24" s="76" t="str">
        <f aca="false">IF(AN24="","",MAX(BK24,_xlfn.MAXIFS(AN$6:AN24,BJ$6:BJ24,BJ24)))</f>
        <v/>
      </c>
      <c r="BO24" s="83" t="str">
        <f aca="false">IF(AN24="","",(AN24-BN24)/BN24)</f>
        <v/>
      </c>
      <c r="BP24" s="66" t="n">
        <f aca="false">IF(OR(B24="",AL24=""),0,IF(OR(Settings!$C$28="All Accounts",BJ24=Settings!$C$28),1,0))</f>
        <v>0</v>
      </c>
      <c r="BQ24" s="66" t="str">
        <f aca="false">IF(BP24=1,SUM(BP$6:BP24),"")</f>
        <v/>
      </c>
      <c r="BR24" s="76" t="str">
        <f aca="false">IF(BP24=1,ROUND(Settings!$C$29+SUMIFS(AM$6:AM24,BP$6:BP24,1),2),"")</f>
        <v/>
      </c>
      <c r="BS24" s="76" t="str">
        <f aca="false">IF(BP24=1,MAX(Settings!$C$29,MAX(BR$6:BR24)),"")</f>
        <v/>
      </c>
      <c r="BT24" s="83" t="str">
        <f aca="false">IF(BP24=1,(BR24-BS24)/BS24,"")</f>
        <v/>
      </c>
      <c r="BU24" s="66" t="str">
        <f aca="false">IF(BP24=1,IF(AL24="Win",1+IF(BQ24=1,0,INDEX(BU$5:BU23,MATCH(BQ24-1,BQ$5:BQ23,0))),0),"")</f>
        <v/>
      </c>
      <c r="BV24" s="66" t="str">
        <f aca="false">IF(BP24=1,IF(AL24="Loss",1+IF(BQ24=1,0,INDEX(BV$5:BV23,MATCH(BQ24-1,BQ$5:BQ23,0))),0),"")</f>
        <v/>
      </c>
    </row>
    <row r="25" customFormat="false" ht="18" hidden="false" customHeight="true" outlineLevel="0" collapsed="false">
      <c r="A25" s="66" t="str">
        <f aca="false">IF(B25="","",ROW()-5)</f>
        <v/>
      </c>
      <c r="B25" s="67"/>
      <c r="C25" s="68" t="str">
        <f aca="false">IF(B25="","",CHOOSE(WEEKDAY(B25,2),"Mon","Tue","Wed","Thu","Fri","Sat","Sun"))</f>
        <v/>
      </c>
      <c r="D25" s="66" t="str">
        <f aca="false">IF(B25="","",WEEKNUM(B25,2))</f>
        <v/>
      </c>
      <c r="E25" s="69"/>
      <c r="F25" s="69"/>
      <c r="G25" s="70"/>
      <c r="H25" s="70"/>
      <c r="I25" s="69"/>
      <c r="J25" s="69"/>
      <c r="K25" s="69"/>
      <c r="L25" s="71"/>
      <c r="M25" s="69"/>
      <c r="N25" s="69"/>
      <c r="O25" s="69"/>
      <c r="P25" s="71"/>
      <c r="Q25" s="69"/>
      <c r="R25" s="69"/>
      <c r="S25" s="69"/>
      <c r="T25" s="69"/>
      <c r="U25" s="69"/>
      <c r="V25" s="69"/>
      <c r="W25" s="69"/>
      <c r="X25" s="66" t="str">
        <f aca="false">IF(B25="","",COUNTIF(Q25:W25,"Yes"))</f>
        <v/>
      </c>
      <c r="Y25" s="68" t="str">
        <f aca="false">IF(B25="","",IF(X25&gt;=Settings!$C$16,"A+",IF(X25&gt;=Settings!$C$17,"A",IF(X25&gt;=Settings!$C$18,"B","C"))))</f>
        <v/>
      </c>
      <c r="Z25" s="72"/>
      <c r="AA25" s="72"/>
      <c r="AB25" s="72"/>
      <c r="AC25" s="72"/>
      <c r="AD25" s="72"/>
      <c r="AE25" s="72"/>
      <c r="AF25" s="73"/>
      <c r="AG25" s="74"/>
      <c r="AH25" s="75"/>
      <c r="AI25" s="76" t="str">
        <f aca="false">IF(B25="","",ROUND(IF(AG25="",Settings!$C$5,AG25)*AW25,2))</f>
        <v/>
      </c>
      <c r="AJ25" s="77" t="str">
        <f aca="false">IF(OR(B25="",AB25="",AC25="",AD25=""),"",IFERROR(ROUND(ABS(AD25-AB25)/ABS(AB25-AC25),2),""))</f>
        <v/>
      </c>
      <c r="AK25" s="78" t="str">
        <f aca="false">IF(OR(B25="",AB25="",AC25="",AE25=""),"",IFERROR(ROUND(IF(J25="Short",AB25-AE25,AE25-AB25)/ABS(AB25-AC25),2),""))</f>
        <v/>
      </c>
      <c r="AL25" s="68" t="str">
        <f aca="false">IF(AK25="","",IF(ABS(AK25)&lt;=Settings!$C$6,"BE",IF(AK25&gt;0,"Win","Loss")))</f>
        <v/>
      </c>
      <c r="AM25" s="79" t="str">
        <f aca="false">IF(OR(AK25="",AI25=""),"",ROUND(AK25*AI25-N(AH25),2))</f>
        <v/>
      </c>
      <c r="AN25" s="76" t="str">
        <f aca="false">IF(AM25="","",ROUND(BK25+SUMIFS(AM$6:AM25,BJ$6:BJ25,BJ25),2))</f>
        <v/>
      </c>
      <c r="AO25" s="78" t="str">
        <f aca="false">IF(AK25="","",ROUND(SUMIFS(AK$6:AK25,BJ$6:BJ25,BJ25),2))</f>
        <v/>
      </c>
      <c r="AP25" s="80" t="str">
        <f aca="false">IF(OR(AK25="",BL25=""),"",IFERROR(ROUND(IF(J25="Short",AB25-AE25,AE25-AB25)/BL25,1),""))</f>
        <v/>
      </c>
      <c r="AQ25" s="66" t="str">
        <f aca="false">IF(OR(G25="",H25=""),"",ROUND(MOD(H25-G25,1)*1440,0))</f>
        <v/>
      </c>
      <c r="AR25" s="68" t="str">
        <f aca="false">IF(AQ25="","",IF(AQ25&lt;15,"Under 15m",IF(AQ25&lt;60,"15-60m",IF(AQ25&lt;240,"1-4 hours","4+ hours"))))</f>
        <v/>
      </c>
      <c r="AS25" s="66" t="str">
        <f aca="false">IF(G25="","",HOUR(G25))</f>
        <v/>
      </c>
      <c r="AT25" s="80" t="str">
        <f aca="false">IF(OR(Z25="",AB25="",BL25=""),"",IFERROR(ROUND(IF(J25="Short",Z25-AB25,AB25-Z25)/BL25,1),""))</f>
        <v/>
      </c>
      <c r="AU25" s="68" t="str">
        <f aca="false">IF(OR(AA25="",AC25=""),"",IF(AA25=AC25,"No","Yes"))</f>
        <v/>
      </c>
      <c r="AV25" s="81" t="str">
        <f aca="false">IF(OR(B25="",BL25="",BM25="",AB25="",AC25=""),"",IFERROR(ROUND(AI25/(ABS(AB25-AC25)/BL25*BM25),2),""))</f>
        <v/>
      </c>
      <c r="AW25" s="76" t="str">
        <f aca="false">IF(B25="","",ROUND(BK25+SUMIFS(AM$5:AM24,BJ$5:BJ24,BJ25),2))</f>
        <v/>
      </c>
      <c r="AX25" s="66" t="str">
        <f aca="false">IF(B25="","",COUNTIFS(B$6:B25,B25,BJ$6:BJ25,BJ25))</f>
        <v/>
      </c>
      <c r="AY25" s="79" t="str">
        <f aca="false">IF(B25="","",ROUND(SUMIFS(AM$5:AM24,B$5:B24,B25,BJ$5:BJ24,BJ25),2))</f>
        <v/>
      </c>
      <c r="AZ25" s="79" t="str">
        <f aca="false">IF(AM25="","",ROUND(AY25+AM25,2))</f>
        <v/>
      </c>
      <c r="BA25" s="79" t="str">
        <f aca="false">IF(B25="","",ROUND(SUMIFS(AM$5:AM24,B$5:B24,"&gt;="&amp;(B25-WEEKDAY(B25,2)+1),B$5:B24,"&lt;="&amp;B25,BJ$5:BJ24,BJ25),2))</f>
        <v/>
      </c>
      <c r="BB25" s="68" t="str">
        <f aca="false">IF(B25="","",IF(AND(AF25&lt;&gt;"",AV25&lt;&gt;"",N(AF25)&gt;N(AV25)*(1+Settings!$C$13)),"Oversized",IF(AX25&gt;Settings!$C$10,"Overtraded",IF(AY25&lt;=-Settings!$C$11*(AW25-AY25),"Daily loss hit",IF(BA25&lt;=-Settings!$C$12*(AW25-BA25),"Weekly loss hit","OK")))))</f>
        <v/>
      </c>
      <c r="BC25" s="69"/>
      <c r="BD25" s="69"/>
      <c r="BE25" s="69"/>
      <c r="BF25" s="73"/>
      <c r="BG25" s="73"/>
      <c r="BH25" s="71"/>
      <c r="BI25" s="71"/>
      <c r="BJ25" s="68" t="str">
        <f aca="false">IF(B25="","",IF(E25="",Settings!$F$5,E25))</f>
        <v/>
      </c>
      <c r="BK25" s="76" t="str">
        <f aca="false">IF(B25="","",IFERROR(INDEX(Settings!$G$5:$G$10,MATCH(BJ25,Settings!$F$5:$F$10,0)),Settings!$G$5))</f>
        <v/>
      </c>
      <c r="BL25" s="82" t="str">
        <f aca="false">IF(I25="","",IFERROR(1/(1/INDEX(Lists!$C$6:$C$17,MATCH(I25,Lists!$B$6:$B$17,0))),""))</f>
        <v/>
      </c>
      <c r="BM25" s="81" t="str">
        <f aca="false">IF(I25="","",IFERROR(1/(1/INDEX(Lists!$D$6:$D$17,MATCH(I25,Lists!$B$6:$B$17,0))),""))</f>
        <v/>
      </c>
      <c r="BN25" s="76" t="str">
        <f aca="false">IF(AN25="","",MAX(BK25,_xlfn.MAXIFS(AN$6:AN25,BJ$6:BJ25,BJ25)))</f>
        <v/>
      </c>
      <c r="BO25" s="83" t="str">
        <f aca="false">IF(AN25="","",(AN25-BN25)/BN25)</f>
        <v/>
      </c>
      <c r="BP25" s="66" t="n">
        <f aca="false">IF(OR(B25="",AL25=""),0,IF(OR(Settings!$C$28="All Accounts",BJ25=Settings!$C$28),1,0))</f>
        <v>0</v>
      </c>
      <c r="BQ25" s="66" t="str">
        <f aca="false">IF(BP25=1,SUM(BP$6:BP25),"")</f>
        <v/>
      </c>
      <c r="BR25" s="76" t="str">
        <f aca="false">IF(BP25=1,ROUND(Settings!$C$29+SUMIFS(AM$6:AM25,BP$6:BP25,1),2),"")</f>
        <v/>
      </c>
      <c r="BS25" s="76" t="str">
        <f aca="false">IF(BP25=1,MAX(Settings!$C$29,MAX(BR$6:BR25)),"")</f>
        <v/>
      </c>
      <c r="BT25" s="83" t="str">
        <f aca="false">IF(BP25=1,(BR25-BS25)/BS25,"")</f>
        <v/>
      </c>
      <c r="BU25" s="66" t="str">
        <f aca="false">IF(BP25=1,IF(AL25="Win",1+IF(BQ25=1,0,INDEX(BU$5:BU24,MATCH(BQ25-1,BQ$5:BQ24,0))),0),"")</f>
        <v/>
      </c>
      <c r="BV25" s="66" t="str">
        <f aca="false">IF(BP25=1,IF(AL25="Loss",1+IF(BQ25=1,0,INDEX(BV$5:BV24,MATCH(BQ25-1,BQ$5:BQ24,0))),0),"")</f>
        <v/>
      </c>
    </row>
    <row r="26" customFormat="false" ht="18" hidden="false" customHeight="true" outlineLevel="0" collapsed="false">
      <c r="A26" s="66" t="str">
        <f aca="false">IF(B26="","",ROW()-5)</f>
        <v/>
      </c>
      <c r="B26" s="67"/>
      <c r="C26" s="68" t="str">
        <f aca="false">IF(B26="","",CHOOSE(WEEKDAY(B26,2),"Mon","Tue","Wed","Thu","Fri","Sat","Sun"))</f>
        <v/>
      </c>
      <c r="D26" s="66" t="str">
        <f aca="false">IF(B26="","",WEEKNUM(B26,2))</f>
        <v/>
      </c>
      <c r="E26" s="69"/>
      <c r="F26" s="69"/>
      <c r="G26" s="70"/>
      <c r="H26" s="70"/>
      <c r="I26" s="69"/>
      <c r="J26" s="69"/>
      <c r="K26" s="69"/>
      <c r="L26" s="71"/>
      <c r="M26" s="69"/>
      <c r="N26" s="69"/>
      <c r="O26" s="69"/>
      <c r="P26" s="71"/>
      <c r="Q26" s="69"/>
      <c r="R26" s="69"/>
      <c r="S26" s="69"/>
      <c r="T26" s="69"/>
      <c r="U26" s="69"/>
      <c r="V26" s="69"/>
      <c r="W26" s="69"/>
      <c r="X26" s="66" t="str">
        <f aca="false">IF(B26="","",COUNTIF(Q26:W26,"Yes"))</f>
        <v/>
      </c>
      <c r="Y26" s="68" t="str">
        <f aca="false">IF(B26="","",IF(X26&gt;=Settings!$C$16,"A+",IF(X26&gt;=Settings!$C$17,"A",IF(X26&gt;=Settings!$C$18,"B","C"))))</f>
        <v/>
      </c>
      <c r="Z26" s="72"/>
      <c r="AA26" s="72"/>
      <c r="AB26" s="72"/>
      <c r="AC26" s="72"/>
      <c r="AD26" s="72"/>
      <c r="AE26" s="72"/>
      <c r="AF26" s="73"/>
      <c r="AG26" s="74"/>
      <c r="AH26" s="75"/>
      <c r="AI26" s="76" t="str">
        <f aca="false">IF(B26="","",ROUND(IF(AG26="",Settings!$C$5,AG26)*AW26,2))</f>
        <v/>
      </c>
      <c r="AJ26" s="77" t="str">
        <f aca="false">IF(OR(B26="",AB26="",AC26="",AD26=""),"",IFERROR(ROUND(ABS(AD26-AB26)/ABS(AB26-AC26),2),""))</f>
        <v/>
      </c>
      <c r="AK26" s="78" t="str">
        <f aca="false">IF(OR(B26="",AB26="",AC26="",AE26=""),"",IFERROR(ROUND(IF(J26="Short",AB26-AE26,AE26-AB26)/ABS(AB26-AC26),2),""))</f>
        <v/>
      </c>
      <c r="AL26" s="68" t="str">
        <f aca="false">IF(AK26="","",IF(ABS(AK26)&lt;=Settings!$C$6,"BE",IF(AK26&gt;0,"Win","Loss")))</f>
        <v/>
      </c>
      <c r="AM26" s="79" t="str">
        <f aca="false">IF(OR(AK26="",AI26=""),"",ROUND(AK26*AI26-N(AH26),2))</f>
        <v/>
      </c>
      <c r="AN26" s="76" t="str">
        <f aca="false">IF(AM26="","",ROUND(BK26+SUMIFS(AM$6:AM26,BJ$6:BJ26,BJ26),2))</f>
        <v/>
      </c>
      <c r="AO26" s="78" t="str">
        <f aca="false">IF(AK26="","",ROUND(SUMIFS(AK$6:AK26,BJ$6:BJ26,BJ26),2))</f>
        <v/>
      </c>
      <c r="AP26" s="80" t="str">
        <f aca="false">IF(OR(AK26="",BL26=""),"",IFERROR(ROUND(IF(J26="Short",AB26-AE26,AE26-AB26)/BL26,1),""))</f>
        <v/>
      </c>
      <c r="AQ26" s="66" t="str">
        <f aca="false">IF(OR(G26="",H26=""),"",ROUND(MOD(H26-G26,1)*1440,0))</f>
        <v/>
      </c>
      <c r="AR26" s="68" t="str">
        <f aca="false">IF(AQ26="","",IF(AQ26&lt;15,"Under 15m",IF(AQ26&lt;60,"15-60m",IF(AQ26&lt;240,"1-4 hours","4+ hours"))))</f>
        <v/>
      </c>
      <c r="AS26" s="66" t="str">
        <f aca="false">IF(G26="","",HOUR(G26))</f>
        <v/>
      </c>
      <c r="AT26" s="80" t="str">
        <f aca="false">IF(OR(Z26="",AB26="",BL26=""),"",IFERROR(ROUND(IF(J26="Short",Z26-AB26,AB26-Z26)/BL26,1),""))</f>
        <v/>
      </c>
      <c r="AU26" s="68" t="str">
        <f aca="false">IF(OR(AA26="",AC26=""),"",IF(AA26=AC26,"No","Yes"))</f>
        <v/>
      </c>
      <c r="AV26" s="81" t="str">
        <f aca="false">IF(OR(B26="",BL26="",BM26="",AB26="",AC26=""),"",IFERROR(ROUND(AI26/(ABS(AB26-AC26)/BL26*BM26),2),""))</f>
        <v/>
      </c>
      <c r="AW26" s="76" t="str">
        <f aca="false">IF(B26="","",ROUND(BK26+SUMIFS(AM$5:AM25,BJ$5:BJ25,BJ26),2))</f>
        <v/>
      </c>
      <c r="AX26" s="66" t="str">
        <f aca="false">IF(B26="","",COUNTIFS(B$6:B26,B26,BJ$6:BJ26,BJ26))</f>
        <v/>
      </c>
      <c r="AY26" s="79" t="str">
        <f aca="false">IF(B26="","",ROUND(SUMIFS(AM$5:AM25,B$5:B25,B26,BJ$5:BJ25,BJ26),2))</f>
        <v/>
      </c>
      <c r="AZ26" s="79" t="str">
        <f aca="false">IF(AM26="","",ROUND(AY26+AM26,2))</f>
        <v/>
      </c>
      <c r="BA26" s="79" t="str">
        <f aca="false">IF(B26="","",ROUND(SUMIFS(AM$5:AM25,B$5:B25,"&gt;="&amp;(B26-WEEKDAY(B26,2)+1),B$5:B25,"&lt;="&amp;B26,BJ$5:BJ25,BJ26),2))</f>
        <v/>
      </c>
      <c r="BB26" s="68" t="str">
        <f aca="false">IF(B26="","",IF(AND(AF26&lt;&gt;"",AV26&lt;&gt;"",N(AF26)&gt;N(AV26)*(1+Settings!$C$13)),"Oversized",IF(AX26&gt;Settings!$C$10,"Overtraded",IF(AY26&lt;=-Settings!$C$11*(AW26-AY26),"Daily loss hit",IF(BA26&lt;=-Settings!$C$12*(AW26-BA26),"Weekly loss hit","OK")))))</f>
        <v/>
      </c>
      <c r="BC26" s="69"/>
      <c r="BD26" s="69"/>
      <c r="BE26" s="69"/>
      <c r="BF26" s="73"/>
      <c r="BG26" s="73"/>
      <c r="BH26" s="71"/>
      <c r="BI26" s="71"/>
      <c r="BJ26" s="68" t="str">
        <f aca="false">IF(B26="","",IF(E26="",Settings!$F$5,E26))</f>
        <v/>
      </c>
      <c r="BK26" s="76" t="str">
        <f aca="false">IF(B26="","",IFERROR(INDEX(Settings!$G$5:$G$10,MATCH(BJ26,Settings!$F$5:$F$10,0)),Settings!$G$5))</f>
        <v/>
      </c>
      <c r="BL26" s="82" t="str">
        <f aca="false">IF(I26="","",IFERROR(1/(1/INDEX(Lists!$C$6:$C$17,MATCH(I26,Lists!$B$6:$B$17,0))),""))</f>
        <v/>
      </c>
      <c r="BM26" s="81" t="str">
        <f aca="false">IF(I26="","",IFERROR(1/(1/INDEX(Lists!$D$6:$D$17,MATCH(I26,Lists!$B$6:$B$17,0))),""))</f>
        <v/>
      </c>
      <c r="BN26" s="76" t="str">
        <f aca="false">IF(AN26="","",MAX(BK26,_xlfn.MAXIFS(AN$6:AN26,BJ$6:BJ26,BJ26)))</f>
        <v/>
      </c>
      <c r="BO26" s="83" t="str">
        <f aca="false">IF(AN26="","",(AN26-BN26)/BN26)</f>
        <v/>
      </c>
      <c r="BP26" s="66" t="n">
        <f aca="false">IF(OR(B26="",AL26=""),0,IF(OR(Settings!$C$28="All Accounts",BJ26=Settings!$C$28),1,0))</f>
        <v>0</v>
      </c>
      <c r="BQ26" s="66" t="str">
        <f aca="false">IF(BP26=1,SUM(BP$6:BP26),"")</f>
        <v/>
      </c>
      <c r="BR26" s="76" t="str">
        <f aca="false">IF(BP26=1,ROUND(Settings!$C$29+SUMIFS(AM$6:AM26,BP$6:BP26,1),2),"")</f>
        <v/>
      </c>
      <c r="BS26" s="76" t="str">
        <f aca="false">IF(BP26=1,MAX(Settings!$C$29,MAX(BR$6:BR26)),"")</f>
        <v/>
      </c>
      <c r="BT26" s="83" t="str">
        <f aca="false">IF(BP26=1,(BR26-BS26)/BS26,"")</f>
        <v/>
      </c>
      <c r="BU26" s="66" t="str">
        <f aca="false">IF(BP26=1,IF(AL26="Win",1+IF(BQ26=1,0,INDEX(BU$5:BU25,MATCH(BQ26-1,BQ$5:BQ25,0))),0),"")</f>
        <v/>
      </c>
      <c r="BV26" s="66" t="str">
        <f aca="false">IF(BP26=1,IF(AL26="Loss",1+IF(BQ26=1,0,INDEX(BV$5:BV25,MATCH(BQ26-1,BQ$5:BQ25,0))),0),"")</f>
        <v/>
      </c>
    </row>
    <row r="27" customFormat="false" ht="18" hidden="false" customHeight="true" outlineLevel="0" collapsed="false">
      <c r="A27" s="66" t="str">
        <f aca="false">IF(B27="","",ROW()-5)</f>
        <v/>
      </c>
      <c r="B27" s="67"/>
      <c r="C27" s="68" t="str">
        <f aca="false">IF(B27="","",CHOOSE(WEEKDAY(B27,2),"Mon","Tue","Wed","Thu","Fri","Sat","Sun"))</f>
        <v/>
      </c>
      <c r="D27" s="66" t="str">
        <f aca="false">IF(B27="","",WEEKNUM(B27,2))</f>
        <v/>
      </c>
      <c r="E27" s="69"/>
      <c r="F27" s="69"/>
      <c r="G27" s="70"/>
      <c r="H27" s="70"/>
      <c r="I27" s="69"/>
      <c r="J27" s="69"/>
      <c r="K27" s="69"/>
      <c r="L27" s="71"/>
      <c r="M27" s="69"/>
      <c r="N27" s="69"/>
      <c r="O27" s="69"/>
      <c r="P27" s="71"/>
      <c r="Q27" s="69"/>
      <c r="R27" s="69"/>
      <c r="S27" s="69"/>
      <c r="T27" s="69"/>
      <c r="U27" s="69"/>
      <c r="V27" s="69"/>
      <c r="W27" s="69"/>
      <c r="X27" s="66" t="str">
        <f aca="false">IF(B27="","",COUNTIF(Q27:W27,"Yes"))</f>
        <v/>
      </c>
      <c r="Y27" s="68" t="str">
        <f aca="false">IF(B27="","",IF(X27&gt;=Settings!$C$16,"A+",IF(X27&gt;=Settings!$C$17,"A",IF(X27&gt;=Settings!$C$18,"B","C"))))</f>
        <v/>
      </c>
      <c r="Z27" s="72"/>
      <c r="AA27" s="72"/>
      <c r="AB27" s="72"/>
      <c r="AC27" s="72"/>
      <c r="AD27" s="72"/>
      <c r="AE27" s="72"/>
      <c r="AF27" s="73"/>
      <c r="AG27" s="74"/>
      <c r="AH27" s="75"/>
      <c r="AI27" s="76" t="str">
        <f aca="false">IF(B27="","",ROUND(IF(AG27="",Settings!$C$5,AG27)*AW27,2))</f>
        <v/>
      </c>
      <c r="AJ27" s="77" t="str">
        <f aca="false">IF(OR(B27="",AB27="",AC27="",AD27=""),"",IFERROR(ROUND(ABS(AD27-AB27)/ABS(AB27-AC27),2),""))</f>
        <v/>
      </c>
      <c r="AK27" s="78" t="str">
        <f aca="false">IF(OR(B27="",AB27="",AC27="",AE27=""),"",IFERROR(ROUND(IF(J27="Short",AB27-AE27,AE27-AB27)/ABS(AB27-AC27),2),""))</f>
        <v/>
      </c>
      <c r="AL27" s="68" t="str">
        <f aca="false">IF(AK27="","",IF(ABS(AK27)&lt;=Settings!$C$6,"BE",IF(AK27&gt;0,"Win","Loss")))</f>
        <v/>
      </c>
      <c r="AM27" s="79" t="str">
        <f aca="false">IF(OR(AK27="",AI27=""),"",ROUND(AK27*AI27-N(AH27),2))</f>
        <v/>
      </c>
      <c r="AN27" s="76" t="str">
        <f aca="false">IF(AM27="","",ROUND(BK27+SUMIFS(AM$6:AM27,BJ$6:BJ27,BJ27),2))</f>
        <v/>
      </c>
      <c r="AO27" s="78" t="str">
        <f aca="false">IF(AK27="","",ROUND(SUMIFS(AK$6:AK27,BJ$6:BJ27,BJ27),2))</f>
        <v/>
      </c>
      <c r="AP27" s="80" t="str">
        <f aca="false">IF(OR(AK27="",BL27=""),"",IFERROR(ROUND(IF(J27="Short",AB27-AE27,AE27-AB27)/BL27,1),""))</f>
        <v/>
      </c>
      <c r="AQ27" s="66" t="str">
        <f aca="false">IF(OR(G27="",H27=""),"",ROUND(MOD(H27-G27,1)*1440,0))</f>
        <v/>
      </c>
      <c r="AR27" s="68" t="str">
        <f aca="false">IF(AQ27="","",IF(AQ27&lt;15,"Under 15m",IF(AQ27&lt;60,"15-60m",IF(AQ27&lt;240,"1-4 hours","4+ hours"))))</f>
        <v/>
      </c>
      <c r="AS27" s="66" t="str">
        <f aca="false">IF(G27="","",HOUR(G27))</f>
        <v/>
      </c>
      <c r="AT27" s="80" t="str">
        <f aca="false">IF(OR(Z27="",AB27="",BL27=""),"",IFERROR(ROUND(IF(J27="Short",Z27-AB27,AB27-Z27)/BL27,1),""))</f>
        <v/>
      </c>
      <c r="AU27" s="68" t="str">
        <f aca="false">IF(OR(AA27="",AC27=""),"",IF(AA27=AC27,"No","Yes"))</f>
        <v/>
      </c>
      <c r="AV27" s="81" t="str">
        <f aca="false">IF(OR(B27="",BL27="",BM27="",AB27="",AC27=""),"",IFERROR(ROUND(AI27/(ABS(AB27-AC27)/BL27*BM27),2),""))</f>
        <v/>
      </c>
      <c r="AW27" s="76" t="str">
        <f aca="false">IF(B27="","",ROUND(BK27+SUMIFS(AM$5:AM26,BJ$5:BJ26,BJ27),2))</f>
        <v/>
      </c>
      <c r="AX27" s="66" t="str">
        <f aca="false">IF(B27="","",COUNTIFS(B$6:B27,B27,BJ$6:BJ27,BJ27))</f>
        <v/>
      </c>
      <c r="AY27" s="79" t="str">
        <f aca="false">IF(B27="","",ROUND(SUMIFS(AM$5:AM26,B$5:B26,B27,BJ$5:BJ26,BJ27),2))</f>
        <v/>
      </c>
      <c r="AZ27" s="79" t="str">
        <f aca="false">IF(AM27="","",ROUND(AY27+AM27,2))</f>
        <v/>
      </c>
      <c r="BA27" s="79" t="str">
        <f aca="false">IF(B27="","",ROUND(SUMIFS(AM$5:AM26,B$5:B26,"&gt;="&amp;(B27-WEEKDAY(B27,2)+1),B$5:B26,"&lt;="&amp;B27,BJ$5:BJ26,BJ27),2))</f>
        <v/>
      </c>
      <c r="BB27" s="68" t="str">
        <f aca="false">IF(B27="","",IF(AND(AF27&lt;&gt;"",AV27&lt;&gt;"",N(AF27)&gt;N(AV27)*(1+Settings!$C$13)),"Oversized",IF(AX27&gt;Settings!$C$10,"Overtraded",IF(AY27&lt;=-Settings!$C$11*(AW27-AY27),"Daily loss hit",IF(BA27&lt;=-Settings!$C$12*(AW27-BA27),"Weekly loss hit","OK")))))</f>
        <v/>
      </c>
      <c r="BC27" s="69"/>
      <c r="BD27" s="69"/>
      <c r="BE27" s="69"/>
      <c r="BF27" s="73"/>
      <c r="BG27" s="73"/>
      <c r="BH27" s="71"/>
      <c r="BI27" s="71"/>
      <c r="BJ27" s="68" t="str">
        <f aca="false">IF(B27="","",IF(E27="",Settings!$F$5,E27))</f>
        <v/>
      </c>
      <c r="BK27" s="76" t="str">
        <f aca="false">IF(B27="","",IFERROR(INDEX(Settings!$G$5:$G$10,MATCH(BJ27,Settings!$F$5:$F$10,0)),Settings!$G$5))</f>
        <v/>
      </c>
      <c r="BL27" s="82" t="str">
        <f aca="false">IF(I27="","",IFERROR(1/(1/INDEX(Lists!$C$6:$C$17,MATCH(I27,Lists!$B$6:$B$17,0))),""))</f>
        <v/>
      </c>
      <c r="BM27" s="81" t="str">
        <f aca="false">IF(I27="","",IFERROR(1/(1/INDEX(Lists!$D$6:$D$17,MATCH(I27,Lists!$B$6:$B$17,0))),""))</f>
        <v/>
      </c>
      <c r="BN27" s="76" t="str">
        <f aca="false">IF(AN27="","",MAX(BK27,_xlfn.MAXIFS(AN$6:AN27,BJ$6:BJ27,BJ27)))</f>
        <v/>
      </c>
      <c r="BO27" s="83" t="str">
        <f aca="false">IF(AN27="","",(AN27-BN27)/BN27)</f>
        <v/>
      </c>
      <c r="BP27" s="66" t="n">
        <f aca="false">IF(OR(B27="",AL27=""),0,IF(OR(Settings!$C$28="All Accounts",BJ27=Settings!$C$28),1,0))</f>
        <v>0</v>
      </c>
      <c r="BQ27" s="66" t="str">
        <f aca="false">IF(BP27=1,SUM(BP$6:BP27),"")</f>
        <v/>
      </c>
      <c r="BR27" s="76" t="str">
        <f aca="false">IF(BP27=1,ROUND(Settings!$C$29+SUMIFS(AM$6:AM27,BP$6:BP27,1),2),"")</f>
        <v/>
      </c>
      <c r="BS27" s="76" t="str">
        <f aca="false">IF(BP27=1,MAX(Settings!$C$29,MAX(BR$6:BR27)),"")</f>
        <v/>
      </c>
      <c r="BT27" s="83" t="str">
        <f aca="false">IF(BP27=1,(BR27-BS27)/BS27,"")</f>
        <v/>
      </c>
      <c r="BU27" s="66" t="str">
        <f aca="false">IF(BP27=1,IF(AL27="Win",1+IF(BQ27=1,0,INDEX(BU$5:BU26,MATCH(BQ27-1,BQ$5:BQ26,0))),0),"")</f>
        <v/>
      </c>
      <c r="BV27" s="66" t="str">
        <f aca="false">IF(BP27=1,IF(AL27="Loss",1+IF(BQ27=1,0,INDEX(BV$5:BV26,MATCH(BQ27-1,BQ$5:BQ26,0))),0),"")</f>
        <v/>
      </c>
    </row>
    <row r="28" customFormat="false" ht="18" hidden="false" customHeight="true" outlineLevel="0" collapsed="false">
      <c r="A28" s="66" t="str">
        <f aca="false">IF(B28="","",ROW()-5)</f>
        <v/>
      </c>
      <c r="B28" s="67"/>
      <c r="C28" s="68" t="str">
        <f aca="false">IF(B28="","",CHOOSE(WEEKDAY(B28,2),"Mon","Tue","Wed","Thu","Fri","Sat","Sun"))</f>
        <v/>
      </c>
      <c r="D28" s="66" t="str">
        <f aca="false">IF(B28="","",WEEKNUM(B28,2))</f>
        <v/>
      </c>
      <c r="E28" s="69"/>
      <c r="F28" s="69"/>
      <c r="G28" s="70"/>
      <c r="H28" s="70"/>
      <c r="I28" s="69"/>
      <c r="J28" s="69"/>
      <c r="K28" s="69"/>
      <c r="L28" s="71"/>
      <c r="M28" s="69"/>
      <c r="N28" s="69"/>
      <c r="O28" s="69"/>
      <c r="P28" s="71"/>
      <c r="Q28" s="69"/>
      <c r="R28" s="69"/>
      <c r="S28" s="69"/>
      <c r="T28" s="69"/>
      <c r="U28" s="69"/>
      <c r="V28" s="69"/>
      <c r="W28" s="69"/>
      <c r="X28" s="66" t="str">
        <f aca="false">IF(B28="","",COUNTIF(Q28:W28,"Yes"))</f>
        <v/>
      </c>
      <c r="Y28" s="68" t="str">
        <f aca="false">IF(B28="","",IF(X28&gt;=Settings!$C$16,"A+",IF(X28&gt;=Settings!$C$17,"A",IF(X28&gt;=Settings!$C$18,"B","C"))))</f>
        <v/>
      </c>
      <c r="Z28" s="72"/>
      <c r="AA28" s="72"/>
      <c r="AB28" s="72"/>
      <c r="AC28" s="72"/>
      <c r="AD28" s="72"/>
      <c r="AE28" s="72"/>
      <c r="AF28" s="73"/>
      <c r="AG28" s="74"/>
      <c r="AH28" s="75"/>
      <c r="AI28" s="76" t="str">
        <f aca="false">IF(B28="","",ROUND(IF(AG28="",Settings!$C$5,AG28)*AW28,2))</f>
        <v/>
      </c>
      <c r="AJ28" s="77" t="str">
        <f aca="false">IF(OR(B28="",AB28="",AC28="",AD28=""),"",IFERROR(ROUND(ABS(AD28-AB28)/ABS(AB28-AC28),2),""))</f>
        <v/>
      </c>
      <c r="AK28" s="78" t="str">
        <f aca="false">IF(OR(B28="",AB28="",AC28="",AE28=""),"",IFERROR(ROUND(IF(J28="Short",AB28-AE28,AE28-AB28)/ABS(AB28-AC28),2),""))</f>
        <v/>
      </c>
      <c r="AL28" s="68" t="str">
        <f aca="false">IF(AK28="","",IF(ABS(AK28)&lt;=Settings!$C$6,"BE",IF(AK28&gt;0,"Win","Loss")))</f>
        <v/>
      </c>
      <c r="AM28" s="79" t="str">
        <f aca="false">IF(OR(AK28="",AI28=""),"",ROUND(AK28*AI28-N(AH28),2))</f>
        <v/>
      </c>
      <c r="AN28" s="76" t="str">
        <f aca="false">IF(AM28="","",ROUND(BK28+SUMIFS(AM$6:AM28,BJ$6:BJ28,BJ28),2))</f>
        <v/>
      </c>
      <c r="AO28" s="78" t="str">
        <f aca="false">IF(AK28="","",ROUND(SUMIFS(AK$6:AK28,BJ$6:BJ28,BJ28),2))</f>
        <v/>
      </c>
      <c r="AP28" s="80" t="str">
        <f aca="false">IF(OR(AK28="",BL28=""),"",IFERROR(ROUND(IF(J28="Short",AB28-AE28,AE28-AB28)/BL28,1),""))</f>
        <v/>
      </c>
      <c r="AQ28" s="66" t="str">
        <f aca="false">IF(OR(G28="",H28=""),"",ROUND(MOD(H28-G28,1)*1440,0))</f>
        <v/>
      </c>
      <c r="AR28" s="68" t="str">
        <f aca="false">IF(AQ28="","",IF(AQ28&lt;15,"Under 15m",IF(AQ28&lt;60,"15-60m",IF(AQ28&lt;240,"1-4 hours","4+ hours"))))</f>
        <v/>
      </c>
      <c r="AS28" s="66" t="str">
        <f aca="false">IF(G28="","",HOUR(G28))</f>
        <v/>
      </c>
      <c r="AT28" s="80" t="str">
        <f aca="false">IF(OR(Z28="",AB28="",BL28=""),"",IFERROR(ROUND(IF(J28="Short",Z28-AB28,AB28-Z28)/BL28,1),""))</f>
        <v/>
      </c>
      <c r="AU28" s="68" t="str">
        <f aca="false">IF(OR(AA28="",AC28=""),"",IF(AA28=AC28,"No","Yes"))</f>
        <v/>
      </c>
      <c r="AV28" s="81" t="str">
        <f aca="false">IF(OR(B28="",BL28="",BM28="",AB28="",AC28=""),"",IFERROR(ROUND(AI28/(ABS(AB28-AC28)/BL28*BM28),2),""))</f>
        <v/>
      </c>
      <c r="AW28" s="76" t="str">
        <f aca="false">IF(B28="","",ROUND(BK28+SUMIFS(AM$5:AM27,BJ$5:BJ27,BJ28),2))</f>
        <v/>
      </c>
      <c r="AX28" s="66" t="str">
        <f aca="false">IF(B28="","",COUNTIFS(B$6:B28,B28,BJ$6:BJ28,BJ28))</f>
        <v/>
      </c>
      <c r="AY28" s="79" t="str">
        <f aca="false">IF(B28="","",ROUND(SUMIFS(AM$5:AM27,B$5:B27,B28,BJ$5:BJ27,BJ28),2))</f>
        <v/>
      </c>
      <c r="AZ28" s="79" t="str">
        <f aca="false">IF(AM28="","",ROUND(AY28+AM28,2))</f>
        <v/>
      </c>
      <c r="BA28" s="79" t="str">
        <f aca="false">IF(B28="","",ROUND(SUMIFS(AM$5:AM27,B$5:B27,"&gt;="&amp;(B28-WEEKDAY(B28,2)+1),B$5:B27,"&lt;="&amp;B28,BJ$5:BJ27,BJ28),2))</f>
        <v/>
      </c>
      <c r="BB28" s="68" t="str">
        <f aca="false">IF(B28="","",IF(AND(AF28&lt;&gt;"",AV28&lt;&gt;"",N(AF28)&gt;N(AV28)*(1+Settings!$C$13)),"Oversized",IF(AX28&gt;Settings!$C$10,"Overtraded",IF(AY28&lt;=-Settings!$C$11*(AW28-AY28),"Daily loss hit",IF(BA28&lt;=-Settings!$C$12*(AW28-BA28),"Weekly loss hit","OK")))))</f>
        <v/>
      </c>
      <c r="BC28" s="69"/>
      <c r="BD28" s="69"/>
      <c r="BE28" s="69"/>
      <c r="BF28" s="73"/>
      <c r="BG28" s="73"/>
      <c r="BH28" s="71"/>
      <c r="BI28" s="71"/>
      <c r="BJ28" s="68" t="str">
        <f aca="false">IF(B28="","",IF(E28="",Settings!$F$5,E28))</f>
        <v/>
      </c>
      <c r="BK28" s="76" t="str">
        <f aca="false">IF(B28="","",IFERROR(INDEX(Settings!$G$5:$G$10,MATCH(BJ28,Settings!$F$5:$F$10,0)),Settings!$G$5))</f>
        <v/>
      </c>
      <c r="BL28" s="82" t="str">
        <f aca="false">IF(I28="","",IFERROR(1/(1/INDEX(Lists!$C$6:$C$17,MATCH(I28,Lists!$B$6:$B$17,0))),""))</f>
        <v/>
      </c>
      <c r="BM28" s="81" t="str">
        <f aca="false">IF(I28="","",IFERROR(1/(1/INDEX(Lists!$D$6:$D$17,MATCH(I28,Lists!$B$6:$B$17,0))),""))</f>
        <v/>
      </c>
      <c r="BN28" s="76" t="str">
        <f aca="false">IF(AN28="","",MAX(BK28,_xlfn.MAXIFS(AN$6:AN28,BJ$6:BJ28,BJ28)))</f>
        <v/>
      </c>
      <c r="BO28" s="83" t="str">
        <f aca="false">IF(AN28="","",(AN28-BN28)/BN28)</f>
        <v/>
      </c>
      <c r="BP28" s="66" t="n">
        <f aca="false">IF(OR(B28="",AL28=""),0,IF(OR(Settings!$C$28="All Accounts",BJ28=Settings!$C$28),1,0))</f>
        <v>0</v>
      </c>
      <c r="BQ28" s="66" t="str">
        <f aca="false">IF(BP28=1,SUM(BP$6:BP28),"")</f>
        <v/>
      </c>
      <c r="BR28" s="76" t="str">
        <f aca="false">IF(BP28=1,ROUND(Settings!$C$29+SUMIFS(AM$6:AM28,BP$6:BP28,1),2),"")</f>
        <v/>
      </c>
      <c r="BS28" s="76" t="str">
        <f aca="false">IF(BP28=1,MAX(Settings!$C$29,MAX(BR$6:BR28)),"")</f>
        <v/>
      </c>
      <c r="BT28" s="83" t="str">
        <f aca="false">IF(BP28=1,(BR28-BS28)/BS28,"")</f>
        <v/>
      </c>
      <c r="BU28" s="66" t="str">
        <f aca="false">IF(BP28=1,IF(AL28="Win",1+IF(BQ28=1,0,INDEX(BU$5:BU27,MATCH(BQ28-1,BQ$5:BQ27,0))),0),"")</f>
        <v/>
      </c>
      <c r="BV28" s="66" t="str">
        <f aca="false">IF(BP28=1,IF(AL28="Loss",1+IF(BQ28=1,0,INDEX(BV$5:BV27,MATCH(BQ28-1,BQ$5:BQ27,0))),0),"")</f>
        <v/>
      </c>
    </row>
    <row r="29" customFormat="false" ht="18" hidden="false" customHeight="true" outlineLevel="0" collapsed="false">
      <c r="A29" s="66" t="str">
        <f aca="false">IF(B29="","",ROW()-5)</f>
        <v/>
      </c>
      <c r="B29" s="67"/>
      <c r="C29" s="68" t="str">
        <f aca="false">IF(B29="","",CHOOSE(WEEKDAY(B29,2),"Mon","Tue","Wed","Thu","Fri","Sat","Sun"))</f>
        <v/>
      </c>
      <c r="D29" s="66" t="str">
        <f aca="false">IF(B29="","",WEEKNUM(B29,2))</f>
        <v/>
      </c>
      <c r="E29" s="69"/>
      <c r="F29" s="69"/>
      <c r="G29" s="70"/>
      <c r="H29" s="70"/>
      <c r="I29" s="69"/>
      <c r="J29" s="69"/>
      <c r="K29" s="69"/>
      <c r="L29" s="71"/>
      <c r="M29" s="69"/>
      <c r="N29" s="69"/>
      <c r="O29" s="69"/>
      <c r="P29" s="71"/>
      <c r="Q29" s="69"/>
      <c r="R29" s="69"/>
      <c r="S29" s="69"/>
      <c r="T29" s="69"/>
      <c r="U29" s="69"/>
      <c r="V29" s="69"/>
      <c r="W29" s="69"/>
      <c r="X29" s="66" t="str">
        <f aca="false">IF(B29="","",COUNTIF(Q29:W29,"Yes"))</f>
        <v/>
      </c>
      <c r="Y29" s="68" t="str">
        <f aca="false">IF(B29="","",IF(X29&gt;=Settings!$C$16,"A+",IF(X29&gt;=Settings!$C$17,"A",IF(X29&gt;=Settings!$C$18,"B","C"))))</f>
        <v/>
      </c>
      <c r="Z29" s="72"/>
      <c r="AA29" s="72"/>
      <c r="AB29" s="72"/>
      <c r="AC29" s="72"/>
      <c r="AD29" s="72"/>
      <c r="AE29" s="72"/>
      <c r="AF29" s="73"/>
      <c r="AG29" s="74"/>
      <c r="AH29" s="75"/>
      <c r="AI29" s="76" t="str">
        <f aca="false">IF(B29="","",ROUND(IF(AG29="",Settings!$C$5,AG29)*AW29,2))</f>
        <v/>
      </c>
      <c r="AJ29" s="77" t="str">
        <f aca="false">IF(OR(B29="",AB29="",AC29="",AD29=""),"",IFERROR(ROUND(ABS(AD29-AB29)/ABS(AB29-AC29),2),""))</f>
        <v/>
      </c>
      <c r="AK29" s="78" t="str">
        <f aca="false">IF(OR(B29="",AB29="",AC29="",AE29=""),"",IFERROR(ROUND(IF(J29="Short",AB29-AE29,AE29-AB29)/ABS(AB29-AC29),2),""))</f>
        <v/>
      </c>
      <c r="AL29" s="68" t="str">
        <f aca="false">IF(AK29="","",IF(ABS(AK29)&lt;=Settings!$C$6,"BE",IF(AK29&gt;0,"Win","Loss")))</f>
        <v/>
      </c>
      <c r="AM29" s="79" t="str">
        <f aca="false">IF(OR(AK29="",AI29=""),"",ROUND(AK29*AI29-N(AH29),2))</f>
        <v/>
      </c>
      <c r="AN29" s="76" t="str">
        <f aca="false">IF(AM29="","",ROUND(BK29+SUMIFS(AM$6:AM29,BJ$6:BJ29,BJ29),2))</f>
        <v/>
      </c>
      <c r="AO29" s="78" t="str">
        <f aca="false">IF(AK29="","",ROUND(SUMIFS(AK$6:AK29,BJ$6:BJ29,BJ29),2))</f>
        <v/>
      </c>
      <c r="AP29" s="80" t="str">
        <f aca="false">IF(OR(AK29="",BL29=""),"",IFERROR(ROUND(IF(J29="Short",AB29-AE29,AE29-AB29)/BL29,1),""))</f>
        <v/>
      </c>
      <c r="AQ29" s="66" t="str">
        <f aca="false">IF(OR(G29="",H29=""),"",ROUND(MOD(H29-G29,1)*1440,0))</f>
        <v/>
      </c>
      <c r="AR29" s="68" t="str">
        <f aca="false">IF(AQ29="","",IF(AQ29&lt;15,"Under 15m",IF(AQ29&lt;60,"15-60m",IF(AQ29&lt;240,"1-4 hours","4+ hours"))))</f>
        <v/>
      </c>
      <c r="AS29" s="66" t="str">
        <f aca="false">IF(G29="","",HOUR(G29))</f>
        <v/>
      </c>
      <c r="AT29" s="80" t="str">
        <f aca="false">IF(OR(Z29="",AB29="",BL29=""),"",IFERROR(ROUND(IF(J29="Short",Z29-AB29,AB29-Z29)/BL29,1),""))</f>
        <v/>
      </c>
      <c r="AU29" s="68" t="str">
        <f aca="false">IF(OR(AA29="",AC29=""),"",IF(AA29=AC29,"No","Yes"))</f>
        <v/>
      </c>
      <c r="AV29" s="81" t="str">
        <f aca="false">IF(OR(B29="",BL29="",BM29="",AB29="",AC29=""),"",IFERROR(ROUND(AI29/(ABS(AB29-AC29)/BL29*BM29),2),""))</f>
        <v/>
      </c>
      <c r="AW29" s="76" t="str">
        <f aca="false">IF(B29="","",ROUND(BK29+SUMIFS(AM$5:AM28,BJ$5:BJ28,BJ29),2))</f>
        <v/>
      </c>
      <c r="AX29" s="66" t="str">
        <f aca="false">IF(B29="","",COUNTIFS(B$6:B29,B29,BJ$6:BJ29,BJ29))</f>
        <v/>
      </c>
      <c r="AY29" s="79" t="str">
        <f aca="false">IF(B29="","",ROUND(SUMIFS(AM$5:AM28,B$5:B28,B29,BJ$5:BJ28,BJ29),2))</f>
        <v/>
      </c>
      <c r="AZ29" s="79" t="str">
        <f aca="false">IF(AM29="","",ROUND(AY29+AM29,2))</f>
        <v/>
      </c>
      <c r="BA29" s="79" t="str">
        <f aca="false">IF(B29="","",ROUND(SUMIFS(AM$5:AM28,B$5:B28,"&gt;="&amp;(B29-WEEKDAY(B29,2)+1),B$5:B28,"&lt;="&amp;B29,BJ$5:BJ28,BJ29),2))</f>
        <v/>
      </c>
      <c r="BB29" s="68" t="str">
        <f aca="false">IF(B29="","",IF(AND(AF29&lt;&gt;"",AV29&lt;&gt;"",N(AF29)&gt;N(AV29)*(1+Settings!$C$13)),"Oversized",IF(AX29&gt;Settings!$C$10,"Overtraded",IF(AY29&lt;=-Settings!$C$11*(AW29-AY29),"Daily loss hit",IF(BA29&lt;=-Settings!$C$12*(AW29-BA29),"Weekly loss hit","OK")))))</f>
        <v/>
      </c>
      <c r="BC29" s="69"/>
      <c r="BD29" s="69"/>
      <c r="BE29" s="69"/>
      <c r="BF29" s="73"/>
      <c r="BG29" s="73"/>
      <c r="BH29" s="71"/>
      <c r="BI29" s="71"/>
      <c r="BJ29" s="68" t="str">
        <f aca="false">IF(B29="","",IF(E29="",Settings!$F$5,E29))</f>
        <v/>
      </c>
      <c r="BK29" s="76" t="str">
        <f aca="false">IF(B29="","",IFERROR(INDEX(Settings!$G$5:$G$10,MATCH(BJ29,Settings!$F$5:$F$10,0)),Settings!$G$5))</f>
        <v/>
      </c>
      <c r="BL29" s="82" t="str">
        <f aca="false">IF(I29="","",IFERROR(1/(1/INDEX(Lists!$C$6:$C$17,MATCH(I29,Lists!$B$6:$B$17,0))),""))</f>
        <v/>
      </c>
      <c r="BM29" s="81" t="str">
        <f aca="false">IF(I29="","",IFERROR(1/(1/INDEX(Lists!$D$6:$D$17,MATCH(I29,Lists!$B$6:$B$17,0))),""))</f>
        <v/>
      </c>
      <c r="BN29" s="76" t="str">
        <f aca="false">IF(AN29="","",MAX(BK29,_xlfn.MAXIFS(AN$6:AN29,BJ$6:BJ29,BJ29)))</f>
        <v/>
      </c>
      <c r="BO29" s="83" t="str">
        <f aca="false">IF(AN29="","",(AN29-BN29)/BN29)</f>
        <v/>
      </c>
      <c r="BP29" s="66" t="n">
        <f aca="false">IF(OR(B29="",AL29=""),0,IF(OR(Settings!$C$28="All Accounts",BJ29=Settings!$C$28),1,0))</f>
        <v>0</v>
      </c>
      <c r="BQ29" s="66" t="str">
        <f aca="false">IF(BP29=1,SUM(BP$6:BP29),"")</f>
        <v/>
      </c>
      <c r="BR29" s="76" t="str">
        <f aca="false">IF(BP29=1,ROUND(Settings!$C$29+SUMIFS(AM$6:AM29,BP$6:BP29,1),2),"")</f>
        <v/>
      </c>
      <c r="BS29" s="76" t="str">
        <f aca="false">IF(BP29=1,MAX(Settings!$C$29,MAX(BR$6:BR29)),"")</f>
        <v/>
      </c>
      <c r="BT29" s="83" t="str">
        <f aca="false">IF(BP29=1,(BR29-BS29)/BS29,"")</f>
        <v/>
      </c>
      <c r="BU29" s="66" t="str">
        <f aca="false">IF(BP29=1,IF(AL29="Win",1+IF(BQ29=1,0,INDEX(BU$5:BU28,MATCH(BQ29-1,BQ$5:BQ28,0))),0),"")</f>
        <v/>
      </c>
      <c r="BV29" s="66" t="str">
        <f aca="false">IF(BP29=1,IF(AL29="Loss",1+IF(BQ29=1,0,INDEX(BV$5:BV28,MATCH(BQ29-1,BQ$5:BQ28,0))),0),"")</f>
        <v/>
      </c>
    </row>
    <row r="30" customFormat="false" ht="18" hidden="false" customHeight="true" outlineLevel="0" collapsed="false">
      <c r="A30" s="66" t="str">
        <f aca="false">IF(B30="","",ROW()-5)</f>
        <v/>
      </c>
      <c r="B30" s="67"/>
      <c r="C30" s="68" t="str">
        <f aca="false">IF(B30="","",CHOOSE(WEEKDAY(B30,2),"Mon","Tue","Wed","Thu","Fri","Sat","Sun"))</f>
        <v/>
      </c>
      <c r="D30" s="66" t="str">
        <f aca="false">IF(B30="","",WEEKNUM(B30,2))</f>
        <v/>
      </c>
      <c r="E30" s="69"/>
      <c r="F30" s="69"/>
      <c r="G30" s="70"/>
      <c r="H30" s="70"/>
      <c r="I30" s="69"/>
      <c r="J30" s="69"/>
      <c r="K30" s="69"/>
      <c r="L30" s="71"/>
      <c r="M30" s="69"/>
      <c r="N30" s="69"/>
      <c r="O30" s="69"/>
      <c r="P30" s="71"/>
      <c r="Q30" s="69"/>
      <c r="R30" s="69"/>
      <c r="S30" s="69"/>
      <c r="T30" s="69"/>
      <c r="U30" s="69"/>
      <c r="V30" s="69"/>
      <c r="W30" s="69"/>
      <c r="X30" s="66" t="str">
        <f aca="false">IF(B30="","",COUNTIF(Q30:W30,"Yes"))</f>
        <v/>
      </c>
      <c r="Y30" s="68" t="str">
        <f aca="false">IF(B30="","",IF(X30&gt;=Settings!$C$16,"A+",IF(X30&gt;=Settings!$C$17,"A",IF(X30&gt;=Settings!$C$18,"B","C"))))</f>
        <v/>
      </c>
      <c r="Z30" s="72"/>
      <c r="AA30" s="72"/>
      <c r="AB30" s="72"/>
      <c r="AC30" s="72"/>
      <c r="AD30" s="72"/>
      <c r="AE30" s="72"/>
      <c r="AF30" s="73"/>
      <c r="AG30" s="74"/>
      <c r="AH30" s="75"/>
      <c r="AI30" s="76" t="str">
        <f aca="false">IF(B30="","",ROUND(IF(AG30="",Settings!$C$5,AG30)*AW30,2))</f>
        <v/>
      </c>
      <c r="AJ30" s="77" t="str">
        <f aca="false">IF(OR(B30="",AB30="",AC30="",AD30=""),"",IFERROR(ROUND(ABS(AD30-AB30)/ABS(AB30-AC30),2),""))</f>
        <v/>
      </c>
      <c r="AK30" s="78" t="str">
        <f aca="false">IF(OR(B30="",AB30="",AC30="",AE30=""),"",IFERROR(ROUND(IF(J30="Short",AB30-AE30,AE30-AB30)/ABS(AB30-AC30),2),""))</f>
        <v/>
      </c>
      <c r="AL30" s="68" t="str">
        <f aca="false">IF(AK30="","",IF(ABS(AK30)&lt;=Settings!$C$6,"BE",IF(AK30&gt;0,"Win","Loss")))</f>
        <v/>
      </c>
      <c r="AM30" s="79" t="str">
        <f aca="false">IF(OR(AK30="",AI30=""),"",ROUND(AK30*AI30-N(AH30),2))</f>
        <v/>
      </c>
      <c r="AN30" s="76" t="str">
        <f aca="false">IF(AM30="","",ROUND(BK30+SUMIFS(AM$6:AM30,BJ$6:BJ30,BJ30),2))</f>
        <v/>
      </c>
      <c r="AO30" s="78" t="str">
        <f aca="false">IF(AK30="","",ROUND(SUMIFS(AK$6:AK30,BJ$6:BJ30,BJ30),2))</f>
        <v/>
      </c>
      <c r="AP30" s="80" t="str">
        <f aca="false">IF(OR(AK30="",BL30=""),"",IFERROR(ROUND(IF(J30="Short",AB30-AE30,AE30-AB30)/BL30,1),""))</f>
        <v/>
      </c>
      <c r="AQ30" s="66" t="str">
        <f aca="false">IF(OR(G30="",H30=""),"",ROUND(MOD(H30-G30,1)*1440,0))</f>
        <v/>
      </c>
      <c r="AR30" s="68" t="str">
        <f aca="false">IF(AQ30="","",IF(AQ30&lt;15,"Under 15m",IF(AQ30&lt;60,"15-60m",IF(AQ30&lt;240,"1-4 hours","4+ hours"))))</f>
        <v/>
      </c>
      <c r="AS30" s="66" t="str">
        <f aca="false">IF(G30="","",HOUR(G30))</f>
        <v/>
      </c>
      <c r="AT30" s="80" t="str">
        <f aca="false">IF(OR(Z30="",AB30="",BL30=""),"",IFERROR(ROUND(IF(J30="Short",Z30-AB30,AB30-Z30)/BL30,1),""))</f>
        <v/>
      </c>
      <c r="AU30" s="68" t="str">
        <f aca="false">IF(OR(AA30="",AC30=""),"",IF(AA30=AC30,"No","Yes"))</f>
        <v/>
      </c>
      <c r="AV30" s="81" t="str">
        <f aca="false">IF(OR(B30="",BL30="",BM30="",AB30="",AC30=""),"",IFERROR(ROUND(AI30/(ABS(AB30-AC30)/BL30*BM30),2),""))</f>
        <v/>
      </c>
      <c r="AW30" s="76" t="str">
        <f aca="false">IF(B30="","",ROUND(BK30+SUMIFS(AM$5:AM29,BJ$5:BJ29,BJ30),2))</f>
        <v/>
      </c>
      <c r="AX30" s="66" t="str">
        <f aca="false">IF(B30="","",COUNTIFS(B$6:B30,B30,BJ$6:BJ30,BJ30))</f>
        <v/>
      </c>
      <c r="AY30" s="79" t="str">
        <f aca="false">IF(B30="","",ROUND(SUMIFS(AM$5:AM29,B$5:B29,B30,BJ$5:BJ29,BJ30),2))</f>
        <v/>
      </c>
      <c r="AZ30" s="79" t="str">
        <f aca="false">IF(AM30="","",ROUND(AY30+AM30,2))</f>
        <v/>
      </c>
      <c r="BA30" s="79" t="str">
        <f aca="false">IF(B30="","",ROUND(SUMIFS(AM$5:AM29,B$5:B29,"&gt;="&amp;(B30-WEEKDAY(B30,2)+1),B$5:B29,"&lt;="&amp;B30,BJ$5:BJ29,BJ30),2))</f>
        <v/>
      </c>
      <c r="BB30" s="68" t="str">
        <f aca="false">IF(B30="","",IF(AND(AF30&lt;&gt;"",AV30&lt;&gt;"",N(AF30)&gt;N(AV30)*(1+Settings!$C$13)),"Oversized",IF(AX30&gt;Settings!$C$10,"Overtraded",IF(AY30&lt;=-Settings!$C$11*(AW30-AY30),"Daily loss hit",IF(BA30&lt;=-Settings!$C$12*(AW30-BA30),"Weekly loss hit","OK")))))</f>
        <v/>
      </c>
      <c r="BC30" s="69"/>
      <c r="BD30" s="69"/>
      <c r="BE30" s="69"/>
      <c r="BF30" s="73"/>
      <c r="BG30" s="73"/>
      <c r="BH30" s="71"/>
      <c r="BI30" s="71"/>
      <c r="BJ30" s="68" t="str">
        <f aca="false">IF(B30="","",IF(E30="",Settings!$F$5,E30))</f>
        <v/>
      </c>
      <c r="BK30" s="76" t="str">
        <f aca="false">IF(B30="","",IFERROR(INDEX(Settings!$G$5:$G$10,MATCH(BJ30,Settings!$F$5:$F$10,0)),Settings!$G$5))</f>
        <v/>
      </c>
      <c r="BL30" s="82" t="str">
        <f aca="false">IF(I30="","",IFERROR(1/(1/INDEX(Lists!$C$6:$C$17,MATCH(I30,Lists!$B$6:$B$17,0))),""))</f>
        <v/>
      </c>
      <c r="BM30" s="81" t="str">
        <f aca="false">IF(I30="","",IFERROR(1/(1/INDEX(Lists!$D$6:$D$17,MATCH(I30,Lists!$B$6:$B$17,0))),""))</f>
        <v/>
      </c>
      <c r="BN30" s="76" t="str">
        <f aca="false">IF(AN30="","",MAX(BK30,_xlfn.MAXIFS(AN$6:AN30,BJ$6:BJ30,BJ30)))</f>
        <v/>
      </c>
      <c r="BO30" s="83" t="str">
        <f aca="false">IF(AN30="","",(AN30-BN30)/BN30)</f>
        <v/>
      </c>
      <c r="BP30" s="66" t="n">
        <f aca="false">IF(OR(B30="",AL30=""),0,IF(OR(Settings!$C$28="All Accounts",BJ30=Settings!$C$28),1,0))</f>
        <v>0</v>
      </c>
      <c r="BQ30" s="66" t="str">
        <f aca="false">IF(BP30=1,SUM(BP$6:BP30),"")</f>
        <v/>
      </c>
      <c r="BR30" s="76" t="str">
        <f aca="false">IF(BP30=1,ROUND(Settings!$C$29+SUMIFS(AM$6:AM30,BP$6:BP30,1),2),"")</f>
        <v/>
      </c>
      <c r="BS30" s="76" t="str">
        <f aca="false">IF(BP30=1,MAX(Settings!$C$29,MAX(BR$6:BR30)),"")</f>
        <v/>
      </c>
      <c r="BT30" s="83" t="str">
        <f aca="false">IF(BP30=1,(BR30-BS30)/BS30,"")</f>
        <v/>
      </c>
      <c r="BU30" s="66" t="str">
        <f aca="false">IF(BP30=1,IF(AL30="Win",1+IF(BQ30=1,0,INDEX(BU$5:BU29,MATCH(BQ30-1,BQ$5:BQ29,0))),0),"")</f>
        <v/>
      </c>
      <c r="BV30" s="66" t="str">
        <f aca="false">IF(BP30=1,IF(AL30="Loss",1+IF(BQ30=1,0,INDEX(BV$5:BV29,MATCH(BQ30-1,BQ$5:BQ29,0))),0),"")</f>
        <v/>
      </c>
    </row>
    <row r="31" customFormat="false" ht="18" hidden="false" customHeight="true" outlineLevel="0" collapsed="false">
      <c r="A31" s="66" t="str">
        <f aca="false">IF(B31="","",ROW()-5)</f>
        <v/>
      </c>
      <c r="B31" s="67"/>
      <c r="C31" s="68" t="str">
        <f aca="false">IF(B31="","",CHOOSE(WEEKDAY(B31,2),"Mon","Tue","Wed","Thu","Fri","Sat","Sun"))</f>
        <v/>
      </c>
      <c r="D31" s="66" t="str">
        <f aca="false">IF(B31="","",WEEKNUM(B31,2))</f>
        <v/>
      </c>
      <c r="E31" s="69"/>
      <c r="F31" s="69"/>
      <c r="G31" s="70"/>
      <c r="H31" s="70"/>
      <c r="I31" s="69"/>
      <c r="J31" s="69"/>
      <c r="K31" s="69"/>
      <c r="L31" s="71"/>
      <c r="M31" s="69"/>
      <c r="N31" s="69"/>
      <c r="O31" s="69"/>
      <c r="P31" s="71"/>
      <c r="Q31" s="69"/>
      <c r="R31" s="69"/>
      <c r="S31" s="69"/>
      <c r="T31" s="69"/>
      <c r="U31" s="69"/>
      <c r="V31" s="69"/>
      <c r="W31" s="69"/>
      <c r="X31" s="66" t="str">
        <f aca="false">IF(B31="","",COUNTIF(Q31:W31,"Yes"))</f>
        <v/>
      </c>
      <c r="Y31" s="68" t="str">
        <f aca="false">IF(B31="","",IF(X31&gt;=Settings!$C$16,"A+",IF(X31&gt;=Settings!$C$17,"A",IF(X31&gt;=Settings!$C$18,"B","C"))))</f>
        <v/>
      </c>
      <c r="Z31" s="72"/>
      <c r="AA31" s="72"/>
      <c r="AB31" s="72"/>
      <c r="AC31" s="72"/>
      <c r="AD31" s="72"/>
      <c r="AE31" s="72"/>
      <c r="AF31" s="73"/>
      <c r="AG31" s="74"/>
      <c r="AH31" s="75"/>
      <c r="AI31" s="76" t="str">
        <f aca="false">IF(B31="","",ROUND(IF(AG31="",Settings!$C$5,AG31)*AW31,2))</f>
        <v/>
      </c>
      <c r="AJ31" s="77" t="str">
        <f aca="false">IF(OR(B31="",AB31="",AC31="",AD31=""),"",IFERROR(ROUND(ABS(AD31-AB31)/ABS(AB31-AC31),2),""))</f>
        <v/>
      </c>
      <c r="AK31" s="78" t="str">
        <f aca="false">IF(OR(B31="",AB31="",AC31="",AE31=""),"",IFERROR(ROUND(IF(J31="Short",AB31-AE31,AE31-AB31)/ABS(AB31-AC31),2),""))</f>
        <v/>
      </c>
      <c r="AL31" s="68" t="str">
        <f aca="false">IF(AK31="","",IF(ABS(AK31)&lt;=Settings!$C$6,"BE",IF(AK31&gt;0,"Win","Loss")))</f>
        <v/>
      </c>
      <c r="AM31" s="79" t="str">
        <f aca="false">IF(OR(AK31="",AI31=""),"",ROUND(AK31*AI31-N(AH31),2))</f>
        <v/>
      </c>
      <c r="AN31" s="76" t="str">
        <f aca="false">IF(AM31="","",ROUND(BK31+SUMIFS(AM$6:AM31,BJ$6:BJ31,BJ31),2))</f>
        <v/>
      </c>
      <c r="AO31" s="78" t="str">
        <f aca="false">IF(AK31="","",ROUND(SUMIFS(AK$6:AK31,BJ$6:BJ31,BJ31),2))</f>
        <v/>
      </c>
      <c r="AP31" s="80" t="str">
        <f aca="false">IF(OR(AK31="",BL31=""),"",IFERROR(ROUND(IF(J31="Short",AB31-AE31,AE31-AB31)/BL31,1),""))</f>
        <v/>
      </c>
      <c r="AQ31" s="66" t="str">
        <f aca="false">IF(OR(G31="",H31=""),"",ROUND(MOD(H31-G31,1)*1440,0))</f>
        <v/>
      </c>
      <c r="AR31" s="68" t="str">
        <f aca="false">IF(AQ31="","",IF(AQ31&lt;15,"Under 15m",IF(AQ31&lt;60,"15-60m",IF(AQ31&lt;240,"1-4 hours","4+ hours"))))</f>
        <v/>
      </c>
      <c r="AS31" s="66" t="str">
        <f aca="false">IF(G31="","",HOUR(G31))</f>
        <v/>
      </c>
      <c r="AT31" s="80" t="str">
        <f aca="false">IF(OR(Z31="",AB31="",BL31=""),"",IFERROR(ROUND(IF(J31="Short",Z31-AB31,AB31-Z31)/BL31,1),""))</f>
        <v/>
      </c>
      <c r="AU31" s="68" t="str">
        <f aca="false">IF(OR(AA31="",AC31=""),"",IF(AA31=AC31,"No","Yes"))</f>
        <v/>
      </c>
      <c r="AV31" s="81" t="str">
        <f aca="false">IF(OR(B31="",BL31="",BM31="",AB31="",AC31=""),"",IFERROR(ROUND(AI31/(ABS(AB31-AC31)/BL31*BM31),2),""))</f>
        <v/>
      </c>
      <c r="AW31" s="76" t="str">
        <f aca="false">IF(B31="","",ROUND(BK31+SUMIFS(AM$5:AM30,BJ$5:BJ30,BJ31),2))</f>
        <v/>
      </c>
      <c r="AX31" s="66" t="str">
        <f aca="false">IF(B31="","",COUNTIFS(B$6:B31,B31,BJ$6:BJ31,BJ31))</f>
        <v/>
      </c>
      <c r="AY31" s="79" t="str">
        <f aca="false">IF(B31="","",ROUND(SUMIFS(AM$5:AM30,B$5:B30,B31,BJ$5:BJ30,BJ31),2))</f>
        <v/>
      </c>
      <c r="AZ31" s="79" t="str">
        <f aca="false">IF(AM31="","",ROUND(AY31+AM31,2))</f>
        <v/>
      </c>
      <c r="BA31" s="79" t="str">
        <f aca="false">IF(B31="","",ROUND(SUMIFS(AM$5:AM30,B$5:B30,"&gt;="&amp;(B31-WEEKDAY(B31,2)+1),B$5:B30,"&lt;="&amp;B31,BJ$5:BJ30,BJ31),2))</f>
        <v/>
      </c>
      <c r="BB31" s="68" t="str">
        <f aca="false">IF(B31="","",IF(AND(AF31&lt;&gt;"",AV31&lt;&gt;"",N(AF31)&gt;N(AV31)*(1+Settings!$C$13)),"Oversized",IF(AX31&gt;Settings!$C$10,"Overtraded",IF(AY31&lt;=-Settings!$C$11*(AW31-AY31),"Daily loss hit",IF(BA31&lt;=-Settings!$C$12*(AW31-BA31),"Weekly loss hit","OK")))))</f>
        <v/>
      </c>
      <c r="BC31" s="69"/>
      <c r="BD31" s="69"/>
      <c r="BE31" s="69"/>
      <c r="BF31" s="73"/>
      <c r="BG31" s="73"/>
      <c r="BH31" s="71"/>
      <c r="BI31" s="71"/>
      <c r="BJ31" s="68" t="str">
        <f aca="false">IF(B31="","",IF(E31="",Settings!$F$5,E31))</f>
        <v/>
      </c>
      <c r="BK31" s="76" t="str">
        <f aca="false">IF(B31="","",IFERROR(INDEX(Settings!$G$5:$G$10,MATCH(BJ31,Settings!$F$5:$F$10,0)),Settings!$G$5))</f>
        <v/>
      </c>
      <c r="BL31" s="82" t="str">
        <f aca="false">IF(I31="","",IFERROR(1/(1/INDEX(Lists!$C$6:$C$17,MATCH(I31,Lists!$B$6:$B$17,0))),""))</f>
        <v/>
      </c>
      <c r="BM31" s="81" t="str">
        <f aca="false">IF(I31="","",IFERROR(1/(1/INDEX(Lists!$D$6:$D$17,MATCH(I31,Lists!$B$6:$B$17,0))),""))</f>
        <v/>
      </c>
      <c r="BN31" s="76" t="str">
        <f aca="false">IF(AN31="","",MAX(BK31,_xlfn.MAXIFS(AN$6:AN31,BJ$6:BJ31,BJ31)))</f>
        <v/>
      </c>
      <c r="BO31" s="83" t="str">
        <f aca="false">IF(AN31="","",(AN31-BN31)/BN31)</f>
        <v/>
      </c>
      <c r="BP31" s="66" t="n">
        <f aca="false">IF(OR(B31="",AL31=""),0,IF(OR(Settings!$C$28="All Accounts",BJ31=Settings!$C$28),1,0))</f>
        <v>0</v>
      </c>
      <c r="BQ31" s="66" t="str">
        <f aca="false">IF(BP31=1,SUM(BP$6:BP31),"")</f>
        <v/>
      </c>
      <c r="BR31" s="76" t="str">
        <f aca="false">IF(BP31=1,ROUND(Settings!$C$29+SUMIFS(AM$6:AM31,BP$6:BP31,1),2),"")</f>
        <v/>
      </c>
      <c r="BS31" s="76" t="str">
        <f aca="false">IF(BP31=1,MAX(Settings!$C$29,MAX(BR$6:BR31)),"")</f>
        <v/>
      </c>
      <c r="BT31" s="83" t="str">
        <f aca="false">IF(BP31=1,(BR31-BS31)/BS31,"")</f>
        <v/>
      </c>
      <c r="BU31" s="66" t="str">
        <f aca="false">IF(BP31=1,IF(AL31="Win",1+IF(BQ31=1,0,INDEX(BU$5:BU30,MATCH(BQ31-1,BQ$5:BQ30,0))),0),"")</f>
        <v/>
      </c>
      <c r="BV31" s="66" t="str">
        <f aca="false">IF(BP31=1,IF(AL31="Loss",1+IF(BQ31=1,0,INDEX(BV$5:BV30,MATCH(BQ31-1,BQ$5:BQ30,0))),0),"")</f>
        <v/>
      </c>
    </row>
    <row r="32" customFormat="false" ht="18" hidden="false" customHeight="true" outlineLevel="0" collapsed="false">
      <c r="A32" s="66" t="str">
        <f aca="false">IF(B32="","",ROW()-5)</f>
        <v/>
      </c>
      <c r="B32" s="67"/>
      <c r="C32" s="68" t="str">
        <f aca="false">IF(B32="","",CHOOSE(WEEKDAY(B32,2),"Mon","Tue","Wed","Thu","Fri","Sat","Sun"))</f>
        <v/>
      </c>
      <c r="D32" s="66" t="str">
        <f aca="false">IF(B32="","",WEEKNUM(B32,2))</f>
        <v/>
      </c>
      <c r="E32" s="69"/>
      <c r="F32" s="69"/>
      <c r="G32" s="70"/>
      <c r="H32" s="70"/>
      <c r="I32" s="69"/>
      <c r="J32" s="69"/>
      <c r="K32" s="69"/>
      <c r="L32" s="71"/>
      <c r="M32" s="69"/>
      <c r="N32" s="69"/>
      <c r="O32" s="69"/>
      <c r="P32" s="71"/>
      <c r="Q32" s="69"/>
      <c r="R32" s="69"/>
      <c r="S32" s="69"/>
      <c r="T32" s="69"/>
      <c r="U32" s="69"/>
      <c r="V32" s="69"/>
      <c r="W32" s="69"/>
      <c r="X32" s="66" t="str">
        <f aca="false">IF(B32="","",COUNTIF(Q32:W32,"Yes"))</f>
        <v/>
      </c>
      <c r="Y32" s="68" t="str">
        <f aca="false">IF(B32="","",IF(X32&gt;=Settings!$C$16,"A+",IF(X32&gt;=Settings!$C$17,"A",IF(X32&gt;=Settings!$C$18,"B","C"))))</f>
        <v/>
      </c>
      <c r="Z32" s="72"/>
      <c r="AA32" s="72"/>
      <c r="AB32" s="72"/>
      <c r="AC32" s="72"/>
      <c r="AD32" s="72"/>
      <c r="AE32" s="72"/>
      <c r="AF32" s="73"/>
      <c r="AG32" s="74"/>
      <c r="AH32" s="75"/>
      <c r="AI32" s="76" t="str">
        <f aca="false">IF(B32="","",ROUND(IF(AG32="",Settings!$C$5,AG32)*AW32,2))</f>
        <v/>
      </c>
      <c r="AJ32" s="77" t="str">
        <f aca="false">IF(OR(B32="",AB32="",AC32="",AD32=""),"",IFERROR(ROUND(ABS(AD32-AB32)/ABS(AB32-AC32),2),""))</f>
        <v/>
      </c>
      <c r="AK32" s="78" t="str">
        <f aca="false">IF(OR(B32="",AB32="",AC32="",AE32=""),"",IFERROR(ROUND(IF(J32="Short",AB32-AE32,AE32-AB32)/ABS(AB32-AC32),2),""))</f>
        <v/>
      </c>
      <c r="AL32" s="68" t="str">
        <f aca="false">IF(AK32="","",IF(ABS(AK32)&lt;=Settings!$C$6,"BE",IF(AK32&gt;0,"Win","Loss")))</f>
        <v/>
      </c>
      <c r="AM32" s="79" t="str">
        <f aca="false">IF(OR(AK32="",AI32=""),"",ROUND(AK32*AI32-N(AH32),2))</f>
        <v/>
      </c>
      <c r="AN32" s="76" t="str">
        <f aca="false">IF(AM32="","",ROUND(BK32+SUMIFS(AM$6:AM32,BJ$6:BJ32,BJ32),2))</f>
        <v/>
      </c>
      <c r="AO32" s="78" t="str">
        <f aca="false">IF(AK32="","",ROUND(SUMIFS(AK$6:AK32,BJ$6:BJ32,BJ32),2))</f>
        <v/>
      </c>
      <c r="AP32" s="80" t="str">
        <f aca="false">IF(OR(AK32="",BL32=""),"",IFERROR(ROUND(IF(J32="Short",AB32-AE32,AE32-AB32)/BL32,1),""))</f>
        <v/>
      </c>
      <c r="AQ32" s="66" t="str">
        <f aca="false">IF(OR(G32="",H32=""),"",ROUND(MOD(H32-G32,1)*1440,0))</f>
        <v/>
      </c>
      <c r="AR32" s="68" t="str">
        <f aca="false">IF(AQ32="","",IF(AQ32&lt;15,"Under 15m",IF(AQ32&lt;60,"15-60m",IF(AQ32&lt;240,"1-4 hours","4+ hours"))))</f>
        <v/>
      </c>
      <c r="AS32" s="66" t="str">
        <f aca="false">IF(G32="","",HOUR(G32))</f>
        <v/>
      </c>
      <c r="AT32" s="80" t="str">
        <f aca="false">IF(OR(Z32="",AB32="",BL32=""),"",IFERROR(ROUND(IF(J32="Short",Z32-AB32,AB32-Z32)/BL32,1),""))</f>
        <v/>
      </c>
      <c r="AU32" s="68" t="str">
        <f aca="false">IF(OR(AA32="",AC32=""),"",IF(AA32=AC32,"No","Yes"))</f>
        <v/>
      </c>
      <c r="AV32" s="81" t="str">
        <f aca="false">IF(OR(B32="",BL32="",BM32="",AB32="",AC32=""),"",IFERROR(ROUND(AI32/(ABS(AB32-AC32)/BL32*BM32),2),""))</f>
        <v/>
      </c>
      <c r="AW32" s="76" t="str">
        <f aca="false">IF(B32="","",ROUND(BK32+SUMIFS(AM$5:AM31,BJ$5:BJ31,BJ32),2))</f>
        <v/>
      </c>
      <c r="AX32" s="66" t="str">
        <f aca="false">IF(B32="","",COUNTIFS(B$6:B32,B32,BJ$6:BJ32,BJ32))</f>
        <v/>
      </c>
      <c r="AY32" s="79" t="str">
        <f aca="false">IF(B32="","",ROUND(SUMIFS(AM$5:AM31,B$5:B31,B32,BJ$5:BJ31,BJ32),2))</f>
        <v/>
      </c>
      <c r="AZ32" s="79" t="str">
        <f aca="false">IF(AM32="","",ROUND(AY32+AM32,2))</f>
        <v/>
      </c>
      <c r="BA32" s="79" t="str">
        <f aca="false">IF(B32="","",ROUND(SUMIFS(AM$5:AM31,B$5:B31,"&gt;="&amp;(B32-WEEKDAY(B32,2)+1),B$5:B31,"&lt;="&amp;B32,BJ$5:BJ31,BJ32),2))</f>
        <v/>
      </c>
      <c r="BB32" s="68" t="str">
        <f aca="false">IF(B32="","",IF(AND(AF32&lt;&gt;"",AV32&lt;&gt;"",N(AF32)&gt;N(AV32)*(1+Settings!$C$13)),"Oversized",IF(AX32&gt;Settings!$C$10,"Overtraded",IF(AY32&lt;=-Settings!$C$11*(AW32-AY32),"Daily loss hit",IF(BA32&lt;=-Settings!$C$12*(AW32-BA32),"Weekly loss hit","OK")))))</f>
        <v/>
      </c>
      <c r="BC32" s="69"/>
      <c r="BD32" s="69"/>
      <c r="BE32" s="69"/>
      <c r="BF32" s="73"/>
      <c r="BG32" s="73"/>
      <c r="BH32" s="71"/>
      <c r="BI32" s="71"/>
      <c r="BJ32" s="68" t="str">
        <f aca="false">IF(B32="","",IF(E32="",Settings!$F$5,E32))</f>
        <v/>
      </c>
      <c r="BK32" s="76" t="str">
        <f aca="false">IF(B32="","",IFERROR(INDEX(Settings!$G$5:$G$10,MATCH(BJ32,Settings!$F$5:$F$10,0)),Settings!$G$5))</f>
        <v/>
      </c>
      <c r="BL32" s="82" t="str">
        <f aca="false">IF(I32="","",IFERROR(1/(1/INDEX(Lists!$C$6:$C$17,MATCH(I32,Lists!$B$6:$B$17,0))),""))</f>
        <v/>
      </c>
      <c r="BM32" s="81" t="str">
        <f aca="false">IF(I32="","",IFERROR(1/(1/INDEX(Lists!$D$6:$D$17,MATCH(I32,Lists!$B$6:$B$17,0))),""))</f>
        <v/>
      </c>
      <c r="BN32" s="76" t="str">
        <f aca="false">IF(AN32="","",MAX(BK32,_xlfn.MAXIFS(AN$6:AN32,BJ$6:BJ32,BJ32)))</f>
        <v/>
      </c>
      <c r="BO32" s="83" t="str">
        <f aca="false">IF(AN32="","",(AN32-BN32)/BN32)</f>
        <v/>
      </c>
      <c r="BP32" s="66" t="n">
        <f aca="false">IF(OR(B32="",AL32=""),0,IF(OR(Settings!$C$28="All Accounts",BJ32=Settings!$C$28),1,0))</f>
        <v>0</v>
      </c>
      <c r="BQ32" s="66" t="str">
        <f aca="false">IF(BP32=1,SUM(BP$6:BP32),"")</f>
        <v/>
      </c>
      <c r="BR32" s="76" t="str">
        <f aca="false">IF(BP32=1,ROUND(Settings!$C$29+SUMIFS(AM$6:AM32,BP$6:BP32,1),2),"")</f>
        <v/>
      </c>
      <c r="BS32" s="76" t="str">
        <f aca="false">IF(BP32=1,MAX(Settings!$C$29,MAX(BR$6:BR32)),"")</f>
        <v/>
      </c>
      <c r="BT32" s="83" t="str">
        <f aca="false">IF(BP32=1,(BR32-BS32)/BS32,"")</f>
        <v/>
      </c>
      <c r="BU32" s="66" t="str">
        <f aca="false">IF(BP32=1,IF(AL32="Win",1+IF(BQ32=1,0,INDEX(BU$5:BU31,MATCH(BQ32-1,BQ$5:BQ31,0))),0),"")</f>
        <v/>
      </c>
      <c r="BV32" s="66" t="str">
        <f aca="false">IF(BP32=1,IF(AL32="Loss",1+IF(BQ32=1,0,INDEX(BV$5:BV31,MATCH(BQ32-1,BQ$5:BQ31,0))),0),"")</f>
        <v/>
      </c>
    </row>
    <row r="33" customFormat="false" ht="18" hidden="false" customHeight="true" outlineLevel="0" collapsed="false">
      <c r="A33" s="66" t="str">
        <f aca="false">IF(B33="","",ROW()-5)</f>
        <v/>
      </c>
      <c r="B33" s="67"/>
      <c r="C33" s="68" t="str">
        <f aca="false">IF(B33="","",CHOOSE(WEEKDAY(B33,2),"Mon","Tue","Wed","Thu","Fri","Sat","Sun"))</f>
        <v/>
      </c>
      <c r="D33" s="66" t="str">
        <f aca="false">IF(B33="","",WEEKNUM(B33,2))</f>
        <v/>
      </c>
      <c r="E33" s="69"/>
      <c r="F33" s="69"/>
      <c r="G33" s="70"/>
      <c r="H33" s="70"/>
      <c r="I33" s="69"/>
      <c r="J33" s="69"/>
      <c r="K33" s="69"/>
      <c r="L33" s="71"/>
      <c r="M33" s="69"/>
      <c r="N33" s="69"/>
      <c r="O33" s="69"/>
      <c r="P33" s="71"/>
      <c r="Q33" s="69"/>
      <c r="R33" s="69"/>
      <c r="S33" s="69"/>
      <c r="T33" s="69"/>
      <c r="U33" s="69"/>
      <c r="V33" s="69"/>
      <c r="W33" s="69"/>
      <c r="X33" s="66" t="str">
        <f aca="false">IF(B33="","",COUNTIF(Q33:W33,"Yes"))</f>
        <v/>
      </c>
      <c r="Y33" s="68" t="str">
        <f aca="false">IF(B33="","",IF(X33&gt;=Settings!$C$16,"A+",IF(X33&gt;=Settings!$C$17,"A",IF(X33&gt;=Settings!$C$18,"B","C"))))</f>
        <v/>
      </c>
      <c r="Z33" s="72"/>
      <c r="AA33" s="72"/>
      <c r="AB33" s="72"/>
      <c r="AC33" s="72"/>
      <c r="AD33" s="72"/>
      <c r="AE33" s="72"/>
      <c r="AF33" s="73"/>
      <c r="AG33" s="74"/>
      <c r="AH33" s="75"/>
      <c r="AI33" s="76" t="str">
        <f aca="false">IF(B33="","",ROUND(IF(AG33="",Settings!$C$5,AG33)*AW33,2))</f>
        <v/>
      </c>
      <c r="AJ33" s="77" t="str">
        <f aca="false">IF(OR(B33="",AB33="",AC33="",AD33=""),"",IFERROR(ROUND(ABS(AD33-AB33)/ABS(AB33-AC33),2),""))</f>
        <v/>
      </c>
      <c r="AK33" s="78" t="str">
        <f aca="false">IF(OR(B33="",AB33="",AC33="",AE33=""),"",IFERROR(ROUND(IF(J33="Short",AB33-AE33,AE33-AB33)/ABS(AB33-AC33),2),""))</f>
        <v/>
      </c>
      <c r="AL33" s="68" t="str">
        <f aca="false">IF(AK33="","",IF(ABS(AK33)&lt;=Settings!$C$6,"BE",IF(AK33&gt;0,"Win","Loss")))</f>
        <v/>
      </c>
      <c r="AM33" s="79" t="str">
        <f aca="false">IF(OR(AK33="",AI33=""),"",ROUND(AK33*AI33-N(AH33),2))</f>
        <v/>
      </c>
      <c r="AN33" s="76" t="str">
        <f aca="false">IF(AM33="","",ROUND(BK33+SUMIFS(AM$6:AM33,BJ$6:BJ33,BJ33),2))</f>
        <v/>
      </c>
      <c r="AO33" s="78" t="str">
        <f aca="false">IF(AK33="","",ROUND(SUMIFS(AK$6:AK33,BJ$6:BJ33,BJ33),2))</f>
        <v/>
      </c>
      <c r="AP33" s="80" t="str">
        <f aca="false">IF(OR(AK33="",BL33=""),"",IFERROR(ROUND(IF(J33="Short",AB33-AE33,AE33-AB33)/BL33,1),""))</f>
        <v/>
      </c>
      <c r="AQ33" s="66" t="str">
        <f aca="false">IF(OR(G33="",H33=""),"",ROUND(MOD(H33-G33,1)*1440,0))</f>
        <v/>
      </c>
      <c r="AR33" s="68" t="str">
        <f aca="false">IF(AQ33="","",IF(AQ33&lt;15,"Under 15m",IF(AQ33&lt;60,"15-60m",IF(AQ33&lt;240,"1-4 hours","4+ hours"))))</f>
        <v/>
      </c>
      <c r="AS33" s="66" t="str">
        <f aca="false">IF(G33="","",HOUR(G33))</f>
        <v/>
      </c>
      <c r="AT33" s="80" t="str">
        <f aca="false">IF(OR(Z33="",AB33="",BL33=""),"",IFERROR(ROUND(IF(J33="Short",Z33-AB33,AB33-Z33)/BL33,1),""))</f>
        <v/>
      </c>
      <c r="AU33" s="68" t="str">
        <f aca="false">IF(OR(AA33="",AC33=""),"",IF(AA33=AC33,"No","Yes"))</f>
        <v/>
      </c>
      <c r="AV33" s="81" t="str">
        <f aca="false">IF(OR(B33="",BL33="",BM33="",AB33="",AC33=""),"",IFERROR(ROUND(AI33/(ABS(AB33-AC33)/BL33*BM33),2),""))</f>
        <v/>
      </c>
      <c r="AW33" s="76" t="str">
        <f aca="false">IF(B33="","",ROUND(BK33+SUMIFS(AM$5:AM32,BJ$5:BJ32,BJ33),2))</f>
        <v/>
      </c>
      <c r="AX33" s="66" t="str">
        <f aca="false">IF(B33="","",COUNTIFS(B$6:B33,B33,BJ$6:BJ33,BJ33))</f>
        <v/>
      </c>
      <c r="AY33" s="79" t="str">
        <f aca="false">IF(B33="","",ROUND(SUMIFS(AM$5:AM32,B$5:B32,B33,BJ$5:BJ32,BJ33),2))</f>
        <v/>
      </c>
      <c r="AZ33" s="79" t="str">
        <f aca="false">IF(AM33="","",ROUND(AY33+AM33,2))</f>
        <v/>
      </c>
      <c r="BA33" s="79" t="str">
        <f aca="false">IF(B33="","",ROUND(SUMIFS(AM$5:AM32,B$5:B32,"&gt;="&amp;(B33-WEEKDAY(B33,2)+1),B$5:B32,"&lt;="&amp;B33,BJ$5:BJ32,BJ33),2))</f>
        <v/>
      </c>
      <c r="BB33" s="68" t="str">
        <f aca="false">IF(B33="","",IF(AND(AF33&lt;&gt;"",AV33&lt;&gt;"",N(AF33)&gt;N(AV33)*(1+Settings!$C$13)),"Oversized",IF(AX33&gt;Settings!$C$10,"Overtraded",IF(AY33&lt;=-Settings!$C$11*(AW33-AY33),"Daily loss hit",IF(BA33&lt;=-Settings!$C$12*(AW33-BA33),"Weekly loss hit","OK")))))</f>
        <v/>
      </c>
      <c r="BC33" s="69"/>
      <c r="BD33" s="69"/>
      <c r="BE33" s="69"/>
      <c r="BF33" s="73"/>
      <c r="BG33" s="73"/>
      <c r="BH33" s="71"/>
      <c r="BI33" s="71"/>
      <c r="BJ33" s="68" t="str">
        <f aca="false">IF(B33="","",IF(E33="",Settings!$F$5,E33))</f>
        <v/>
      </c>
      <c r="BK33" s="76" t="str">
        <f aca="false">IF(B33="","",IFERROR(INDEX(Settings!$G$5:$G$10,MATCH(BJ33,Settings!$F$5:$F$10,0)),Settings!$G$5))</f>
        <v/>
      </c>
      <c r="BL33" s="82" t="str">
        <f aca="false">IF(I33="","",IFERROR(1/(1/INDEX(Lists!$C$6:$C$17,MATCH(I33,Lists!$B$6:$B$17,0))),""))</f>
        <v/>
      </c>
      <c r="BM33" s="81" t="str">
        <f aca="false">IF(I33="","",IFERROR(1/(1/INDEX(Lists!$D$6:$D$17,MATCH(I33,Lists!$B$6:$B$17,0))),""))</f>
        <v/>
      </c>
      <c r="BN33" s="76" t="str">
        <f aca="false">IF(AN33="","",MAX(BK33,_xlfn.MAXIFS(AN$6:AN33,BJ$6:BJ33,BJ33)))</f>
        <v/>
      </c>
      <c r="BO33" s="83" t="str">
        <f aca="false">IF(AN33="","",(AN33-BN33)/BN33)</f>
        <v/>
      </c>
      <c r="BP33" s="66" t="n">
        <f aca="false">IF(OR(B33="",AL33=""),0,IF(OR(Settings!$C$28="All Accounts",BJ33=Settings!$C$28),1,0))</f>
        <v>0</v>
      </c>
      <c r="BQ33" s="66" t="str">
        <f aca="false">IF(BP33=1,SUM(BP$6:BP33),"")</f>
        <v/>
      </c>
      <c r="BR33" s="76" t="str">
        <f aca="false">IF(BP33=1,ROUND(Settings!$C$29+SUMIFS(AM$6:AM33,BP$6:BP33,1),2),"")</f>
        <v/>
      </c>
      <c r="BS33" s="76" t="str">
        <f aca="false">IF(BP33=1,MAX(Settings!$C$29,MAX(BR$6:BR33)),"")</f>
        <v/>
      </c>
      <c r="BT33" s="83" t="str">
        <f aca="false">IF(BP33=1,(BR33-BS33)/BS33,"")</f>
        <v/>
      </c>
      <c r="BU33" s="66" t="str">
        <f aca="false">IF(BP33=1,IF(AL33="Win",1+IF(BQ33=1,0,INDEX(BU$5:BU32,MATCH(BQ33-1,BQ$5:BQ32,0))),0),"")</f>
        <v/>
      </c>
      <c r="BV33" s="66" t="str">
        <f aca="false">IF(BP33=1,IF(AL33="Loss",1+IF(BQ33=1,0,INDEX(BV$5:BV32,MATCH(BQ33-1,BQ$5:BQ32,0))),0),"")</f>
        <v/>
      </c>
    </row>
    <row r="34" customFormat="false" ht="18" hidden="false" customHeight="true" outlineLevel="0" collapsed="false">
      <c r="A34" s="66" t="str">
        <f aca="false">IF(B34="","",ROW()-5)</f>
        <v/>
      </c>
      <c r="B34" s="67"/>
      <c r="C34" s="68" t="str">
        <f aca="false">IF(B34="","",CHOOSE(WEEKDAY(B34,2),"Mon","Tue","Wed","Thu","Fri","Sat","Sun"))</f>
        <v/>
      </c>
      <c r="D34" s="66" t="str">
        <f aca="false">IF(B34="","",WEEKNUM(B34,2))</f>
        <v/>
      </c>
      <c r="E34" s="69"/>
      <c r="F34" s="69"/>
      <c r="G34" s="70"/>
      <c r="H34" s="70"/>
      <c r="I34" s="69"/>
      <c r="J34" s="69"/>
      <c r="K34" s="69"/>
      <c r="L34" s="71"/>
      <c r="M34" s="69"/>
      <c r="N34" s="69"/>
      <c r="O34" s="69"/>
      <c r="P34" s="71"/>
      <c r="Q34" s="69"/>
      <c r="R34" s="69"/>
      <c r="S34" s="69"/>
      <c r="T34" s="69"/>
      <c r="U34" s="69"/>
      <c r="V34" s="69"/>
      <c r="W34" s="69"/>
      <c r="X34" s="66" t="str">
        <f aca="false">IF(B34="","",COUNTIF(Q34:W34,"Yes"))</f>
        <v/>
      </c>
      <c r="Y34" s="68" t="str">
        <f aca="false">IF(B34="","",IF(X34&gt;=Settings!$C$16,"A+",IF(X34&gt;=Settings!$C$17,"A",IF(X34&gt;=Settings!$C$18,"B","C"))))</f>
        <v/>
      </c>
      <c r="Z34" s="72"/>
      <c r="AA34" s="72"/>
      <c r="AB34" s="72"/>
      <c r="AC34" s="72"/>
      <c r="AD34" s="72"/>
      <c r="AE34" s="72"/>
      <c r="AF34" s="73"/>
      <c r="AG34" s="74"/>
      <c r="AH34" s="75"/>
      <c r="AI34" s="76" t="str">
        <f aca="false">IF(B34="","",ROUND(IF(AG34="",Settings!$C$5,AG34)*AW34,2))</f>
        <v/>
      </c>
      <c r="AJ34" s="77" t="str">
        <f aca="false">IF(OR(B34="",AB34="",AC34="",AD34=""),"",IFERROR(ROUND(ABS(AD34-AB34)/ABS(AB34-AC34),2),""))</f>
        <v/>
      </c>
      <c r="AK34" s="78" t="str">
        <f aca="false">IF(OR(B34="",AB34="",AC34="",AE34=""),"",IFERROR(ROUND(IF(J34="Short",AB34-AE34,AE34-AB34)/ABS(AB34-AC34),2),""))</f>
        <v/>
      </c>
      <c r="AL34" s="68" t="str">
        <f aca="false">IF(AK34="","",IF(ABS(AK34)&lt;=Settings!$C$6,"BE",IF(AK34&gt;0,"Win","Loss")))</f>
        <v/>
      </c>
      <c r="AM34" s="79" t="str">
        <f aca="false">IF(OR(AK34="",AI34=""),"",ROUND(AK34*AI34-N(AH34),2))</f>
        <v/>
      </c>
      <c r="AN34" s="76" t="str">
        <f aca="false">IF(AM34="","",ROUND(BK34+SUMIFS(AM$6:AM34,BJ$6:BJ34,BJ34),2))</f>
        <v/>
      </c>
      <c r="AO34" s="78" t="str">
        <f aca="false">IF(AK34="","",ROUND(SUMIFS(AK$6:AK34,BJ$6:BJ34,BJ34),2))</f>
        <v/>
      </c>
      <c r="AP34" s="80" t="str">
        <f aca="false">IF(OR(AK34="",BL34=""),"",IFERROR(ROUND(IF(J34="Short",AB34-AE34,AE34-AB34)/BL34,1),""))</f>
        <v/>
      </c>
      <c r="AQ34" s="66" t="str">
        <f aca="false">IF(OR(G34="",H34=""),"",ROUND(MOD(H34-G34,1)*1440,0))</f>
        <v/>
      </c>
      <c r="AR34" s="68" t="str">
        <f aca="false">IF(AQ34="","",IF(AQ34&lt;15,"Under 15m",IF(AQ34&lt;60,"15-60m",IF(AQ34&lt;240,"1-4 hours","4+ hours"))))</f>
        <v/>
      </c>
      <c r="AS34" s="66" t="str">
        <f aca="false">IF(G34="","",HOUR(G34))</f>
        <v/>
      </c>
      <c r="AT34" s="80" t="str">
        <f aca="false">IF(OR(Z34="",AB34="",BL34=""),"",IFERROR(ROUND(IF(J34="Short",Z34-AB34,AB34-Z34)/BL34,1),""))</f>
        <v/>
      </c>
      <c r="AU34" s="68" t="str">
        <f aca="false">IF(OR(AA34="",AC34=""),"",IF(AA34=AC34,"No","Yes"))</f>
        <v/>
      </c>
      <c r="AV34" s="81" t="str">
        <f aca="false">IF(OR(B34="",BL34="",BM34="",AB34="",AC34=""),"",IFERROR(ROUND(AI34/(ABS(AB34-AC34)/BL34*BM34),2),""))</f>
        <v/>
      </c>
      <c r="AW34" s="76" t="str">
        <f aca="false">IF(B34="","",ROUND(BK34+SUMIFS(AM$5:AM33,BJ$5:BJ33,BJ34),2))</f>
        <v/>
      </c>
      <c r="AX34" s="66" t="str">
        <f aca="false">IF(B34="","",COUNTIFS(B$6:B34,B34,BJ$6:BJ34,BJ34))</f>
        <v/>
      </c>
      <c r="AY34" s="79" t="str">
        <f aca="false">IF(B34="","",ROUND(SUMIFS(AM$5:AM33,B$5:B33,B34,BJ$5:BJ33,BJ34),2))</f>
        <v/>
      </c>
      <c r="AZ34" s="79" t="str">
        <f aca="false">IF(AM34="","",ROUND(AY34+AM34,2))</f>
        <v/>
      </c>
      <c r="BA34" s="79" t="str">
        <f aca="false">IF(B34="","",ROUND(SUMIFS(AM$5:AM33,B$5:B33,"&gt;="&amp;(B34-WEEKDAY(B34,2)+1),B$5:B33,"&lt;="&amp;B34,BJ$5:BJ33,BJ34),2))</f>
        <v/>
      </c>
      <c r="BB34" s="68" t="str">
        <f aca="false">IF(B34="","",IF(AND(AF34&lt;&gt;"",AV34&lt;&gt;"",N(AF34)&gt;N(AV34)*(1+Settings!$C$13)),"Oversized",IF(AX34&gt;Settings!$C$10,"Overtraded",IF(AY34&lt;=-Settings!$C$11*(AW34-AY34),"Daily loss hit",IF(BA34&lt;=-Settings!$C$12*(AW34-BA34),"Weekly loss hit","OK")))))</f>
        <v/>
      </c>
      <c r="BC34" s="69"/>
      <c r="BD34" s="69"/>
      <c r="BE34" s="69"/>
      <c r="BF34" s="73"/>
      <c r="BG34" s="73"/>
      <c r="BH34" s="71"/>
      <c r="BI34" s="71"/>
      <c r="BJ34" s="68" t="str">
        <f aca="false">IF(B34="","",IF(E34="",Settings!$F$5,E34))</f>
        <v/>
      </c>
      <c r="BK34" s="76" t="str">
        <f aca="false">IF(B34="","",IFERROR(INDEX(Settings!$G$5:$G$10,MATCH(BJ34,Settings!$F$5:$F$10,0)),Settings!$G$5))</f>
        <v/>
      </c>
      <c r="BL34" s="82" t="str">
        <f aca="false">IF(I34="","",IFERROR(1/(1/INDEX(Lists!$C$6:$C$17,MATCH(I34,Lists!$B$6:$B$17,0))),""))</f>
        <v/>
      </c>
      <c r="BM34" s="81" t="str">
        <f aca="false">IF(I34="","",IFERROR(1/(1/INDEX(Lists!$D$6:$D$17,MATCH(I34,Lists!$B$6:$B$17,0))),""))</f>
        <v/>
      </c>
      <c r="BN34" s="76" t="str">
        <f aca="false">IF(AN34="","",MAX(BK34,_xlfn.MAXIFS(AN$6:AN34,BJ$6:BJ34,BJ34)))</f>
        <v/>
      </c>
      <c r="BO34" s="83" t="str">
        <f aca="false">IF(AN34="","",(AN34-BN34)/BN34)</f>
        <v/>
      </c>
      <c r="BP34" s="66" t="n">
        <f aca="false">IF(OR(B34="",AL34=""),0,IF(OR(Settings!$C$28="All Accounts",BJ34=Settings!$C$28),1,0))</f>
        <v>0</v>
      </c>
      <c r="BQ34" s="66" t="str">
        <f aca="false">IF(BP34=1,SUM(BP$6:BP34),"")</f>
        <v/>
      </c>
      <c r="BR34" s="76" t="str">
        <f aca="false">IF(BP34=1,ROUND(Settings!$C$29+SUMIFS(AM$6:AM34,BP$6:BP34,1),2),"")</f>
        <v/>
      </c>
      <c r="BS34" s="76" t="str">
        <f aca="false">IF(BP34=1,MAX(Settings!$C$29,MAX(BR$6:BR34)),"")</f>
        <v/>
      </c>
      <c r="BT34" s="83" t="str">
        <f aca="false">IF(BP34=1,(BR34-BS34)/BS34,"")</f>
        <v/>
      </c>
      <c r="BU34" s="66" t="str">
        <f aca="false">IF(BP34=1,IF(AL34="Win",1+IF(BQ34=1,0,INDEX(BU$5:BU33,MATCH(BQ34-1,BQ$5:BQ33,0))),0),"")</f>
        <v/>
      </c>
      <c r="BV34" s="66" t="str">
        <f aca="false">IF(BP34=1,IF(AL34="Loss",1+IF(BQ34=1,0,INDEX(BV$5:BV33,MATCH(BQ34-1,BQ$5:BQ33,0))),0),"")</f>
        <v/>
      </c>
    </row>
    <row r="35" customFormat="false" ht="18" hidden="false" customHeight="true" outlineLevel="0" collapsed="false">
      <c r="A35" s="66" t="str">
        <f aca="false">IF(B35="","",ROW()-5)</f>
        <v/>
      </c>
      <c r="B35" s="67"/>
      <c r="C35" s="68" t="str">
        <f aca="false">IF(B35="","",CHOOSE(WEEKDAY(B35,2),"Mon","Tue","Wed","Thu","Fri","Sat","Sun"))</f>
        <v/>
      </c>
      <c r="D35" s="66" t="str">
        <f aca="false">IF(B35="","",WEEKNUM(B35,2))</f>
        <v/>
      </c>
      <c r="E35" s="69"/>
      <c r="F35" s="69"/>
      <c r="G35" s="70"/>
      <c r="H35" s="70"/>
      <c r="I35" s="69"/>
      <c r="J35" s="69"/>
      <c r="K35" s="69"/>
      <c r="L35" s="71"/>
      <c r="M35" s="69"/>
      <c r="N35" s="69"/>
      <c r="O35" s="69"/>
      <c r="P35" s="71"/>
      <c r="Q35" s="69"/>
      <c r="R35" s="69"/>
      <c r="S35" s="69"/>
      <c r="T35" s="69"/>
      <c r="U35" s="69"/>
      <c r="V35" s="69"/>
      <c r="W35" s="69"/>
      <c r="X35" s="66" t="str">
        <f aca="false">IF(B35="","",COUNTIF(Q35:W35,"Yes"))</f>
        <v/>
      </c>
      <c r="Y35" s="68" t="str">
        <f aca="false">IF(B35="","",IF(X35&gt;=Settings!$C$16,"A+",IF(X35&gt;=Settings!$C$17,"A",IF(X35&gt;=Settings!$C$18,"B","C"))))</f>
        <v/>
      </c>
      <c r="Z35" s="72"/>
      <c r="AA35" s="72"/>
      <c r="AB35" s="72"/>
      <c r="AC35" s="72"/>
      <c r="AD35" s="72"/>
      <c r="AE35" s="72"/>
      <c r="AF35" s="73"/>
      <c r="AG35" s="74"/>
      <c r="AH35" s="75"/>
      <c r="AI35" s="76" t="str">
        <f aca="false">IF(B35="","",ROUND(IF(AG35="",Settings!$C$5,AG35)*AW35,2))</f>
        <v/>
      </c>
      <c r="AJ35" s="77" t="str">
        <f aca="false">IF(OR(B35="",AB35="",AC35="",AD35=""),"",IFERROR(ROUND(ABS(AD35-AB35)/ABS(AB35-AC35),2),""))</f>
        <v/>
      </c>
      <c r="AK35" s="78" t="str">
        <f aca="false">IF(OR(B35="",AB35="",AC35="",AE35=""),"",IFERROR(ROUND(IF(J35="Short",AB35-AE35,AE35-AB35)/ABS(AB35-AC35),2),""))</f>
        <v/>
      </c>
      <c r="AL35" s="68" t="str">
        <f aca="false">IF(AK35="","",IF(ABS(AK35)&lt;=Settings!$C$6,"BE",IF(AK35&gt;0,"Win","Loss")))</f>
        <v/>
      </c>
      <c r="AM35" s="79" t="str">
        <f aca="false">IF(OR(AK35="",AI35=""),"",ROUND(AK35*AI35-N(AH35),2))</f>
        <v/>
      </c>
      <c r="AN35" s="76" t="str">
        <f aca="false">IF(AM35="","",ROUND(BK35+SUMIFS(AM$6:AM35,BJ$6:BJ35,BJ35),2))</f>
        <v/>
      </c>
      <c r="AO35" s="78" t="str">
        <f aca="false">IF(AK35="","",ROUND(SUMIFS(AK$6:AK35,BJ$6:BJ35,BJ35),2))</f>
        <v/>
      </c>
      <c r="AP35" s="80" t="str">
        <f aca="false">IF(OR(AK35="",BL35=""),"",IFERROR(ROUND(IF(J35="Short",AB35-AE35,AE35-AB35)/BL35,1),""))</f>
        <v/>
      </c>
      <c r="AQ35" s="66" t="str">
        <f aca="false">IF(OR(G35="",H35=""),"",ROUND(MOD(H35-G35,1)*1440,0))</f>
        <v/>
      </c>
      <c r="AR35" s="68" t="str">
        <f aca="false">IF(AQ35="","",IF(AQ35&lt;15,"Under 15m",IF(AQ35&lt;60,"15-60m",IF(AQ35&lt;240,"1-4 hours","4+ hours"))))</f>
        <v/>
      </c>
      <c r="AS35" s="66" t="str">
        <f aca="false">IF(G35="","",HOUR(G35))</f>
        <v/>
      </c>
      <c r="AT35" s="80" t="str">
        <f aca="false">IF(OR(Z35="",AB35="",BL35=""),"",IFERROR(ROUND(IF(J35="Short",Z35-AB35,AB35-Z35)/BL35,1),""))</f>
        <v/>
      </c>
      <c r="AU35" s="68" t="str">
        <f aca="false">IF(OR(AA35="",AC35=""),"",IF(AA35=AC35,"No","Yes"))</f>
        <v/>
      </c>
      <c r="AV35" s="81" t="str">
        <f aca="false">IF(OR(B35="",BL35="",BM35="",AB35="",AC35=""),"",IFERROR(ROUND(AI35/(ABS(AB35-AC35)/BL35*BM35),2),""))</f>
        <v/>
      </c>
      <c r="AW35" s="76" t="str">
        <f aca="false">IF(B35="","",ROUND(BK35+SUMIFS(AM$5:AM34,BJ$5:BJ34,BJ35),2))</f>
        <v/>
      </c>
      <c r="AX35" s="66" t="str">
        <f aca="false">IF(B35="","",COUNTIFS(B$6:B35,B35,BJ$6:BJ35,BJ35))</f>
        <v/>
      </c>
      <c r="AY35" s="79" t="str">
        <f aca="false">IF(B35="","",ROUND(SUMIFS(AM$5:AM34,B$5:B34,B35,BJ$5:BJ34,BJ35),2))</f>
        <v/>
      </c>
      <c r="AZ35" s="79" t="str">
        <f aca="false">IF(AM35="","",ROUND(AY35+AM35,2))</f>
        <v/>
      </c>
      <c r="BA35" s="79" t="str">
        <f aca="false">IF(B35="","",ROUND(SUMIFS(AM$5:AM34,B$5:B34,"&gt;="&amp;(B35-WEEKDAY(B35,2)+1),B$5:B34,"&lt;="&amp;B35,BJ$5:BJ34,BJ35),2))</f>
        <v/>
      </c>
      <c r="BB35" s="68" t="str">
        <f aca="false">IF(B35="","",IF(AND(AF35&lt;&gt;"",AV35&lt;&gt;"",N(AF35)&gt;N(AV35)*(1+Settings!$C$13)),"Oversized",IF(AX35&gt;Settings!$C$10,"Overtraded",IF(AY35&lt;=-Settings!$C$11*(AW35-AY35),"Daily loss hit",IF(BA35&lt;=-Settings!$C$12*(AW35-BA35),"Weekly loss hit","OK")))))</f>
        <v/>
      </c>
      <c r="BC35" s="69"/>
      <c r="BD35" s="69"/>
      <c r="BE35" s="69"/>
      <c r="BF35" s="73"/>
      <c r="BG35" s="73"/>
      <c r="BH35" s="71"/>
      <c r="BI35" s="71"/>
      <c r="BJ35" s="68" t="str">
        <f aca="false">IF(B35="","",IF(E35="",Settings!$F$5,E35))</f>
        <v/>
      </c>
      <c r="BK35" s="76" t="str">
        <f aca="false">IF(B35="","",IFERROR(INDEX(Settings!$G$5:$G$10,MATCH(BJ35,Settings!$F$5:$F$10,0)),Settings!$G$5))</f>
        <v/>
      </c>
      <c r="BL35" s="82" t="str">
        <f aca="false">IF(I35="","",IFERROR(1/(1/INDEX(Lists!$C$6:$C$17,MATCH(I35,Lists!$B$6:$B$17,0))),""))</f>
        <v/>
      </c>
      <c r="BM35" s="81" t="str">
        <f aca="false">IF(I35="","",IFERROR(1/(1/INDEX(Lists!$D$6:$D$17,MATCH(I35,Lists!$B$6:$B$17,0))),""))</f>
        <v/>
      </c>
      <c r="BN35" s="76" t="str">
        <f aca="false">IF(AN35="","",MAX(BK35,_xlfn.MAXIFS(AN$6:AN35,BJ$6:BJ35,BJ35)))</f>
        <v/>
      </c>
      <c r="BO35" s="83" t="str">
        <f aca="false">IF(AN35="","",(AN35-BN35)/BN35)</f>
        <v/>
      </c>
      <c r="BP35" s="66" t="n">
        <f aca="false">IF(OR(B35="",AL35=""),0,IF(OR(Settings!$C$28="All Accounts",BJ35=Settings!$C$28),1,0))</f>
        <v>0</v>
      </c>
      <c r="BQ35" s="66" t="str">
        <f aca="false">IF(BP35=1,SUM(BP$6:BP35),"")</f>
        <v/>
      </c>
      <c r="BR35" s="76" t="str">
        <f aca="false">IF(BP35=1,ROUND(Settings!$C$29+SUMIFS(AM$6:AM35,BP$6:BP35,1),2),"")</f>
        <v/>
      </c>
      <c r="BS35" s="76" t="str">
        <f aca="false">IF(BP35=1,MAX(Settings!$C$29,MAX(BR$6:BR35)),"")</f>
        <v/>
      </c>
      <c r="BT35" s="83" t="str">
        <f aca="false">IF(BP35=1,(BR35-BS35)/BS35,"")</f>
        <v/>
      </c>
      <c r="BU35" s="66" t="str">
        <f aca="false">IF(BP35=1,IF(AL35="Win",1+IF(BQ35=1,0,INDEX(BU$5:BU34,MATCH(BQ35-1,BQ$5:BQ34,0))),0),"")</f>
        <v/>
      </c>
      <c r="BV35" s="66" t="str">
        <f aca="false">IF(BP35=1,IF(AL35="Loss",1+IF(BQ35=1,0,INDEX(BV$5:BV34,MATCH(BQ35-1,BQ$5:BQ34,0))),0),"")</f>
        <v/>
      </c>
    </row>
    <row r="36" customFormat="false" ht="18" hidden="false" customHeight="true" outlineLevel="0" collapsed="false">
      <c r="A36" s="66" t="str">
        <f aca="false">IF(B36="","",ROW()-5)</f>
        <v/>
      </c>
      <c r="B36" s="67"/>
      <c r="C36" s="68" t="str">
        <f aca="false">IF(B36="","",CHOOSE(WEEKDAY(B36,2),"Mon","Tue","Wed","Thu","Fri","Sat","Sun"))</f>
        <v/>
      </c>
      <c r="D36" s="66" t="str">
        <f aca="false">IF(B36="","",WEEKNUM(B36,2))</f>
        <v/>
      </c>
      <c r="E36" s="69"/>
      <c r="F36" s="69"/>
      <c r="G36" s="70"/>
      <c r="H36" s="70"/>
      <c r="I36" s="69"/>
      <c r="J36" s="69"/>
      <c r="K36" s="69"/>
      <c r="L36" s="71"/>
      <c r="M36" s="69"/>
      <c r="N36" s="69"/>
      <c r="O36" s="69"/>
      <c r="P36" s="71"/>
      <c r="Q36" s="69"/>
      <c r="R36" s="69"/>
      <c r="S36" s="69"/>
      <c r="T36" s="69"/>
      <c r="U36" s="69"/>
      <c r="V36" s="69"/>
      <c r="W36" s="69"/>
      <c r="X36" s="66" t="str">
        <f aca="false">IF(B36="","",COUNTIF(Q36:W36,"Yes"))</f>
        <v/>
      </c>
      <c r="Y36" s="68" t="str">
        <f aca="false">IF(B36="","",IF(X36&gt;=Settings!$C$16,"A+",IF(X36&gt;=Settings!$C$17,"A",IF(X36&gt;=Settings!$C$18,"B","C"))))</f>
        <v/>
      </c>
      <c r="Z36" s="72"/>
      <c r="AA36" s="72"/>
      <c r="AB36" s="72"/>
      <c r="AC36" s="72"/>
      <c r="AD36" s="72"/>
      <c r="AE36" s="72"/>
      <c r="AF36" s="73"/>
      <c r="AG36" s="74"/>
      <c r="AH36" s="75"/>
      <c r="AI36" s="76" t="str">
        <f aca="false">IF(B36="","",ROUND(IF(AG36="",Settings!$C$5,AG36)*AW36,2))</f>
        <v/>
      </c>
      <c r="AJ36" s="77" t="str">
        <f aca="false">IF(OR(B36="",AB36="",AC36="",AD36=""),"",IFERROR(ROUND(ABS(AD36-AB36)/ABS(AB36-AC36),2),""))</f>
        <v/>
      </c>
      <c r="AK36" s="78" t="str">
        <f aca="false">IF(OR(B36="",AB36="",AC36="",AE36=""),"",IFERROR(ROUND(IF(J36="Short",AB36-AE36,AE36-AB36)/ABS(AB36-AC36),2),""))</f>
        <v/>
      </c>
      <c r="AL36" s="68" t="str">
        <f aca="false">IF(AK36="","",IF(ABS(AK36)&lt;=Settings!$C$6,"BE",IF(AK36&gt;0,"Win","Loss")))</f>
        <v/>
      </c>
      <c r="AM36" s="79" t="str">
        <f aca="false">IF(OR(AK36="",AI36=""),"",ROUND(AK36*AI36-N(AH36),2))</f>
        <v/>
      </c>
      <c r="AN36" s="76" t="str">
        <f aca="false">IF(AM36="","",ROUND(BK36+SUMIFS(AM$6:AM36,BJ$6:BJ36,BJ36),2))</f>
        <v/>
      </c>
      <c r="AO36" s="78" t="str">
        <f aca="false">IF(AK36="","",ROUND(SUMIFS(AK$6:AK36,BJ$6:BJ36,BJ36),2))</f>
        <v/>
      </c>
      <c r="AP36" s="80" t="str">
        <f aca="false">IF(OR(AK36="",BL36=""),"",IFERROR(ROUND(IF(J36="Short",AB36-AE36,AE36-AB36)/BL36,1),""))</f>
        <v/>
      </c>
      <c r="AQ36" s="66" t="str">
        <f aca="false">IF(OR(G36="",H36=""),"",ROUND(MOD(H36-G36,1)*1440,0))</f>
        <v/>
      </c>
      <c r="AR36" s="68" t="str">
        <f aca="false">IF(AQ36="","",IF(AQ36&lt;15,"Under 15m",IF(AQ36&lt;60,"15-60m",IF(AQ36&lt;240,"1-4 hours","4+ hours"))))</f>
        <v/>
      </c>
      <c r="AS36" s="66" t="str">
        <f aca="false">IF(G36="","",HOUR(G36))</f>
        <v/>
      </c>
      <c r="AT36" s="80" t="str">
        <f aca="false">IF(OR(Z36="",AB36="",BL36=""),"",IFERROR(ROUND(IF(J36="Short",Z36-AB36,AB36-Z36)/BL36,1),""))</f>
        <v/>
      </c>
      <c r="AU36" s="68" t="str">
        <f aca="false">IF(OR(AA36="",AC36=""),"",IF(AA36=AC36,"No","Yes"))</f>
        <v/>
      </c>
      <c r="AV36" s="81" t="str">
        <f aca="false">IF(OR(B36="",BL36="",BM36="",AB36="",AC36=""),"",IFERROR(ROUND(AI36/(ABS(AB36-AC36)/BL36*BM36),2),""))</f>
        <v/>
      </c>
      <c r="AW36" s="76" t="str">
        <f aca="false">IF(B36="","",ROUND(BK36+SUMIFS(AM$5:AM35,BJ$5:BJ35,BJ36),2))</f>
        <v/>
      </c>
      <c r="AX36" s="66" t="str">
        <f aca="false">IF(B36="","",COUNTIFS(B$6:B36,B36,BJ$6:BJ36,BJ36))</f>
        <v/>
      </c>
      <c r="AY36" s="79" t="str">
        <f aca="false">IF(B36="","",ROUND(SUMIFS(AM$5:AM35,B$5:B35,B36,BJ$5:BJ35,BJ36),2))</f>
        <v/>
      </c>
      <c r="AZ36" s="79" t="str">
        <f aca="false">IF(AM36="","",ROUND(AY36+AM36,2))</f>
        <v/>
      </c>
      <c r="BA36" s="79" t="str">
        <f aca="false">IF(B36="","",ROUND(SUMIFS(AM$5:AM35,B$5:B35,"&gt;="&amp;(B36-WEEKDAY(B36,2)+1),B$5:B35,"&lt;="&amp;B36,BJ$5:BJ35,BJ36),2))</f>
        <v/>
      </c>
      <c r="BB36" s="68" t="str">
        <f aca="false">IF(B36="","",IF(AND(AF36&lt;&gt;"",AV36&lt;&gt;"",N(AF36)&gt;N(AV36)*(1+Settings!$C$13)),"Oversized",IF(AX36&gt;Settings!$C$10,"Overtraded",IF(AY36&lt;=-Settings!$C$11*(AW36-AY36),"Daily loss hit",IF(BA36&lt;=-Settings!$C$12*(AW36-BA36),"Weekly loss hit","OK")))))</f>
        <v/>
      </c>
      <c r="BC36" s="69"/>
      <c r="BD36" s="69"/>
      <c r="BE36" s="69"/>
      <c r="BF36" s="73"/>
      <c r="BG36" s="73"/>
      <c r="BH36" s="71"/>
      <c r="BI36" s="71"/>
      <c r="BJ36" s="68" t="str">
        <f aca="false">IF(B36="","",IF(E36="",Settings!$F$5,E36))</f>
        <v/>
      </c>
      <c r="BK36" s="76" t="str">
        <f aca="false">IF(B36="","",IFERROR(INDEX(Settings!$G$5:$G$10,MATCH(BJ36,Settings!$F$5:$F$10,0)),Settings!$G$5))</f>
        <v/>
      </c>
      <c r="BL36" s="82" t="str">
        <f aca="false">IF(I36="","",IFERROR(1/(1/INDEX(Lists!$C$6:$C$17,MATCH(I36,Lists!$B$6:$B$17,0))),""))</f>
        <v/>
      </c>
      <c r="BM36" s="81" t="str">
        <f aca="false">IF(I36="","",IFERROR(1/(1/INDEX(Lists!$D$6:$D$17,MATCH(I36,Lists!$B$6:$B$17,0))),""))</f>
        <v/>
      </c>
      <c r="BN36" s="76" t="str">
        <f aca="false">IF(AN36="","",MAX(BK36,_xlfn.MAXIFS(AN$6:AN36,BJ$6:BJ36,BJ36)))</f>
        <v/>
      </c>
      <c r="BO36" s="83" t="str">
        <f aca="false">IF(AN36="","",(AN36-BN36)/BN36)</f>
        <v/>
      </c>
      <c r="BP36" s="66" t="n">
        <f aca="false">IF(OR(B36="",AL36=""),0,IF(OR(Settings!$C$28="All Accounts",BJ36=Settings!$C$28),1,0))</f>
        <v>0</v>
      </c>
      <c r="BQ36" s="66" t="str">
        <f aca="false">IF(BP36=1,SUM(BP$6:BP36),"")</f>
        <v/>
      </c>
      <c r="BR36" s="76" t="str">
        <f aca="false">IF(BP36=1,ROUND(Settings!$C$29+SUMIFS(AM$6:AM36,BP$6:BP36,1),2),"")</f>
        <v/>
      </c>
      <c r="BS36" s="76" t="str">
        <f aca="false">IF(BP36=1,MAX(Settings!$C$29,MAX(BR$6:BR36)),"")</f>
        <v/>
      </c>
      <c r="BT36" s="83" t="str">
        <f aca="false">IF(BP36=1,(BR36-BS36)/BS36,"")</f>
        <v/>
      </c>
      <c r="BU36" s="66" t="str">
        <f aca="false">IF(BP36=1,IF(AL36="Win",1+IF(BQ36=1,0,INDEX(BU$5:BU35,MATCH(BQ36-1,BQ$5:BQ35,0))),0),"")</f>
        <v/>
      </c>
      <c r="BV36" s="66" t="str">
        <f aca="false">IF(BP36=1,IF(AL36="Loss",1+IF(BQ36=1,0,INDEX(BV$5:BV35,MATCH(BQ36-1,BQ$5:BQ35,0))),0),"")</f>
        <v/>
      </c>
    </row>
    <row r="37" customFormat="false" ht="18" hidden="false" customHeight="true" outlineLevel="0" collapsed="false">
      <c r="A37" s="66" t="str">
        <f aca="false">IF(B37="","",ROW()-5)</f>
        <v/>
      </c>
      <c r="B37" s="67"/>
      <c r="C37" s="68" t="str">
        <f aca="false">IF(B37="","",CHOOSE(WEEKDAY(B37,2),"Mon","Tue","Wed","Thu","Fri","Sat","Sun"))</f>
        <v/>
      </c>
      <c r="D37" s="66" t="str">
        <f aca="false">IF(B37="","",WEEKNUM(B37,2))</f>
        <v/>
      </c>
      <c r="E37" s="69"/>
      <c r="F37" s="69"/>
      <c r="G37" s="70"/>
      <c r="H37" s="70"/>
      <c r="I37" s="69"/>
      <c r="J37" s="69"/>
      <c r="K37" s="69"/>
      <c r="L37" s="71"/>
      <c r="M37" s="69"/>
      <c r="N37" s="69"/>
      <c r="O37" s="69"/>
      <c r="P37" s="71"/>
      <c r="Q37" s="69"/>
      <c r="R37" s="69"/>
      <c r="S37" s="69"/>
      <c r="T37" s="69"/>
      <c r="U37" s="69"/>
      <c r="V37" s="69"/>
      <c r="W37" s="69"/>
      <c r="X37" s="66" t="str">
        <f aca="false">IF(B37="","",COUNTIF(Q37:W37,"Yes"))</f>
        <v/>
      </c>
      <c r="Y37" s="68" t="str">
        <f aca="false">IF(B37="","",IF(X37&gt;=Settings!$C$16,"A+",IF(X37&gt;=Settings!$C$17,"A",IF(X37&gt;=Settings!$C$18,"B","C"))))</f>
        <v/>
      </c>
      <c r="Z37" s="72"/>
      <c r="AA37" s="72"/>
      <c r="AB37" s="72"/>
      <c r="AC37" s="72"/>
      <c r="AD37" s="72"/>
      <c r="AE37" s="72"/>
      <c r="AF37" s="73"/>
      <c r="AG37" s="74"/>
      <c r="AH37" s="75"/>
      <c r="AI37" s="76" t="str">
        <f aca="false">IF(B37="","",ROUND(IF(AG37="",Settings!$C$5,AG37)*AW37,2))</f>
        <v/>
      </c>
      <c r="AJ37" s="77" t="str">
        <f aca="false">IF(OR(B37="",AB37="",AC37="",AD37=""),"",IFERROR(ROUND(ABS(AD37-AB37)/ABS(AB37-AC37),2),""))</f>
        <v/>
      </c>
      <c r="AK37" s="78" t="str">
        <f aca="false">IF(OR(B37="",AB37="",AC37="",AE37=""),"",IFERROR(ROUND(IF(J37="Short",AB37-AE37,AE37-AB37)/ABS(AB37-AC37),2),""))</f>
        <v/>
      </c>
      <c r="AL37" s="68" t="str">
        <f aca="false">IF(AK37="","",IF(ABS(AK37)&lt;=Settings!$C$6,"BE",IF(AK37&gt;0,"Win","Loss")))</f>
        <v/>
      </c>
      <c r="AM37" s="79" t="str">
        <f aca="false">IF(OR(AK37="",AI37=""),"",ROUND(AK37*AI37-N(AH37),2))</f>
        <v/>
      </c>
      <c r="AN37" s="76" t="str">
        <f aca="false">IF(AM37="","",ROUND(BK37+SUMIFS(AM$6:AM37,BJ$6:BJ37,BJ37),2))</f>
        <v/>
      </c>
      <c r="AO37" s="78" t="str">
        <f aca="false">IF(AK37="","",ROUND(SUMIFS(AK$6:AK37,BJ$6:BJ37,BJ37),2))</f>
        <v/>
      </c>
      <c r="AP37" s="80" t="str">
        <f aca="false">IF(OR(AK37="",BL37=""),"",IFERROR(ROUND(IF(J37="Short",AB37-AE37,AE37-AB37)/BL37,1),""))</f>
        <v/>
      </c>
      <c r="AQ37" s="66" t="str">
        <f aca="false">IF(OR(G37="",H37=""),"",ROUND(MOD(H37-G37,1)*1440,0))</f>
        <v/>
      </c>
      <c r="AR37" s="68" t="str">
        <f aca="false">IF(AQ37="","",IF(AQ37&lt;15,"Under 15m",IF(AQ37&lt;60,"15-60m",IF(AQ37&lt;240,"1-4 hours","4+ hours"))))</f>
        <v/>
      </c>
      <c r="AS37" s="66" t="str">
        <f aca="false">IF(G37="","",HOUR(G37))</f>
        <v/>
      </c>
      <c r="AT37" s="80" t="str">
        <f aca="false">IF(OR(Z37="",AB37="",BL37=""),"",IFERROR(ROUND(IF(J37="Short",Z37-AB37,AB37-Z37)/BL37,1),""))</f>
        <v/>
      </c>
      <c r="AU37" s="68" t="str">
        <f aca="false">IF(OR(AA37="",AC37=""),"",IF(AA37=AC37,"No","Yes"))</f>
        <v/>
      </c>
      <c r="AV37" s="81" t="str">
        <f aca="false">IF(OR(B37="",BL37="",BM37="",AB37="",AC37=""),"",IFERROR(ROUND(AI37/(ABS(AB37-AC37)/BL37*BM37),2),""))</f>
        <v/>
      </c>
      <c r="AW37" s="76" t="str">
        <f aca="false">IF(B37="","",ROUND(BK37+SUMIFS(AM$5:AM36,BJ$5:BJ36,BJ37),2))</f>
        <v/>
      </c>
      <c r="AX37" s="66" t="str">
        <f aca="false">IF(B37="","",COUNTIFS(B$6:B37,B37,BJ$6:BJ37,BJ37))</f>
        <v/>
      </c>
      <c r="AY37" s="79" t="str">
        <f aca="false">IF(B37="","",ROUND(SUMIFS(AM$5:AM36,B$5:B36,B37,BJ$5:BJ36,BJ37),2))</f>
        <v/>
      </c>
      <c r="AZ37" s="79" t="str">
        <f aca="false">IF(AM37="","",ROUND(AY37+AM37,2))</f>
        <v/>
      </c>
      <c r="BA37" s="79" t="str">
        <f aca="false">IF(B37="","",ROUND(SUMIFS(AM$5:AM36,B$5:B36,"&gt;="&amp;(B37-WEEKDAY(B37,2)+1),B$5:B36,"&lt;="&amp;B37,BJ$5:BJ36,BJ37),2))</f>
        <v/>
      </c>
      <c r="BB37" s="68" t="str">
        <f aca="false">IF(B37="","",IF(AND(AF37&lt;&gt;"",AV37&lt;&gt;"",N(AF37)&gt;N(AV37)*(1+Settings!$C$13)),"Oversized",IF(AX37&gt;Settings!$C$10,"Overtraded",IF(AY37&lt;=-Settings!$C$11*(AW37-AY37),"Daily loss hit",IF(BA37&lt;=-Settings!$C$12*(AW37-BA37),"Weekly loss hit","OK")))))</f>
        <v/>
      </c>
      <c r="BC37" s="69"/>
      <c r="BD37" s="69"/>
      <c r="BE37" s="69"/>
      <c r="BF37" s="73"/>
      <c r="BG37" s="73"/>
      <c r="BH37" s="71"/>
      <c r="BI37" s="71"/>
      <c r="BJ37" s="68" t="str">
        <f aca="false">IF(B37="","",IF(E37="",Settings!$F$5,E37))</f>
        <v/>
      </c>
      <c r="BK37" s="76" t="str">
        <f aca="false">IF(B37="","",IFERROR(INDEX(Settings!$G$5:$G$10,MATCH(BJ37,Settings!$F$5:$F$10,0)),Settings!$G$5))</f>
        <v/>
      </c>
      <c r="BL37" s="82" t="str">
        <f aca="false">IF(I37="","",IFERROR(1/(1/INDEX(Lists!$C$6:$C$17,MATCH(I37,Lists!$B$6:$B$17,0))),""))</f>
        <v/>
      </c>
      <c r="BM37" s="81" t="str">
        <f aca="false">IF(I37="","",IFERROR(1/(1/INDEX(Lists!$D$6:$D$17,MATCH(I37,Lists!$B$6:$B$17,0))),""))</f>
        <v/>
      </c>
      <c r="BN37" s="76" t="str">
        <f aca="false">IF(AN37="","",MAX(BK37,_xlfn.MAXIFS(AN$6:AN37,BJ$6:BJ37,BJ37)))</f>
        <v/>
      </c>
      <c r="BO37" s="83" t="str">
        <f aca="false">IF(AN37="","",(AN37-BN37)/BN37)</f>
        <v/>
      </c>
      <c r="BP37" s="66" t="n">
        <f aca="false">IF(OR(B37="",AL37=""),0,IF(OR(Settings!$C$28="All Accounts",BJ37=Settings!$C$28),1,0))</f>
        <v>0</v>
      </c>
      <c r="BQ37" s="66" t="str">
        <f aca="false">IF(BP37=1,SUM(BP$6:BP37),"")</f>
        <v/>
      </c>
      <c r="BR37" s="76" t="str">
        <f aca="false">IF(BP37=1,ROUND(Settings!$C$29+SUMIFS(AM$6:AM37,BP$6:BP37,1),2),"")</f>
        <v/>
      </c>
      <c r="BS37" s="76" t="str">
        <f aca="false">IF(BP37=1,MAX(Settings!$C$29,MAX(BR$6:BR37)),"")</f>
        <v/>
      </c>
      <c r="BT37" s="83" t="str">
        <f aca="false">IF(BP37=1,(BR37-BS37)/BS37,"")</f>
        <v/>
      </c>
      <c r="BU37" s="66" t="str">
        <f aca="false">IF(BP37=1,IF(AL37="Win",1+IF(BQ37=1,0,INDEX(BU$5:BU36,MATCH(BQ37-1,BQ$5:BQ36,0))),0),"")</f>
        <v/>
      </c>
      <c r="BV37" s="66" t="str">
        <f aca="false">IF(BP37=1,IF(AL37="Loss",1+IF(BQ37=1,0,INDEX(BV$5:BV36,MATCH(BQ37-1,BQ$5:BQ36,0))),0),"")</f>
        <v/>
      </c>
    </row>
    <row r="38" customFormat="false" ht="18" hidden="false" customHeight="true" outlineLevel="0" collapsed="false">
      <c r="A38" s="66" t="str">
        <f aca="false">IF(B38="","",ROW()-5)</f>
        <v/>
      </c>
      <c r="B38" s="67"/>
      <c r="C38" s="68" t="str">
        <f aca="false">IF(B38="","",CHOOSE(WEEKDAY(B38,2),"Mon","Tue","Wed","Thu","Fri","Sat","Sun"))</f>
        <v/>
      </c>
      <c r="D38" s="66" t="str">
        <f aca="false">IF(B38="","",WEEKNUM(B38,2))</f>
        <v/>
      </c>
      <c r="E38" s="69"/>
      <c r="F38" s="69"/>
      <c r="G38" s="70"/>
      <c r="H38" s="70"/>
      <c r="I38" s="69"/>
      <c r="J38" s="69"/>
      <c r="K38" s="69"/>
      <c r="L38" s="71"/>
      <c r="M38" s="69"/>
      <c r="N38" s="69"/>
      <c r="O38" s="69"/>
      <c r="P38" s="71"/>
      <c r="Q38" s="69"/>
      <c r="R38" s="69"/>
      <c r="S38" s="69"/>
      <c r="T38" s="69"/>
      <c r="U38" s="69"/>
      <c r="V38" s="69"/>
      <c r="W38" s="69"/>
      <c r="X38" s="66" t="str">
        <f aca="false">IF(B38="","",COUNTIF(Q38:W38,"Yes"))</f>
        <v/>
      </c>
      <c r="Y38" s="68" t="str">
        <f aca="false">IF(B38="","",IF(X38&gt;=Settings!$C$16,"A+",IF(X38&gt;=Settings!$C$17,"A",IF(X38&gt;=Settings!$C$18,"B","C"))))</f>
        <v/>
      </c>
      <c r="Z38" s="72"/>
      <c r="AA38" s="72"/>
      <c r="AB38" s="72"/>
      <c r="AC38" s="72"/>
      <c r="AD38" s="72"/>
      <c r="AE38" s="72"/>
      <c r="AF38" s="73"/>
      <c r="AG38" s="74"/>
      <c r="AH38" s="75"/>
      <c r="AI38" s="76" t="str">
        <f aca="false">IF(B38="","",ROUND(IF(AG38="",Settings!$C$5,AG38)*AW38,2))</f>
        <v/>
      </c>
      <c r="AJ38" s="77" t="str">
        <f aca="false">IF(OR(B38="",AB38="",AC38="",AD38=""),"",IFERROR(ROUND(ABS(AD38-AB38)/ABS(AB38-AC38),2),""))</f>
        <v/>
      </c>
      <c r="AK38" s="78" t="str">
        <f aca="false">IF(OR(B38="",AB38="",AC38="",AE38=""),"",IFERROR(ROUND(IF(J38="Short",AB38-AE38,AE38-AB38)/ABS(AB38-AC38),2),""))</f>
        <v/>
      </c>
      <c r="AL38" s="68" t="str">
        <f aca="false">IF(AK38="","",IF(ABS(AK38)&lt;=Settings!$C$6,"BE",IF(AK38&gt;0,"Win","Loss")))</f>
        <v/>
      </c>
      <c r="AM38" s="79" t="str">
        <f aca="false">IF(OR(AK38="",AI38=""),"",ROUND(AK38*AI38-N(AH38),2))</f>
        <v/>
      </c>
      <c r="AN38" s="76" t="str">
        <f aca="false">IF(AM38="","",ROUND(BK38+SUMIFS(AM$6:AM38,BJ$6:BJ38,BJ38),2))</f>
        <v/>
      </c>
      <c r="AO38" s="78" t="str">
        <f aca="false">IF(AK38="","",ROUND(SUMIFS(AK$6:AK38,BJ$6:BJ38,BJ38),2))</f>
        <v/>
      </c>
      <c r="AP38" s="80" t="str">
        <f aca="false">IF(OR(AK38="",BL38=""),"",IFERROR(ROUND(IF(J38="Short",AB38-AE38,AE38-AB38)/BL38,1),""))</f>
        <v/>
      </c>
      <c r="AQ38" s="66" t="str">
        <f aca="false">IF(OR(G38="",H38=""),"",ROUND(MOD(H38-G38,1)*1440,0))</f>
        <v/>
      </c>
      <c r="AR38" s="68" t="str">
        <f aca="false">IF(AQ38="","",IF(AQ38&lt;15,"Under 15m",IF(AQ38&lt;60,"15-60m",IF(AQ38&lt;240,"1-4 hours","4+ hours"))))</f>
        <v/>
      </c>
      <c r="AS38" s="66" t="str">
        <f aca="false">IF(G38="","",HOUR(G38))</f>
        <v/>
      </c>
      <c r="AT38" s="80" t="str">
        <f aca="false">IF(OR(Z38="",AB38="",BL38=""),"",IFERROR(ROUND(IF(J38="Short",Z38-AB38,AB38-Z38)/BL38,1),""))</f>
        <v/>
      </c>
      <c r="AU38" s="68" t="str">
        <f aca="false">IF(OR(AA38="",AC38=""),"",IF(AA38=AC38,"No","Yes"))</f>
        <v/>
      </c>
      <c r="AV38" s="81" t="str">
        <f aca="false">IF(OR(B38="",BL38="",BM38="",AB38="",AC38=""),"",IFERROR(ROUND(AI38/(ABS(AB38-AC38)/BL38*BM38),2),""))</f>
        <v/>
      </c>
      <c r="AW38" s="76" t="str">
        <f aca="false">IF(B38="","",ROUND(BK38+SUMIFS(AM$5:AM37,BJ$5:BJ37,BJ38),2))</f>
        <v/>
      </c>
      <c r="AX38" s="66" t="str">
        <f aca="false">IF(B38="","",COUNTIFS(B$6:B38,B38,BJ$6:BJ38,BJ38))</f>
        <v/>
      </c>
      <c r="AY38" s="79" t="str">
        <f aca="false">IF(B38="","",ROUND(SUMIFS(AM$5:AM37,B$5:B37,B38,BJ$5:BJ37,BJ38),2))</f>
        <v/>
      </c>
      <c r="AZ38" s="79" t="str">
        <f aca="false">IF(AM38="","",ROUND(AY38+AM38,2))</f>
        <v/>
      </c>
      <c r="BA38" s="79" t="str">
        <f aca="false">IF(B38="","",ROUND(SUMIFS(AM$5:AM37,B$5:B37,"&gt;="&amp;(B38-WEEKDAY(B38,2)+1),B$5:B37,"&lt;="&amp;B38,BJ$5:BJ37,BJ38),2))</f>
        <v/>
      </c>
      <c r="BB38" s="68" t="str">
        <f aca="false">IF(B38="","",IF(AND(AF38&lt;&gt;"",AV38&lt;&gt;"",N(AF38)&gt;N(AV38)*(1+Settings!$C$13)),"Oversized",IF(AX38&gt;Settings!$C$10,"Overtraded",IF(AY38&lt;=-Settings!$C$11*(AW38-AY38),"Daily loss hit",IF(BA38&lt;=-Settings!$C$12*(AW38-BA38),"Weekly loss hit","OK")))))</f>
        <v/>
      </c>
      <c r="BC38" s="69"/>
      <c r="BD38" s="69"/>
      <c r="BE38" s="69"/>
      <c r="BF38" s="73"/>
      <c r="BG38" s="73"/>
      <c r="BH38" s="71"/>
      <c r="BI38" s="71"/>
      <c r="BJ38" s="68" t="str">
        <f aca="false">IF(B38="","",IF(E38="",Settings!$F$5,E38))</f>
        <v/>
      </c>
      <c r="BK38" s="76" t="str">
        <f aca="false">IF(B38="","",IFERROR(INDEX(Settings!$G$5:$G$10,MATCH(BJ38,Settings!$F$5:$F$10,0)),Settings!$G$5))</f>
        <v/>
      </c>
      <c r="BL38" s="82" t="str">
        <f aca="false">IF(I38="","",IFERROR(1/(1/INDEX(Lists!$C$6:$C$17,MATCH(I38,Lists!$B$6:$B$17,0))),""))</f>
        <v/>
      </c>
      <c r="BM38" s="81" t="str">
        <f aca="false">IF(I38="","",IFERROR(1/(1/INDEX(Lists!$D$6:$D$17,MATCH(I38,Lists!$B$6:$B$17,0))),""))</f>
        <v/>
      </c>
      <c r="BN38" s="76" t="str">
        <f aca="false">IF(AN38="","",MAX(BK38,_xlfn.MAXIFS(AN$6:AN38,BJ$6:BJ38,BJ38)))</f>
        <v/>
      </c>
      <c r="BO38" s="83" t="str">
        <f aca="false">IF(AN38="","",(AN38-BN38)/BN38)</f>
        <v/>
      </c>
      <c r="BP38" s="66" t="n">
        <f aca="false">IF(OR(B38="",AL38=""),0,IF(OR(Settings!$C$28="All Accounts",BJ38=Settings!$C$28),1,0))</f>
        <v>0</v>
      </c>
      <c r="BQ38" s="66" t="str">
        <f aca="false">IF(BP38=1,SUM(BP$6:BP38),"")</f>
        <v/>
      </c>
      <c r="BR38" s="76" t="str">
        <f aca="false">IF(BP38=1,ROUND(Settings!$C$29+SUMIFS(AM$6:AM38,BP$6:BP38,1),2),"")</f>
        <v/>
      </c>
      <c r="BS38" s="76" t="str">
        <f aca="false">IF(BP38=1,MAX(Settings!$C$29,MAX(BR$6:BR38)),"")</f>
        <v/>
      </c>
      <c r="BT38" s="83" t="str">
        <f aca="false">IF(BP38=1,(BR38-BS38)/BS38,"")</f>
        <v/>
      </c>
      <c r="BU38" s="66" t="str">
        <f aca="false">IF(BP38=1,IF(AL38="Win",1+IF(BQ38=1,0,INDEX(BU$5:BU37,MATCH(BQ38-1,BQ$5:BQ37,0))),0),"")</f>
        <v/>
      </c>
      <c r="BV38" s="66" t="str">
        <f aca="false">IF(BP38=1,IF(AL38="Loss",1+IF(BQ38=1,0,INDEX(BV$5:BV37,MATCH(BQ38-1,BQ$5:BQ37,0))),0),"")</f>
        <v/>
      </c>
    </row>
    <row r="39" customFormat="false" ht="18" hidden="false" customHeight="true" outlineLevel="0" collapsed="false">
      <c r="A39" s="66" t="str">
        <f aca="false">IF(B39="","",ROW()-5)</f>
        <v/>
      </c>
      <c r="B39" s="67"/>
      <c r="C39" s="68" t="str">
        <f aca="false">IF(B39="","",CHOOSE(WEEKDAY(B39,2),"Mon","Tue","Wed","Thu","Fri","Sat","Sun"))</f>
        <v/>
      </c>
      <c r="D39" s="66" t="str">
        <f aca="false">IF(B39="","",WEEKNUM(B39,2))</f>
        <v/>
      </c>
      <c r="E39" s="69"/>
      <c r="F39" s="69"/>
      <c r="G39" s="70"/>
      <c r="H39" s="70"/>
      <c r="I39" s="69"/>
      <c r="J39" s="69"/>
      <c r="K39" s="69"/>
      <c r="L39" s="71"/>
      <c r="M39" s="69"/>
      <c r="N39" s="69"/>
      <c r="O39" s="69"/>
      <c r="P39" s="71"/>
      <c r="Q39" s="69"/>
      <c r="R39" s="69"/>
      <c r="S39" s="69"/>
      <c r="T39" s="69"/>
      <c r="U39" s="69"/>
      <c r="V39" s="69"/>
      <c r="W39" s="69"/>
      <c r="X39" s="66" t="str">
        <f aca="false">IF(B39="","",COUNTIF(Q39:W39,"Yes"))</f>
        <v/>
      </c>
      <c r="Y39" s="68" t="str">
        <f aca="false">IF(B39="","",IF(X39&gt;=Settings!$C$16,"A+",IF(X39&gt;=Settings!$C$17,"A",IF(X39&gt;=Settings!$C$18,"B","C"))))</f>
        <v/>
      </c>
      <c r="Z39" s="72"/>
      <c r="AA39" s="72"/>
      <c r="AB39" s="72"/>
      <c r="AC39" s="72"/>
      <c r="AD39" s="72"/>
      <c r="AE39" s="72"/>
      <c r="AF39" s="73"/>
      <c r="AG39" s="74"/>
      <c r="AH39" s="75"/>
      <c r="AI39" s="76" t="str">
        <f aca="false">IF(B39="","",ROUND(IF(AG39="",Settings!$C$5,AG39)*AW39,2))</f>
        <v/>
      </c>
      <c r="AJ39" s="77" t="str">
        <f aca="false">IF(OR(B39="",AB39="",AC39="",AD39=""),"",IFERROR(ROUND(ABS(AD39-AB39)/ABS(AB39-AC39),2),""))</f>
        <v/>
      </c>
      <c r="AK39" s="78" t="str">
        <f aca="false">IF(OR(B39="",AB39="",AC39="",AE39=""),"",IFERROR(ROUND(IF(J39="Short",AB39-AE39,AE39-AB39)/ABS(AB39-AC39),2),""))</f>
        <v/>
      </c>
      <c r="AL39" s="68" t="str">
        <f aca="false">IF(AK39="","",IF(ABS(AK39)&lt;=Settings!$C$6,"BE",IF(AK39&gt;0,"Win","Loss")))</f>
        <v/>
      </c>
      <c r="AM39" s="79" t="str">
        <f aca="false">IF(OR(AK39="",AI39=""),"",ROUND(AK39*AI39-N(AH39),2))</f>
        <v/>
      </c>
      <c r="AN39" s="76" t="str">
        <f aca="false">IF(AM39="","",ROUND(BK39+SUMIFS(AM$6:AM39,BJ$6:BJ39,BJ39),2))</f>
        <v/>
      </c>
      <c r="AO39" s="78" t="str">
        <f aca="false">IF(AK39="","",ROUND(SUMIFS(AK$6:AK39,BJ$6:BJ39,BJ39),2))</f>
        <v/>
      </c>
      <c r="AP39" s="80" t="str">
        <f aca="false">IF(OR(AK39="",BL39=""),"",IFERROR(ROUND(IF(J39="Short",AB39-AE39,AE39-AB39)/BL39,1),""))</f>
        <v/>
      </c>
      <c r="AQ39" s="66" t="str">
        <f aca="false">IF(OR(G39="",H39=""),"",ROUND(MOD(H39-G39,1)*1440,0))</f>
        <v/>
      </c>
      <c r="AR39" s="68" t="str">
        <f aca="false">IF(AQ39="","",IF(AQ39&lt;15,"Under 15m",IF(AQ39&lt;60,"15-60m",IF(AQ39&lt;240,"1-4 hours","4+ hours"))))</f>
        <v/>
      </c>
      <c r="AS39" s="66" t="str">
        <f aca="false">IF(G39="","",HOUR(G39))</f>
        <v/>
      </c>
      <c r="AT39" s="80" t="str">
        <f aca="false">IF(OR(Z39="",AB39="",BL39=""),"",IFERROR(ROUND(IF(J39="Short",Z39-AB39,AB39-Z39)/BL39,1),""))</f>
        <v/>
      </c>
      <c r="AU39" s="68" t="str">
        <f aca="false">IF(OR(AA39="",AC39=""),"",IF(AA39=AC39,"No","Yes"))</f>
        <v/>
      </c>
      <c r="AV39" s="81" t="str">
        <f aca="false">IF(OR(B39="",BL39="",BM39="",AB39="",AC39=""),"",IFERROR(ROUND(AI39/(ABS(AB39-AC39)/BL39*BM39),2),""))</f>
        <v/>
      </c>
      <c r="AW39" s="76" t="str">
        <f aca="false">IF(B39="","",ROUND(BK39+SUMIFS(AM$5:AM38,BJ$5:BJ38,BJ39),2))</f>
        <v/>
      </c>
      <c r="AX39" s="66" t="str">
        <f aca="false">IF(B39="","",COUNTIFS(B$6:B39,B39,BJ$6:BJ39,BJ39))</f>
        <v/>
      </c>
      <c r="AY39" s="79" t="str">
        <f aca="false">IF(B39="","",ROUND(SUMIFS(AM$5:AM38,B$5:B38,B39,BJ$5:BJ38,BJ39),2))</f>
        <v/>
      </c>
      <c r="AZ39" s="79" t="str">
        <f aca="false">IF(AM39="","",ROUND(AY39+AM39,2))</f>
        <v/>
      </c>
      <c r="BA39" s="79" t="str">
        <f aca="false">IF(B39="","",ROUND(SUMIFS(AM$5:AM38,B$5:B38,"&gt;="&amp;(B39-WEEKDAY(B39,2)+1),B$5:B38,"&lt;="&amp;B39,BJ$5:BJ38,BJ39),2))</f>
        <v/>
      </c>
      <c r="BB39" s="68" t="str">
        <f aca="false">IF(B39="","",IF(AND(AF39&lt;&gt;"",AV39&lt;&gt;"",N(AF39)&gt;N(AV39)*(1+Settings!$C$13)),"Oversized",IF(AX39&gt;Settings!$C$10,"Overtraded",IF(AY39&lt;=-Settings!$C$11*(AW39-AY39),"Daily loss hit",IF(BA39&lt;=-Settings!$C$12*(AW39-BA39),"Weekly loss hit","OK")))))</f>
        <v/>
      </c>
      <c r="BC39" s="69"/>
      <c r="BD39" s="69"/>
      <c r="BE39" s="69"/>
      <c r="BF39" s="73"/>
      <c r="BG39" s="73"/>
      <c r="BH39" s="71"/>
      <c r="BI39" s="71"/>
      <c r="BJ39" s="68" t="str">
        <f aca="false">IF(B39="","",IF(E39="",Settings!$F$5,E39))</f>
        <v/>
      </c>
      <c r="BK39" s="76" t="str">
        <f aca="false">IF(B39="","",IFERROR(INDEX(Settings!$G$5:$G$10,MATCH(BJ39,Settings!$F$5:$F$10,0)),Settings!$G$5))</f>
        <v/>
      </c>
      <c r="BL39" s="82" t="str">
        <f aca="false">IF(I39="","",IFERROR(1/(1/INDEX(Lists!$C$6:$C$17,MATCH(I39,Lists!$B$6:$B$17,0))),""))</f>
        <v/>
      </c>
      <c r="BM39" s="81" t="str">
        <f aca="false">IF(I39="","",IFERROR(1/(1/INDEX(Lists!$D$6:$D$17,MATCH(I39,Lists!$B$6:$B$17,0))),""))</f>
        <v/>
      </c>
      <c r="BN39" s="76" t="str">
        <f aca="false">IF(AN39="","",MAX(BK39,_xlfn.MAXIFS(AN$6:AN39,BJ$6:BJ39,BJ39)))</f>
        <v/>
      </c>
      <c r="BO39" s="83" t="str">
        <f aca="false">IF(AN39="","",(AN39-BN39)/BN39)</f>
        <v/>
      </c>
      <c r="BP39" s="66" t="n">
        <f aca="false">IF(OR(B39="",AL39=""),0,IF(OR(Settings!$C$28="All Accounts",BJ39=Settings!$C$28),1,0))</f>
        <v>0</v>
      </c>
      <c r="BQ39" s="66" t="str">
        <f aca="false">IF(BP39=1,SUM(BP$6:BP39),"")</f>
        <v/>
      </c>
      <c r="BR39" s="76" t="str">
        <f aca="false">IF(BP39=1,ROUND(Settings!$C$29+SUMIFS(AM$6:AM39,BP$6:BP39,1),2),"")</f>
        <v/>
      </c>
      <c r="BS39" s="76" t="str">
        <f aca="false">IF(BP39=1,MAX(Settings!$C$29,MAX(BR$6:BR39)),"")</f>
        <v/>
      </c>
      <c r="BT39" s="83" t="str">
        <f aca="false">IF(BP39=1,(BR39-BS39)/BS39,"")</f>
        <v/>
      </c>
      <c r="BU39" s="66" t="str">
        <f aca="false">IF(BP39=1,IF(AL39="Win",1+IF(BQ39=1,0,INDEX(BU$5:BU38,MATCH(BQ39-1,BQ$5:BQ38,0))),0),"")</f>
        <v/>
      </c>
      <c r="BV39" s="66" t="str">
        <f aca="false">IF(BP39=1,IF(AL39="Loss",1+IF(BQ39=1,0,INDEX(BV$5:BV38,MATCH(BQ39-1,BQ$5:BQ38,0))),0),"")</f>
        <v/>
      </c>
    </row>
    <row r="40" customFormat="false" ht="15" hidden="false" customHeight="false" outlineLevel="0" collapsed="false">
      <c r="A40" s="66" t="str">
        <f aca="false">IF(B40="","",ROW()-5)</f>
        <v/>
      </c>
      <c r="B40" s="67"/>
      <c r="C40" s="68" t="str">
        <f aca="false">IF(B40="","",CHOOSE(WEEKDAY(B40,2),"Mon","Tue","Wed","Thu","Fri","Sat","Sun"))</f>
        <v/>
      </c>
      <c r="D40" s="66" t="str">
        <f aca="false">IF(B40="","",WEEKNUM(B40,2))</f>
        <v/>
      </c>
      <c r="E40" s="69"/>
      <c r="F40" s="69"/>
      <c r="G40" s="70"/>
      <c r="H40" s="70"/>
      <c r="I40" s="69"/>
      <c r="J40" s="69"/>
      <c r="K40" s="69"/>
      <c r="L40" s="71"/>
      <c r="M40" s="69"/>
      <c r="N40" s="69"/>
      <c r="O40" s="69"/>
      <c r="P40" s="71"/>
      <c r="Q40" s="69"/>
      <c r="R40" s="69"/>
      <c r="S40" s="69"/>
      <c r="T40" s="69"/>
      <c r="U40" s="69"/>
      <c r="V40" s="69"/>
      <c r="W40" s="69"/>
      <c r="X40" s="66" t="str">
        <f aca="false">IF(B40="","",COUNTIF(Q40:W40,"Yes"))</f>
        <v/>
      </c>
      <c r="Y40" s="68" t="str">
        <f aca="false">IF(B40="","",IF(X40&gt;=Settings!$C$16,"A+",IF(X40&gt;=Settings!$C$17,"A",IF(X40&gt;=Settings!$C$18,"B","C"))))</f>
        <v/>
      </c>
      <c r="Z40" s="72"/>
      <c r="AA40" s="72"/>
      <c r="AB40" s="72"/>
      <c r="AC40" s="72"/>
      <c r="AD40" s="72"/>
      <c r="AE40" s="72"/>
      <c r="AF40" s="73"/>
      <c r="AG40" s="74"/>
      <c r="AH40" s="75"/>
      <c r="AI40" s="76" t="str">
        <f aca="false">IF(B40="","",ROUND(IF(AG40="",Settings!$C$5,AG40)*AW40,2))</f>
        <v/>
      </c>
      <c r="AJ40" s="77" t="str">
        <f aca="false">IF(OR(B40="",AB40="",AC40="",AD40=""),"",IFERROR(ROUND(ABS(AD40-AB40)/ABS(AB40-AC40),2),""))</f>
        <v/>
      </c>
      <c r="AK40" s="78" t="str">
        <f aca="false">IF(OR(B40="",AB40="",AC40="",AE40=""),"",IFERROR(ROUND(IF(J40="Short",AB40-AE40,AE40-AB40)/ABS(AB40-AC40),2),""))</f>
        <v/>
      </c>
      <c r="AL40" s="68" t="str">
        <f aca="false">IF(AK40="","",IF(ABS(AK40)&lt;=Settings!$C$6,"BE",IF(AK40&gt;0,"Win","Loss")))</f>
        <v/>
      </c>
      <c r="AM40" s="79" t="str">
        <f aca="false">IF(OR(AK40="",AI40=""),"",ROUND(AK40*AI40-N(AH40),2))</f>
        <v/>
      </c>
      <c r="AN40" s="76" t="str">
        <f aca="false">IF(AM40="","",ROUND(BK40+SUMIFS(AM$6:AM40,BJ$6:BJ40,BJ40),2))</f>
        <v/>
      </c>
      <c r="AO40" s="78" t="str">
        <f aca="false">IF(AK40="","",ROUND(SUMIFS(AK$6:AK40,BJ$6:BJ40,BJ40),2))</f>
        <v/>
      </c>
      <c r="AP40" s="80" t="str">
        <f aca="false">IF(OR(AK40="",BL40=""),"",IFERROR(ROUND(IF(J40="Short",AB40-AE40,AE40-AB40)/BL40,1),""))</f>
        <v/>
      </c>
      <c r="AQ40" s="66" t="str">
        <f aca="false">IF(OR(G40="",H40=""),"",ROUND(MOD(H40-G40,1)*1440,0))</f>
        <v/>
      </c>
      <c r="AR40" s="68" t="str">
        <f aca="false">IF(AQ40="","",IF(AQ40&lt;15,"Under 15m",IF(AQ40&lt;60,"15-60m",IF(AQ40&lt;240,"1-4 hours","4+ hours"))))</f>
        <v/>
      </c>
      <c r="AS40" s="66" t="str">
        <f aca="false">IF(G40="","",HOUR(G40))</f>
        <v/>
      </c>
      <c r="AT40" s="80" t="str">
        <f aca="false">IF(OR(Z40="",AB40="",BL40=""),"",IFERROR(ROUND(IF(J40="Short",Z40-AB40,AB40-Z40)/BL40,1),""))</f>
        <v/>
      </c>
      <c r="AU40" s="68" t="str">
        <f aca="false">IF(OR(AA40="",AC40=""),"",IF(AA40=AC40,"No","Yes"))</f>
        <v/>
      </c>
      <c r="AV40" s="81" t="str">
        <f aca="false">IF(OR(B40="",BL40="",BM40="",AB40="",AC40=""),"",IFERROR(ROUND(AI40/(ABS(AB40-AC40)/BL40*BM40),2),""))</f>
        <v/>
      </c>
      <c r="AW40" s="76" t="str">
        <f aca="false">IF(B40="","",ROUND(BK40+SUMIFS(AM$5:AM39,BJ$5:BJ39,BJ40),2))</f>
        <v/>
      </c>
      <c r="AX40" s="66" t="str">
        <f aca="false">IF(B40="","",COUNTIFS(B$6:B40,B40,BJ$6:BJ40,BJ40))</f>
        <v/>
      </c>
      <c r="AY40" s="79" t="str">
        <f aca="false">IF(B40="","",ROUND(SUMIFS(AM$5:AM39,B$5:B39,B40,BJ$5:BJ39,BJ40),2))</f>
        <v/>
      </c>
      <c r="AZ40" s="79" t="str">
        <f aca="false">IF(AM40="","",ROUND(AY40+AM40,2))</f>
        <v/>
      </c>
      <c r="BA40" s="79" t="str">
        <f aca="false">IF(B40="","",ROUND(SUMIFS(AM$5:AM39,B$5:B39,"&gt;="&amp;(B40-WEEKDAY(B40,2)+1),B$5:B39,"&lt;="&amp;B40,BJ$5:BJ39,BJ40),2))</f>
        <v/>
      </c>
      <c r="BB40" s="68" t="str">
        <f aca="false">IF(B40="","",IF(AND(AF40&lt;&gt;"",AV40&lt;&gt;"",N(AF40)&gt;N(AV40)*(1+Settings!$C$13)),"Oversized",IF(AX40&gt;Settings!$C$10,"Overtraded",IF(AY40&lt;=-Settings!$C$11*(AW40-AY40),"Daily loss hit",IF(BA40&lt;=-Settings!$C$12*(AW40-BA40),"Weekly loss hit","OK")))))</f>
        <v/>
      </c>
      <c r="BC40" s="69"/>
      <c r="BD40" s="69"/>
      <c r="BE40" s="69"/>
      <c r="BF40" s="73"/>
      <c r="BG40" s="73"/>
      <c r="BH40" s="71"/>
      <c r="BI40" s="71"/>
      <c r="BJ40" s="68" t="str">
        <f aca="false">IF(B40="","",IF(E40="",Settings!$F$5,E40))</f>
        <v/>
      </c>
      <c r="BK40" s="76" t="str">
        <f aca="false">IF(B40="","",IFERROR(INDEX(Settings!$G$5:$G$10,MATCH(BJ40,Settings!$F$5:$F$10,0)),Settings!$G$5))</f>
        <v/>
      </c>
      <c r="BL40" s="82" t="str">
        <f aca="false">IF(I40="","",IFERROR(1/(1/INDEX(Lists!$C$6:$C$17,MATCH(I40,Lists!$B$6:$B$17,0))),""))</f>
        <v/>
      </c>
      <c r="BM40" s="81" t="str">
        <f aca="false">IF(I40="","",IFERROR(1/(1/INDEX(Lists!$D$6:$D$17,MATCH(I40,Lists!$B$6:$B$17,0))),""))</f>
        <v/>
      </c>
      <c r="BN40" s="76" t="str">
        <f aca="false">IF(AN40="","",MAX(BK40,_xlfn.MAXIFS(AN$6:AN40,BJ$6:BJ40,BJ40)))</f>
        <v/>
      </c>
      <c r="BO40" s="83" t="str">
        <f aca="false">IF(AN40="","",(AN40-BN40)/BN40)</f>
        <v/>
      </c>
      <c r="BP40" s="66" t="n">
        <f aca="false">IF(OR(B40="",AL40=""),0,IF(OR(Settings!$C$28="All Accounts",BJ40=Settings!$C$28),1,0))</f>
        <v>0</v>
      </c>
      <c r="BQ40" s="66" t="str">
        <f aca="false">IF(BP40=1,SUM(BP$6:BP40),"")</f>
        <v/>
      </c>
      <c r="BR40" s="76" t="str">
        <f aca="false">IF(BP40=1,ROUND(Settings!$C$29+SUMIFS(AM$6:AM40,BP$6:BP40,1),2),"")</f>
        <v/>
      </c>
      <c r="BS40" s="76" t="str">
        <f aca="false">IF(BP40=1,MAX(Settings!$C$29,MAX(BR$6:BR40)),"")</f>
        <v/>
      </c>
      <c r="BT40" s="83" t="str">
        <f aca="false">IF(BP40=1,(BR40-BS40)/BS40,"")</f>
        <v/>
      </c>
      <c r="BU40" s="66" t="str">
        <f aca="false">IF(BP40=1,IF(AL40="Win",1+IF(BQ40=1,0,INDEX(BU$5:BU39,MATCH(BQ40-1,BQ$5:BQ39,0))),0),"")</f>
        <v/>
      </c>
      <c r="BV40" s="66" t="str">
        <f aca="false">IF(BP40=1,IF(AL40="Loss",1+IF(BQ40=1,0,INDEX(BV$5:BV39,MATCH(BQ40-1,BQ$5:BQ39,0))),0),"")</f>
        <v/>
      </c>
    </row>
    <row r="41" customFormat="false" ht="15" hidden="false" customHeight="false" outlineLevel="0" collapsed="false">
      <c r="A41" s="66" t="str">
        <f aca="false">IF(B41="","",ROW()-5)</f>
        <v/>
      </c>
      <c r="B41" s="67"/>
      <c r="C41" s="68" t="str">
        <f aca="false">IF(B41="","",CHOOSE(WEEKDAY(B41,2),"Mon","Tue","Wed","Thu","Fri","Sat","Sun"))</f>
        <v/>
      </c>
      <c r="D41" s="66" t="str">
        <f aca="false">IF(B41="","",WEEKNUM(B41,2))</f>
        <v/>
      </c>
      <c r="E41" s="69"/>
      <c r="F41" s="69"/>
      <c r="G41" s="70"/>
      <c r="H41" s="70"/>
      <c r="I41" s="69"/>
      <c r="J41" s="69"/>
      <c r="K41" s="69"/>
      <c r="L41" s="71"/>
      <c r="M41" s="69"/>
      <c r="N41" s="69"/>
      <c r="O41" s="69"/>
      <c r="P41" s="71"/>
      <c r="Q41" s="69"/>
      <c r="R41" s="69"/>
      <c r="S41" s="69"/>
      <c r="T41" s="69"/>
      <c r="U41" s="69"/>
      <c r="V41" s="69"/>
      <c r="W41" s="69"/>
      <c r="X41" s="66" t="str">
        <f aca="false">IF(B41="","",COUNTIF(Q41:W41,"Yes"))</f>
        <v/>
      </c>
      <c r="Y41" s="68" t="str">
        <f aca="false">IF(B41="","",IF(X41&gt;=Settings!$C$16,"A+",IF(X41&gt;=Settings!$C$17,"A",IF(X41&gt;=Settings!$C$18,"B","C"))))</f>
        <v/>
      </c>
      <c r="Z41" s="72"/>
      <c r="AA41" s="72"/>
      <c r="AB41" s="72"/>
      <c r="AC41" s="72"/>
      <c r="AD41" s="72"/>
      <c r="AE41" s="72"/>
      <c r="AF41" s="73"/>
      <c r="AG41" s="74"/>
      <c r="AH41" s="75"/>
      <c r="AI41" s="76" t="str">
        <f aca="false">IF(B41="","",ROUND(IF(AG41="",Settings!$C$5,AG41)*AW41,2))</f>
        <v/>
      </c>
      <c r="AJ41" s="77" t="str">
        <f aca="false">IF(OR(B41="",AB41="",AC41="",AD41=""),"",IFERROR(ROUND(ABS(AD41-AB41)/ABS(AB41-AC41),2),""))</f>
        <v/>
      </c>
      <c r="AK41" s="78" t="str">
        <f aca="false">IF(OR(B41="",AB41="",AC41="",AE41=""),"",IFERROR(ROUND(IF(J41="Short",AB41-AE41,AE41-AB41)/ABS(AB41-AC41),2),""))</f>
        <v/>
      </c>
      <c r="AL41" s="68" t="str">
        <f aca="false">IF(AK41="","",IF(ABS(AK41)&lt;=Settings!$C$6,"BE",IF(AK41&gt;0,"Win","Loss")))</f>
        <v/>
      </c>
      <c r="AM41" s="79" t="str">
        <f aca="false">IF(OR(AK41="",AI41=""),"",ROUND(AK41*AI41-N(AH41),2))</f>
        <v/>
      </c>
      <c r="AN41" s="76" t="str">
        <f aca="false">IF(AM41="","",ROUND(BK41+SUMIFS(AM$6:AM41,BJ$6:BJ41,BJ41),2))</f>
        <v/>
      </c>
      <c r="AO41" s="78" t="str">
        <f aca="false">IF(AK41="","",ROUND(SUMIFS(AK$6:AK41,BJ$6:BJ41,BJ41),2))</f>
        <v/>
      </c>
      <c r="AP41" s="80" t="str">
        <f aca="false">IF(OR(AK41="",BL41=""),"",IFERROR(ROUND(IF(J41="Short",AB41-AE41,AE41-AB41)/BL41,1),""))</f>
        <v/>
      </c>
      <c r="AQ41" s="66" t="str">
        <f aca="false">IF(OR(G41="",H41=""),"",ROUND(MOD(H41-G41,1)*1440,0))</f>
        <v/>
      </c>
      <c r="AR41" s="68" t="str">
        <f aca="false">IF(AQ41="","",IF(AQ41&lt;15,"Under 15m",IF(AQ41&lt;60,"15-60m",IF(AQ41&lt;240,"1-4 hours","4+ hours"))))</f>
        <v/>
      </c>
      <c r="AS41" s="66" t="str">
        <f aca="false">IF(G41="","",HOUR(G41))</f>
        <v/>
      </c>
      <c r="AT41" s="80" t="str">
        <f aca="false">IF(OR(Z41="",AB41="",BL41=""),"",IFERROR(ROUND(IF(J41="Short",Z41-AB41,AB41-Z41)/BL41,1),""))</f>
        <v/>
      </c>
      <c r="AU41" s="68" t="str">
        <f aca="false">IF(OR(AA41="",AC41=""),"",IF(AA41=AC41,"No","Yes"))</f>
        <v/>
      </c>
      <c r="AV41" s="81" t="str">
        <f aca="false">IF(OR(B41="",BL41="",BM41="",AB41="",AC41=""),"",IFERROR(ROUND(AI41/(ABS(AB41-AC41)/BL41*BM41),2),""))</f>
        <v/>
      </c>
      <c r="AW41" s="76" t="str">
        <f aca="false">IF(B41="","",ROUND(BK41+SUMIFS(AM$5:AM40,BJ$5:BJ40,BJ41),2))</f>
        <v/>
      </c>
      <c r="AX41" s="66" t="str">
        <f aca="false">IF(B41="","",COUNTIFS(B$6:B41,B41,BJ$6:BJ41,BJ41))</f>
        <v/>
      </c>
      <c r="AY41" s="79" t="str">
        <f aca="false">IF(B41="","",ROUND(SUMIFS(AM$5:AM40,B$5:B40,B41,BJ$5:BJ40,BJ41),2))</f>
        <v/>
      </c>
      <c r="AZ41" s="79" t="str">
        <f aca="false">IF(AM41="","",ROUND(AY41+AM41,2))</f>
        <v/>
      </c>
      <c r="BA41" s="79" t="str">
        <f aca="false">IF(B41="","",ROUND(SUMIFS(AM$5:AM40,B$5:B40,"&gt;="&amp;(B41-WEEKDAY(B41,2)+1),B$5:B40,"&lt;="&amp;B41,BJ$5:BJ40,BJ41),2))</f>
        <v/>
      </c>
      <c r="BB41" s="68" t="str">
        <f aca="false">IF(B41="","",IF(AND(AF41&lt;&gt;"",AV41&lt;&gt;"",N(AF41)&gt;N(AV41)*(1+Settings!$C$13)),"Oversized",IF(AX41&gt;Settings!$C$10,"Overtraded",IF(AY41&lt;=-Settings!$C$11*(AW41-AY41),"Daily loss hit",IF(BA41&lt;=-Settings!$C$12*(AW41-BA41),"Weekly loss hit","OK")))))</f>
        <v/>
      </c>
      <c r="BC41" s="69"/>
      <c r="BD41" s="69"/>
      <c r="BE41" s="69"/>
      <c r="BF41" s="73"/>
      <c r="BG41" s="73"/>
      <c r="BH41" s="71"/>
      <c r="BI41" s="71"/>
      <c r="BJ41" s="68" t="str">
        <f aca="false">IF(B41="","",IF(E41="",Settings!$F$5,E41))</f>
        <v/>
      </c>
      <c r="BK41" s="76" t="str">
        <f aca="false">IF(B41="","",IFERROR(INDEX(Settings!$G$5:$G$10,MATCH(BJ41,Settings!$F$5:$F$10,0)),Settings!$G$5))</f>
        <v/>
      </c>
      <c r="BL41" s="82" t="str">
        <f aca="false">IF(I41="","",IFERROR(1/(1/INDEX(Lists!$C$6:$C$17,MATCH(I41,Lists!$B$6:$B$17,0))),""))</f>
        <v/>
      </c>
      <c r="BM41" s="81" t="str">
        <f aca="false">IF(I41="","",IFERROR(1/(1/INDEX(Lists!$D$6:$D$17,MATCH(I41,Lists!$B$6:$B$17,0))),""))</f>
        <v/>
      </c>
      <c r="BN41" s="76" t="str">
        <f aca="false">IF(AN41="","",MAX(BK41,_xlfn.MAXIFS(AN$6:AN41,BJ$6:BJ41,BJ41)))</f>
        <v/>
      </c>
      <c r="BO41" s="83" t="str">
        <f aca="false">IF(AN41="","",(AN41-BN41)/BN41)</f>
        <v/>
      </c>
      <c r="BP41" s="66" t="n">
        <f aca="false">IF(OR(B41="",AL41=""),0,IF(OR(Settings!$C$28="All Accounts",BJ41=Settings!$C$28),1,0))</f>
        <v>0</v>
      </c>
      <c r="BQ41" s="66" t="str">
        <f aca="false">IF(BP41=1,SUM(BP$6:BP41),"")</f>
        <v/>
      </c>
      <c r="BR41" s="76" t="str">
        <f aca="false">IF(BP41=1,ROUND(Settings!$C$29+SUMIFS(AM$6:AM41,BP$6:BP41,1),2),"")</f>
        <v/>
      </c>
      <c r="BS41" s="76" t="str">
        <f aca="false">IF(BP41=1,MAX(Settings!$C$29,MAX(BR$6:BR41)),"")</f>
        <v/>
      </c>
      <c r="BT41" s="83" t="str">
        <f aca="false">IF(BP41=1,(BR41-BS41)/BS41,"")</f>
        <v/>
      </c>
      <c r="BU41" s="66" t="str">
        <f aca="false">IF(BP41=1,IF(AL41="Win",1+IF(BQ41=1,0,INDEX(BU$5:BU40,MATCH(BQ41-1,BQ$5:BQ40,0))),0),"")</f>
        <v/>
      </c>
      <c r="BV41" s="66" t="str">
        <f aca="false">IF(BP41=1,IF(AL41="Loss",1+IF(BQ41=1,0,INDEX(BV$5:BV40,MATCH(BQ41-1,BQ$5:BQ40,0))),0),"")</f>
        <v/>
      </c>
    </row>
    <row r="42" customFormat="false" ht="15" hidden="false" customHeight="false" outlineLevel="0" collapsed="false">
      <c r="A42" s="66" t="str">
        <f aca="false">IF(B42="","",ROW()-5)</f>
        <v/>
      </c>
      <c r="B42" s="67"/>
      <c r="C42" s="68" t="str">
        <f aca="false">IF(B42="","",CHOOSE(WEEKDAY(B42,2),"Mon","Tue","Wed","Thu","Fri","Sat","Sun"))</f>
        <v/>
      </c>
      <c r="D42" s="66" t="str">
        <f aca="false">IF(B42="","",WEEKNUM(B42,2))</f>
        <v/>
      </c>
      <c r="E42" s="69"/>
      <c r="F42" s="69"/>
      <c r="G42" s="70"/>
      <c r="H42" s="70"/>
      <c r="I42" s="69"/>
      <c r="J42" s="69"/>
      <c r="K42" s="69"/>
      <c r="L42" s="71"/>
      <c r="M42" s="69"/>
      <c r="N42" s="69"/>
      <c r="O42" s="69"/>
      <c r="P42" s="71"/>
      <c r="Q42" s="69"/>
      <c r="R42" s="69"/>
      <c r="S42" s="69"/>
      <c r="T42" s="69"/>
      <c r="U42" s="69"/>
      <c r="V42" s="69"/>
      <c r="W42" s="69"/>
      <c r="X42" s="66" t="str">
        <f aca="false">IF(B42="","",COUNTIF(Q42:W42,"Yes"))</f>
        <v/>
      </c>
      <c r="Y42" s="68" t="str">
        <f aca="false">IF(B42="","",IF(X42&gt;=Settings!$C$16,"A+",IF(X42&gt;=Settings!$C$17,"A",IF(X42&gt;=Settings!$C$18,"B","C"))))</f>
        <v/>
      </c>
      <c r="Z42" s="72"/>
      <c r="AA42" s="72"/>
      <c r="AB42" s="72"/>
      <c r="AC42" s="72"/>
      <c r="AD42" s="72"/>
      <c r="AE42" s="72"/>
      <c r="AF42" s="73"/>
      <c r="AG42" s="74"/>
      <c r="AH42" s="75"/>
      <c r="AI42" s="76" t="str">
        <f aca="false">IF(B42="","",ROUND(IF(AG42="",Settings!$C$5,AG42)*AW42,2))</f>
        <v/>
      </c>
      <c r="AJ42" s="77" t="str">
        <f aca="false">IF(OR(B42="",AB42="",AC42="",AD42=""),"",IFERROR(ROUND(ABS(AD42-AB42)/ABS(AB42-AC42),2),""))</f>
        <v/>
      </c>
      <c r="AK42" s="78" t="str">
        <f aca="false">IF(OR(B42="",AB42="",AC42="",AE42=""),"",IFERROR(ROUND(IF(J42="Short",AB42-AE42,AE42-AB42)/ABS(AB42-AC42),2),""))</f>
        <v/>
      </c>
      <c r="AL42" s="68" t="str">
        <f aca="false">IF(AK42="","",IF(ABS(AK42)&lt;=Settings!$C$6,"BE",IF(AK42&gt;0,"Win","Loss")))</f>
        <v/>
      </c>
      <c r="AM42" s="79" t="str">
        <f aca="false">IF(OR(AK42="",AI42=""),"",ROUND(AK42*AI42-N(AH42),2))</f>
        <v/>
      </c>
      <c r="AN42" s="76" t="str">
        <f aca="false">IF(AM42="","",ROUND(BK42+SUMIFS(AM$6:AM42,BJ$6:BJ42,BJ42),2))</f>
        <v/>
      </c>
      <c r="AO42" s="78" t="str">
        <f aca="false">IF(AK42="","",ROUND(SUMIFS(AK$6:AK42,BJ$6:BJ42,BJ42),2))</f>
        <v/>
      </c>
      <c r="AP42" s="80" t="str">
        <f aca="false">IF(OR(AK42="",BL42=""),"",IFERROR(ROUND(IF(J42="Short",AB42-AE42,AE42-AB42)/BL42,1),""))</f>
        <v/>
      </c>
      <c r="AQ42" s="66" t="str">
        <f aca="false">IF(OR(G42="",H42=""),"",ROUND(MOD(H42-G42,1)*1440,0))</f>
        <v/>
      </c>
      <c r="AR42" s="68" t="str">
        <f aca="false">IF(AQ42="","",IF(AQ42&lt;15,"Under 15m",IF(AQ42&lt;60,"15-60m",IF(AQ42&lt;240,"1-4 hours","4+ hours"))))</f>
        <v/>
      </c>
      <c r="AS42" s="66" t="str">
        <f aca="false">IF(G42="","",HOUR(G42))</f>
        <v/>
      </c>
      <c r="AT42" s="80" t="str">
        <f aca="false">IF(OR(Z42="",AB42="",BL42=""),"",IFERROR(ROUND(IF(J42="Short",Z42-AB42,AB42-Z42)/BL42,1),""))</f>
        <v/>
      </c>
      <c r="AU42" s="68" t="str">
        <f aca="false">IF(OR(AA42="",AC42=""),"",IF(AA42=AC42,"No","Yes"))</f>
        <v/>
      </c>
      <c r="AV42" s="81" t="str">
        <f aca="false">IF(OR(B42="",BL42="",BM42="",AB42="",AC42=""),"",IFERROR(ROUND(AI42/(ABS(AB42-AC42)/BL42*BM42),2),""))</f>
        <v/>
      </c>
      <c r="AW42" s="76" t="str">
        <f aca="false">IF(B42="","",ROUND(BK42+SUMIFS(AM$5:AM41,BJ$5:BJ41,BJ42),2))</f>
        <v/>
      </c>
      <c r="AX42" s="66" t="str">
        <f aca="false">IF(B42="","",COUNTIFS(B$6:B42,B42,BJ$6:BJ42,BJ42))</f>
        <v/>
      </c>
      <c r="AY42" s="79" t="str">
        <f aca="false">IF(B42="","",ROUND(SUMIFS(AM$5:AM41,B$5:B41,B42,BJ$5:BJ41,BJ42),2))</f>
        <v/>
      </c>
      <c r="AZ42" s="79" t="str">
        <f aca="false">IF(AM42="","",ROUND(AY42+AM42,2))</f>
        <v/>
      </c>
      <c r="BA42" s="79" t="str">
        <f aca="false">IF(B42="","",ROUND(SUMIFS(AM$5:AM41,B$5:B41,"&gt;="&amp;(B42-WEEKDAY(B42,2)+1),B$5:B41,"&lt;="&amp;B42,BJ$5:BJ41,BJ42),2))</f>
        <v/>
      </c>
      <c r="BB42" s="68" t="str">
        <f aca="false">IF(B42="","",IF(AND(AF42&lt;&gt;"",AV42&lt;&gt;"",N(AF42)&gt;N(AV42)*(1+Settings!$C$13)),"Oversized",IF(AX42&gt;Settings!$C$10,"Overtraded",IF(AY42&lt;=-Settings!$C$11*(AW42-AY42),"Daily loss hit",IF(BA42&lt;=-Settings!$C$12*(AW42-BA42),"Weekly loss hit","OK")))))</f>
        <v/>
      </c>
      <c r="BC42" s="69"/>
      <c r="BD42" s="69"/>
      <c r="BE42" s="69"/>
      <c r="BF42" s="73"/>
      <c r="BG42" s="73"/>
      <c r="BH42" s="71"/>
      <c r="BI42" s="71"/>
      <c r="BJ42" s="68" t="str">
        <f aca="false">IF(B42="","",IF(E42="",Settings!$F$5,E42))</f>
        <v/>
      </c>
      <c r="BK42" s="76" t="str">
        <f aca="false">IF(B42="","",IFERROR(INDEX(Settings!$G$5:$G$10,MATCH(BJ42,Settings!$F$5:$F$10,0)),Settings!$G$5))</f>
        <v/>
      </c>
      <c r="BL42" s="82" t="str">
        <f aca="false">IF(I42="","",IFERROR(1/(1/INDEX(Lists!$C$6:$C$17,MATCH(I42,Lists!$B$6:$B$17,0))),""))</f>
        <v/>
      </c>
      <c r="BM42" s="81" t="str">
        <f aca="false">IF(I42="","",IFERROR(1/(1/INDEX(Lists!$D$6:$D$17,MATCH(I42,Lists!$B$6:$B$17,0))),""))</f>
        <v/>
      </c>
      <c r="BN42" s="76" t="str">
        <f aca="false">IF(AN42="","",MAX(BK42,_xlfn.MAXIFS(AN$6:AN42,BJ$6:BJ42,BJ42)))</f>
        <v/>
      </c>
      <c r="BO42" s="83" t="str">
        <f aca="false">IF(AN42="","",(AN42-BN42)/BN42)</f>
        <v/>
      </c>
      <c r="BP42" s="66" t="n">
        <f aca="false">IF(OR(B42="",AL42=""),0,IF(OR(Settings!$C$28="All Accounts",BJ42=Settings!$C$28),1,0))</f>
        <v>0</v>
      </c>
      <c r="BQ42" s="66" t="str">
        <f aca="false">IF(BP42=1,SUM(BP$6:BP42),"")</f>
        <v/>
      </c>
      <c r="BR42" s="76" t="str">
        <f aca="false">IF(BP42=1,ROUND(Settings!$C$29+SUMIFS(AM$6:AM42,BP$6:BP42,1),2),"")</f>
        <v/>
      </c>
      <c r="BS42" s="76" t="str">
        <f aca="false">IF(BP42=1,MAX(Settings!$C$29,MAX(BR$6:BR42)),"")</f>
        <v/>
      </c>
      <c r="BT42" s="83" t="str">
        <f aca="false">IF(BP42=1,(BR42-BS42)/BS42,"")</f>
        <v/>
      </c>
      <c r="BU42" s="66" t="str">
        <f aca="false">IF(BP42=1,IF(AL42="Win",1+IF(BQ42=1,0,INDEX(BU$5:BU41,MATCH(BQ42-1,BQ$5:BQ41,0))),0),"")</f>
        <v/>
      </c>
      <c r="BV42" s="66" t="str">
        <f aca="false">IF(BP42=1,IF(AL42="Loss",1+IF(BQ42=1,0,INDEX(BV$5:BV41,MATCH(BQ42-1,BQ$5:BQ41,0))),0),"")</f>
        <v/>
      </c>
    </row>
    <row r="43" customFormat="false" ht="15" hidden="false" customHeight="false" outlineLevel="0" collapsed="false">
      <c r="A43" s="66" t="str">
        <f aca="false">IF(B43="","",ROW()-5)</f>
        <v/>
      </c>
      <c r="B43" s="67"/>
      <c r="C43" s="68" t="str">
        <f aca="false">IF(B43="","",CHOOSE(WEEKDAY(B43,2),"Mon","Tue","Wed","Thu","Fri","Sat","Sun"))</f>
        <v/>
      </c>
      <c r="D43" s="66" t="str">
        <f aca="false">IF(B43="","",WEEKNUM(B43,2))</f>
        <v/>
      </c>
      <c r="E43" s="69"/>
      <c r="F43" s="69"/>
      <c r="G43" s="70"/>
      <c r="H43" s="70"/>
      <c r="I43" s="69"/>
      <c r="J43" s="69"/>
      <c r="K43" s="69"/>
      <c r="L43" s="71"/>
      <c r="M43" s="69"/>
      <c r="N43" s="69"/>
      <c r="O43" s="69"/>
      <c r="P43" s="71"/>
      <c r="Q43" s="69"/>
      <c r="R43" s="69"/>
      <c r="S43" s="69"/>
      <c r="T43" s="69"/>
      <c r="U43" s="69"/>
      <c r="V43" s="69"/>
      <c r="W43" s="69"/>
      <c r="X43" s="66" t="str">
        <f aca="false">IF(B43="","",COUNTIF(Q43:W43,"Yes"))</f>
        <v/>
      </c>
      <c r="Y43" s="68" t="str">
        <f aca="false">IF(B43="","",IF(X43&gt;=Settings!$C$16,"A+",IF(X43&gt;=Settings!$C$17,"A",IF(X43&gt;=Settings!$C$18,"B","C"))))</f>
        <v/>
      </c>
      <c r="Z43" s="72"/>
      <c r="AA43" s="72"/>
      <c r="AB43" s="72"/>
      <c r="AC43" s="72"/>
      <c r="AD43" s="72"/>
      <c r="AE43" s="72"/>
      <c r="AF43" s="73"/>
      <c r="AG43" s="74"/>
      <c r="AH43" s="75"/>
      <c r="AI43" s="76" t="str">
        <f aca="false">IF(B43="","",ROUND(IF(AG43="",Settings!$C$5,AG43)*AW43,2))</f>
        <v/>
      </c>
      <c r="AJ43" s="77" t="str">
        <f aca="false">IF(OR(B43="",AB43="",AC43="",AD43=""),"",IFERROR(ROUND(ABS(AD43-AB43)/ABS(AB43-AC43),2),""))</f>
        <v/>
      </c>
      <c r="AK43" s="78" t="str">
        <f aca="false">IF(OR(B43="",AB43="",AC43="",AE43=""),"",IFERROR(ROUND(IF(J43="Short",AB43-AE43,AE43-AB43)/ABS(AB43-AC43),2),""))</f>
        <v/>
      </c>
      <c r="AL43" s="68" t="str">
        <f aca="false">IF(AK43="","",IF(ABS(AK43)&lt;=Settings!$C$6,"BE",IF(AK43&gt;0,"Win","Loss")))</f>
        <v/>
      </c>
      <c r="AM43" s="79" t="str">
        <f aca="false">IF(OR(AK43="",AI43=""),"",ROUND(AK43*AI43-N(AH43),2))</f>
        <v/>
      </c>
      <c r="AN43" s="76" t="str">
        <f aca="false">IF(AM43="","",ROUND(BK43+SUMIFS(AM$6:AM43,BJ$6:BJ43,BJ43),2))</f>
        <v/>
      </c>
      <c r="AO43" s="78" t="str">
        <f aca="false">IF(AK43="","",ROUND(SUMIFS(AK$6:AK43,BJ$6:BJ43,BJ43),2))</f>
        <v/>
      </c>
      <c r="AP43" s="80" t="str">
        <f aca="false">IF(OR(AK43="",BL43=""),"",IFERROR(ROUND(IF(J43="Short",AB43-AE43,AE43-AB43)/BL43,1),""))</f>
        <v/>
      </c>
      <c r="AQ43" s="66" t="str">
        <f aca="false">IF(OR(G43="",H43=""),"",ROUND(MOD(H43-G43,1)*1440,0))</f>
        <v/>
      </c>
      <c r="AR43" s="68" t="str">
        <f aca="false">IF(AQ43="","",IF(AQ43&lt;15,"Under 15m",IF(AQ43&lt;60,"15-60m",IF(AQ43&lt;240,"1-4 hours","4+ hours"))))</f>
        <v/>
      </c>
      <c r="AS43" s="66" t="str">
        <f aca="false">IF(G43="","",HOUR(G43))</f>
        <v/>
      </c>
      <c r="AT43" s="80" t="str">
        <f aca="false">IF(OR(Z43="",AB43="",BL43=""),"",IFERROR(ROUND(IF(J43="Short",Z43-AB43,AB43-Z43)/BL43,1),""))</f>
        <v/>
      </c>
      <c r="AU43" s="68" t="str">
        <f aca="false">IF(OR(AA43="",AC43=""),"",IF(AA43=AC43,"No","Yes"))</f>
        <v/>
      </c>
      <c r="AV43" s="81" t="str">
        <f aca="false">IF(OR(B43="",BL43="",BM43="",AB43="",AC43=""),"",IFERROR(ROUND(AI43/(ABS(AB43-AC43)/BL43*BM43),2),""))</f>
        <v/>
      </c>
      <c r="AW43" s="76" t="str">
        <f aca="false">IF(B43="","",ROUND(BK43+SUMIFS(AM$5:AM42,BJ$5:BJ42,BJ43),2))</f>
        <v/>
      </c>
      <c r="AX43" s="66" t="str">
        <f aca="false">IF(B43="","",COUNTIFS(B$6:B43,B43,BJ$6:BJ43,BJ43))</f>
        <v/>
      </c>
      <c r="AY43" s="79" t="str">
        <f aca="false">IF(B43="","",ROUND(SUMIFS(AM$5:AM42,B$5:B42,B43,BJ$5:BJ42,BJ43),2))</f>
        <v/>
      </c>
      <c r="AZ43" s="79" t="str">
        <f aca="false">IF(AM43="","",ROUND(AY43+AM43,2))</f>
        <v/>
      </c>
      <c r="BA43" s="79" t="str">
        <f aca="false">IF(B43="","",ROUND(SUMIFS(AM$5:AM42,B$5:B42,"&gt;="&amp;(B43-WEEKDAY(B43,2)+1),B$5:B42,"&lt;="&amp;B43,BJ$5:BJ42,BJ43),2))</f>
        <v/>
      </c>
      <c r="BB43" s="68" t="str">
        <f aca="false">IF(B43="","",IF(AND(AF43&lt;&gt;"",AV43&lt;&gt;"",N(AF43)&gt;N(AV43)*(1+Settings!$C$13)),"Oversized",IF(AX43&gt;Settings!$C$10,"Overtraded",IF(AY43&lt;=-Settings!$C$11*(AW43-AY43),"Daily loss hit",IF(BA43&lt;=-Settings!$C$12*(AW43-BA43),"Weekly loss hit","OK")))))</f>
        <v/>
      </c>
      <c r="BC43" s="69"/>
      <c r="BD43" s="69"/>
      <c r="BE43" s="69"/>
      <c r="BF43" s="73"/>
      <c r="BG43" s="73"/>
      <c r="BH43" s="71"/>
      <c r="BI43" s="71"/>
      <c r="BJ43" s="68" t="str">
        <f aca="false">IF(B43="","",IF(E43="",Settings!$F$5,E43))</f>
        <v/>
      </c>
      <c r="BK43" s="76" t="str">
        <f aca="false">IF(B43="","",IFERROR(INDEX(Settings!$G$5:$G$10,MATCH(BJ43,Settings!$F$5:$F$10,0)),Settings!$G$5))</f>
        <v/>
      </c>
      <c r="BL43" s="82" t="str">
        <f aca="false">IF(I43="","",IFERROR(1/(1/INDEX(Lists!$C$6:$C$17,MATCH(I43,Lists!$B$6:$B$17,0))),""))</f>
        <v/>
      </c>
      <c r="BM43" s="81" t="str">
        <f aca="false">IF(I43="","",IFERROR(1/(1/INDEX(Lists!$D$6:$D$17,MATCH(I43,Lists!$B$6:$B$17,0))),""))</f>
        <v/>
      </c>
      <c r="BN43" s="76" t="str">
        <f aca="false">IF(AN43="","",MAX(BK43,_xlfn.MAXIFS(AN$6:AN43,BJ$6:BJ43,BJ43)))</f>
        <v/>
      </c>
      <c r="BO43" s="83" t="str">
        <f aca="false">IF(AN43="","",(AN43-BN43)/BN43)</f>
        <v/>
      </c>
      <c r="BP43" s="66" t="n">
        <f aca="false">IF(OR(B43="",AL43=""),0,IF(OR(Settings!$C$28="All Accounts",BJ43=Settings!$C$28),1,0))</f>
        <v>0</v>
      </c>
      <c r="BQ43" s="66" t="str">
        <f aca="false">IF(BP43=1,SUM(BP$6:BP43),"")</f>
        <v/>
      </c>
      <c r="BR43" s="76" t="str">
        <f aca="false">IF(BP43=1,ROUND(Settings!$C$29+SUMIFS(AM$6:AM43,BP$6:BP43,1),2),"")</f>
        <v/>
      </c>
      <c r="BS43" s="76" t="str">
        <f aca="false">IF(BP43=1,MAX(Settings!$C$29,MAX(BR$6:BR43)),"")</f>
        <v/>
      </c>
      <c r="BT43" s="83" t="str">
        <f aca="false">IF(BP43=1,(BR43-BS43)/BS43,"")</f>
        <v/>
      </c>
      <c r="BU43" s="66" t="str">
        <f aca="false">IF(BP43=1,IF(AL43="Win",1+IF(BQ43=1,0,INDEX(BU$5:BU42,MATCH(BQ43-1,BQ$5:BQ42,0))),0),"")</f>
        <v/>
      </c>
      <c r="BV43" s="66" t="str">
        <f aca="false">IF(BP43=1,IF(AL43="Loss",1+IF(BQ43=1,0,INDEX(BV$5:BV42,MATCH(BQ43-1,BQ$5:BQ42,0))),0),"")</f>
        <v/>
      </c>
    </row>
    <row r="44" customFormat="false" ht="15" hidden="false" customHeight="false" outlineLevel="0" collapsed="false">
      <c r="A44" s="66" t="str">
        <f aca="false">IF(B44="","",ROW()-5)</f>
        <v/>
      </c>
      <c r="B44" s="67"/>
      <c r="C44" s="68" t="str">
        <f aca="false">IF(B44="","",CHOOSE(WEEKDAY(B44,2),"Mon","Tue","Wed","Thu","Fri","Sat","Sun"))</f>
        <v/>
      </c>
      <c r="D44" s="66" t="str">
        <f aca="false">IF(B44="","",WEEKNUM(B44,2))</f>
        <v/>
      </c>
      <c r="E44" s="69"/>
      <c r="F44" s="69"/>
      <c r="G44" s="70"/>
      <c r="H44" s="70"/>
      <c r="I44" s="69"/>
      <c r="J44" s="69"/>
      <c r="K44" s="69"/>
      <c r="L44" s="71"/>
      <c r="M44" s="69"/>
      <c r="N44" s="69"/>
      <c r="O44" s="69"/>
      <c r="P44" s="71"/>
      <c r="Q44" s="69"/>
      <c r="R44" s="69"/>
      <c r="S44" s="69"/>
      <c r="T44" s="69"/>
      <c r="U44" s="69"/>
      <c r="V44" s="69"/>
      <c r="W44" s="69"/>
      <c r="X44" s="66" t="str">
        <f aca="false">IF(B44="","",COUNTIF(Q44:W44,"Yes"))</f>
        <v/>
      </c>
      <c r="Y44" s="68" t="str">
        <f aca="false">IF(B44="","",IF(X44&gt;=Settings!$C$16,"A+",IF(X44&gt;=Settings!$C$17,"A",IF(X44&gt;=Settings!$C$18,"B","C"))))</f>
        <v/>
      </c>
      <c r="Z44" s="72"/>
      <c r="AA44" s="72"/>
      <c r="AB44" s="72"/>
      <c r="AC44" s="72"/>
      <c r="AD44" s="72"/>
      <c r="AE44" s="72"/>
      <c r="AF44" s="73"/>
      <c r="AG44" s="74"/>
      <c r="AH44" s="75"/>
      <c r="AI44" s="76" t="str">
        <f aca="false">IF(B44="","",ROUND(IF(AG44="",Settings!$C$5,AG44)*AW44,2))</f>
        <v/>
      </c>
      <c r="AJ44" s="77" t="str">
        <f aca="false">IF(OR(B44="",AB44="",AC44="",AD44=""),"",IFERROR(ROUND(ABS(AD44-AB44)/ABS(AB44-AC44),2),""))</f>
        <v/>
      </c>
      <c r="AK44" s="78" t="str">
        <f aca="false">IF(OR(B44="",AB44="",AC44="",AE44=""),"",IFERROR(ROUND(IF(J44="Short",AB44-AE44,AE44-AB44)/ABS(AB44-AC44),2),""))</f>
        <v/>
      </c>
      <c r="AL44" s="68" t="str">
        <f aca="false">IF(AK44="","",IF(ABS(AK44)&lt;=Settings!$C$6,"BE",IF(AK44&gt;0,"Win","Loss")))</f>
        <v/>
      </c>
      <c r="AM44" s="79" t="str">
        <f aca="false">IF(OR(AK44="",AI44=""),"",ROUND(AK44*AI44-N(AH44),2))</f>
        <v/>
      </c>
      <c r="AN44" s="76" t="str">
        <f aca="false">IF(AM44="","",ROUND(BK44+SUMIFS(AM$6:AM44,BJ$6:BJ44,BJ44),2))</f>
        <v/>
      </c>
      <c r="AO44" s="78" t="str">
        <f aca="false">IF(AK44="","",ROUND(SUMIFS(AK$6:AK44,BJ$6:BJ44,BJ44),2))</f>
        <v/>
      </c>
      <c r="AP44" s="80" t="str">
        <f aca="false">IF(OR(AK44="",BL44=""),"",IFERROR(ROUND(IF(J44="Short",AB44-AE44,AE44-AB44)/BL44,1),""))</f>
        <v/>
      </c>
      <c r="AQ44" s="66" t="str">
        <f aca="false">IF(OR(G44="",H44=""),"",ROUND(MOD(H44-G44,1)*1440,0))</f>
        <v/>
      </c>
      <c r="AR44" s="68" t="str">
        <f aca="false">IF(AQ44="","",IF(AQ44&lt;15,"Under 15m",IF(AQ44&lt;60,"15-60m",IF(AQ44&lt;240,"1-4 hours","4+ hours"))))</f>
        <v/>
      </c>
      <c r="AS44" s="66" t="str">
        <f aca="false">IF(G44="","",HOUR(G44))</f>
        <v/>
      </c>
      <c r="AT44" s="80" t="str">
        <f aca="false">IF(OR(Z44="",AB44="",BL44=""),"",IFERROR(ROUND(IF(J44="Short",Z44-AB44,AB44-Z44)/BL44,1),""))</f>
        <v/>
      </c>
      <c r="AU44" s="68" t="str">
        <f aca="false">IF(OR(AA44="",AC44=""),"",IF(AA44=AC44,"No","Yes"))</f>
        <v/>
      </c>
      <c r="AV44" s="81" t="str">
        <f aca="false">IF(OR(B44="",BL44="",BM44="",AB44="",AC44=""),"",IFERROR(ROUND(AI44/(ABS(AB44-AC44)/BL44*BM44),2),""))</f>
        <v/>
      </c>
      <c r="AW44" s="76" t="str">
        <f aca="false">IF(B44="","",ROUND(BK44+SUMIFS(AM$5:AM43,BJ$5:BJ43,BJ44),2))</f>
        <v/>
      </c>
      <c r="AX44" s="66" t="str">
        <f aca="false">IF(B44="","",COUNTIFS(B$6:B44,B44,BJ$6:BJ44,BJ44))</f>
        <v/>
      </c>
      <c r="AY44" s="79" t="str">
        <f aca="false">IF(B44="","",ROUND(SUMIFS(AM$5:AM43,B$5:B43,B44,BJ$5:BJ43,BJ44),2))</f>
        <v/>
      </c>
      <c r="AZ44" s="79" t="str">
        <f aca="false">IF(AM44="","",ROUND(AY44+AM44,2))</f>
        <v/>
      </c>
      <c r="BA44" s="79" t="str">
        <f aca="false">IF(B44="","",ROUND(SUMIFS(AM$5:AM43,B$5:B43,"&gt;="&amp;(B44-WEEKDAY(B44,2)+1),B$5:B43,"&lt;="&amp;B44,BJ$5:BJ43,BJ44),2))</f>
        <v/>
      </c>
      <c r="BB44" s="68" t="str">
        <f aca="false">IF(B44="","",IF(AND(AF44&lt;&gt;"",AV44&lt;&gt;"",N(AF44)&gt;N(AV44)*(1+Settings!$C$13)),"Oversized",IF(AX44&gt;Settings!$C$10,"Overtraded",IF(AY44&lt;=-Settings!$C$11*(AW44-AY44),"Daily loss hit",IF(BA44&lt;=-Settings!$C$12*(AW44-BA44),"Weekly loss hit","OK")))))</f>
        <v/>
      </c>
      <c r="BC44" s="69"/>
      <c r="BD44" s="69"/>
      <c r="BE44" s="69"/>
      <c r="BF44" s="73"/>
      <c r="BG44" s="73"/>
      <c r="BH44" s="71"/>
      <c r="BI44" s="71"/>
      <c r="BJ44" s="68" t="str">
        <f aca="false">IF(B44="","",IF(E44="",Settings!$F$5,E44))</f>
        <v/>
      </c>
      <c r="BK44" s="76" t="str">
        <f aca="false">IF(B44="","",IFERROR(INDEX(Settings!$G$5:$G$10,MATCH(BJ44,Settings!$F$5:$F$10,0)),Settings!$G$5))</f>
        <v/>
      </c>
      <c r="BL44" s="82" t="str">
        <f aca="false">IF(I44="","",IFERROR(1/(1/INDEX(Lists!$C$6:$C$17,MATCH(I44,Lists!$B$6:$B$17,0))),""))</f>
        <v/>
      </c>
      <c r="BM44" s="81" t="str">
        <f aca="false">IF(I44="","",IFERROR(1/(1/INDEX(Lists!$D$6:$D$17,MATCH(I44,Lists!$B$6:$B$17,0))),""))</f>
        <v/>
      </c>
      <c r="BN44" s="76" t="str">
        <f aca="false">IF(AN44="","",MAX(BK44,_xlfn.MAXIFS(AN$6:AN44,BJ$6:BJ44,BJ44)))</f>
        <v/>
      </c>
      <c r="BO44" s="83" t="str">
        <f aca="false">IF(AN44="","",(AN44-BN44)/BN44)</f>
        <v/>
      </c>
      <c r="BP44" s="66" t="n">
        <f aca="false">IF(OR(B44="",AL44=""),0,IF(OR(Settings!$C$28="All Accounts",BJ44=Settings!$C$28),1,0))</f>
        <v>0</v>
      </c>
      <c r="BQ44" s="66" t="str">
        <f aca="false">IF(BP44=1,SUM(BP$6:BP44),"")</f>
        <v/>
      </c>
      <c r="BR44" s="76" t="str">
        <f aca="false">IF(BP44=1,ROUND(Settings!$C$29+SUMIFS(AM$6:AM44,BP$6:BP44,1),2),"")</f>
        <v/>
      </c>
      <c r="BS44" s="76" t="str">
        <f aca="false">IF(BP44=1,MAX(Settings!$C$29,MAX(BR$6:BR44)),"")</f>
        <v/>
      </c>
      <c r="BT44" s="83" t="str">
        <f aca="false">IF(BP44=1,(BR44-BS44)/BS44,"")</f>
        <v/>
      </c>
      <c r="BU44" s="66" t="str">
        <f aca="false">IF(BP44=1,IF(AL44="Win",1+IF(BQ44=1,0,INDEX(BU$5:BU43,MATCH(BQ44-1,BQ$5:BQ43,0))),0),"")</f>
        <v/>
      </c>
      <c r="BV44" s="66" t="str">
        <f aca="false">IF(BP44=1,IF(AL44="Loss",1+IF(BQ44=1,0,INDEX(BV$5:BV43,MATCH(BQ44-1,BQ$5:BQ43,0))),0),"")</f>
        <v/>
      </c>
    </row>
    <row r="45" customFormat="false" ht="15" hidden="false" customHeight="false" outlineLevel="0" collapsed="false">
      <c r="A45" s="66" t="str">
        <f aca="false">IF(B45="","",ROW()-5)</f>
        <v/>
      </c>
      <c r="B45" s="67"/>
      <c r="C45" s="68" t="str">
        <f aca="false">IF(B45="","",CHOOSE(WEEKDAY(B45,2),"Mon","Tue","Wed","Thu","Fri","Sat","Sun"))</f>
        <v/>
      </c>
      <c r="D45" s="66" t="str">
        <f aca="false">IF(B45="","",WEEKNUM(B45,2))</f>
        <v/>
      </c>
      <c r="E45" s="69"/>
      <c r="F45" s="69"/>
      <c r="G45" s="70"/>
      <c r="H45" s="70"/>
      <c r="I45" s="69"/>
      <c r="J45" s="69"/>
      <c r="K45" s="69"/>
      <c r="L45" s="71"/>
      <c r="M45" s="69"/>
      <c r="N45" s="69"/>
      <c r="O45" s="69"/>
      <c r="P45" s="71"/>
      <c r="Q45" s="69"/>
      <c r="R45" s="69"/>
      <c r="S45" s="69"/>
      <c r="T45" s="69"/>
      <c r="U45" s="69"/>
      <c r="V45" s="69"/>
      <c r="W45" s="69"/>
      <c r="X45" s="66" t="str">
        <f aca="false">IF(B45="","",COUNTIF(Q45:W45,"Yes"))</f>
        <v/>
      </c>
      <c r="Y45" s="68" t="str">
        <f aca="false">IF(B45="","",IF(X45&gt;=Settings!$C$16,"A+",IF(X45&gt;=Settings!$C$17,"A",IF(X45&gt;=Settings!$C$18,"B","C"))))</f>
        <v/>
      </c>
      <c r="Z45" s="72"/>
      <c r="AA45" s="72"/>
      <c r="AB45" s="72"/>
      <c r="AC45" s="72"/>
      <c r="AD45" s="72"/>
      <c r="AE45" s="72"/>
      <c r="AF45" s="73"/>
      <c r="AG45" s="74"/>
      <c r="AH45" s="75"/>
      <c r="AI45" s="76" t="str">
        <f aca="false">IF(B45="","",ROUND(IF(AG45="",Settings!$C$5,AG45)*AW45,2))</f>
        <v/>
      </c>
      <c r="AJ45" s="77" t="str">
        <f aca="false">IF(OR(B45="",AB45="",AC45="",AD45=""),"",IFERROR(ROUND(ABS(AD45-AB45)/ABS(AB45-AC45),2),""))</f>
        <v/>
      </c>
      <c r="AK45" s="78" t="str">
        <f aca="false">IF(OR(B45="",AB45="",AC45="",AE45=""),"",IFERROR(ROUND(IF(J45="Short",AB45-AE45,AE45-AB45)/ABS(AB45-AC45),2),""))</f>
        <v/>
      </c>
      <c r="AL45" s="68" t="str">
        <f aca="false">IF(AK45="","",IF(ABS(AK45)&lt;=Settings!$C$6,"BE",IF(AK45&gt;0,"Win","Loss")))</f>
        <v/>
      </c>
      <c r="AM45" s="79" t="str">
        <f aca="false">IF(OR(AK45="",AI45=""),"",ROUND(AK45*AI45-N(AH45),2))</f>
        <v/>
      </c>
      <c r="AN45" s="76" t="str">
        <f aca="false">IF(AM45="","",ROUND(BK45+SUMIFS(AM$6:AM45,BJ$6:BJ45,BJ45),2))</f>
        <v/>
      </c>
      <c r="AO45" s="78" t="str">
        <f aca="false">IF(AK45="","",ROUND(SUMIFS(AK$6:AK45,BJ$6:BJ45,BJ45),2))</f>
        <v/>
      </c>
      <c r="AP45" s="80" t="str">
        <f aca="false">IF(OR(AK45="",BL45=""),"",IFERROR(ROUND(IF(J45="Short",AB45-AE45,AE45-AB45)/BL45,1),""))</f>
        <v/>
      </c>
      <c r="AQ45" s="66" t="str">
        <f aca="false">IF(OR(G45="",H45=""),"",ROUND(MOD(H45-G45,1)*1440,0))</f>
        <v/>
      </c>
      <c r="AR45" s="68" t="str">
        <f aca="false">IF(AQ45="","",IF(AQ45&lt;15,"Under 15m",IF(AQ45&lt;60,"15-60m",IF(AQ45&lt;240,"1-4 hours","4+ hours"))))</f>
        <v/>
      </c>
      <c r="AS45" s="66" t="str">
        <f aca="false">IF(G45="","",HOUR(G45))</f>
        <v/>
      </c>
      <c r="AT45" s="80" t="str">
        <f aca="false">IF(OR(Z45="",AB45="",BL45=""),"",IFERROR(ROUND(IF(J45="Short",Z45-AB45,AB45-Z45)/BL45,1),""))</f>
        <v/>
      </c>
      <c r="AU45" s="68" t="str">
        <f aca="false">IF(OR(AA45="",AC45=""),"",IF(AA45=AC45,"No","Yes"))</f>
        <v/>
      </c>
      <c r="AV45" s="81" t="str">
        <f aca="false">IF(OR(B45="",BL45="",BM45="",AB45="",AC45=""),"",IFERROR(ROUND(AI45/(ABS(AB45-AC45)/BL45*BM45),2),""))</f>
        <v/>
      </c>
      <c r="AW45" s="76" t="str">
        <f aca="false">IF(B45="","",ROUND(BK45+SUMIFS(AM$5:AM44,BJ$5:BJ44,BJ45),2))</f>
        <v/>
      </c>
      <c r="AX45" s="66" t="str">
        <f aca="false">IF(B45="","",COUNTIFS(B$6:B45,B45,BJ$6:BJ45,BJ45))</f>
        <v/>
      </c>
      <c r="AY45" s="79" t="str">
        <f aca="false">IF(B45="","",ROUND(SUMIFS(AM$5:AM44,B$5:B44,B45,BJ$5:BJ44,BJ45),2))</f>
        <v/>
      </c>
      <c r="AZ45" s="79" t="str">
        <f aca="false">IF(AM45="","",ROUND(AY45+AM45,2))</f>
        <v/>
      </c>
      <c r="BA45" s="79" t="str">
        <f aca="false">IF(B45="","",ROUND(SUMIFS(AM$5:AM44,B$5:B44,"&gt;="&amp;(B45-WEEKDAY(B45,2)+1),B$5:B44,"&lt;="&amp;B45,BJ$5:BJ44,BJ45),2))</f>
        <v/>
      </c>
      <c r="BB45" s="68" t="str">
        <f aca="false">IF(B45="","",IF(AND(AF45&lt;&gt;"",AV45&lt;&gt;"",N(AF45)&gt;N(AV45)*(1+Settings!$C$13)),"Oversized",IF(AX45&gt;Settings!$C$10,"Overtraded",IF(AY45&lt;=-Settings!$C$11*(AW45-AY45),"Daily loss hit",IF(BA45&lt;=-Settings!$C$12*(AW45-BA45),"Weekly loss hit","OK")))))</f>
        <v/>
      </c>
      <c r="BC45" s="69"/>
      <c r="BD45" s="69"/>
      <c r="BE45" s="69"/>
      <c r="BF45" s="73"/>
      <c r="BG45" s="73"/>
      <c r="BH45" s="71"/>
      <c r="BI45" s="71"/>
      <c r="BJ45" s="68" t="str">
        <f aca="false">IF(B45="","",IF(E45="",Settings!$F$5,E45))</f>
        <v/>
      </c>
      <c r="BK45" s="76" t="str">
        <f aca="false">IF(B45="","",IFERROR(INDEX(Settings!$G$5:$G$10,MATCH(BJ45,Settings!$F$5:$F$10,0)),Settings!$G$5))</f>
        <v/>
      </c>
      <c r="BL45" s="82" t="str">
        <f aca="false">IF(I45="","",IFERROR(1/(1/INDEX(Lists!$C$6:$C$17,MATCH(I45,Lists!$B$6:$B$17,0))),""))</f>
        <v/>
      </c>
      <c r="BM45" s="81" t="str">
        <f aca="false">IF(I45="","",IFERROR(1/(1/INDEX(Lists!$D$6:$D$17,MATCH(I45,Lists!$B$6:$B$17,0))),""))</f>
        <v/>
      </c>
      <c r="BN45" s="76" t="str">
        <f aca="false">IF(AN45="","",MAX(BK45,_xlfn.MAXIFS(AN$6:AN45,BJ$6:BJ45,BJ45)))</f>
        <v/>
      </c>
      <c r="BO45" s="83" t="str">
        <f aca="false">IF(AN45="","",(AN45-BN45)/BN45)</f>
        <v/>
      </c>
      <c r="BP45" s="66" t="n">
        <f aca="false">IF(OR(B45="",AL45=""),0,IF(OR(Settings!$C$28="All Accounts",BJ45=Settings!$C$28),1,0))</f>
        <v>0</v>
      </c>
      <c r="BQ45" s="66" t="str">
        <f aca="false">IF(BP45=1,SUM(BP$6:BP45),"")</f>
        <v/>
      </c>
      <c r="BR45" s="76" t="str">
        <f aca="false">IF(BP45=1,ROUND(Settings!$C$29+SUMIFS(AM$6:AM45,BP$6:BP45,1),2),"")</f>
        <v/>
      </c>
      <c r="BS45" s="76" t="str">
        <f aca="false">IF(BP45=1,MAX(Settings!$C$29,MAX(BR$6:BR45)),"")</f>
        <v/>
      </c>
      <c r="BT45" s="83" t="str">
        <f aca="false">IF(BP45=1,(BR45-BS45)/BS45,"")</f>
        <v/>
      </c>
      <c r="BU45" s="66" t="str">
        <f aca="false">IF(BP45=1,IF(AL45="Win",1+IF(BQ45=1,0,INDEX(BU$5:BU44,MATCH(BQ45-1,BQ$5:BQ44,0))),0),"")</f>
        <v/>
      </c>
      <c r="BV45" s="66" t="str">
        <f aca="false">IF(BP45=1,IF(AL45="Loss",1+IF(BQ45=1,0,INDEX(BV$5:BV44,MATCH(BQ45-1,BQ$5:BQ44,0))),0),"")</f>
        <v/>
      </c>
    </row>
    <row r="46" customFormat="false" ht="15" hidden="false" customHeight="false" outlineLevel="0" collapsed="false">
      <c r="A46" s="66" t="str">
        <f aca="false">IF(B46="","",ROW()-5)</f>
        <v/>
      </c>
      <c r="B46" s="67"/>
      <c r="C46" s="68" t="str">
        <f aca="false">IF(B46="","",CHOOSE(WEEKDAY(B46,2),"Mon","Tue","Wed","Thu","Fri","Sat","Sun"))</f>
        <v/>
      </c>
      <c r="D46" s="66" t="str">
        <f aca="false">IF(B46="","",WEEKNUM(B46,2))</f>
        <v/>
      </c>
      <c r="E46" s="69"/>
      <c r="F46" s="69"/>
      <c r="G46" s="70"/>
      <c r="H46" s="70"/>
      <c r="I46" s="69"/>
      <c r="J46" s="69"/>
      <c r="K46" s="69"/>
      <c r="L46" s="71"/>
      <c r="M46" s="69"/>
      <c r="N46" s="69"/>
      <c r="O46" s="69"/>
      <c r="P46" s="71"/>
      <c r="Q46" s="69"/>
      <c r="R46" s="69"/>
      <c r="S46" s="69"/>
      <c r="T46" s="69"/>
      <c r="U46" s="69"/>
      <c r="V46" s="69"/>
      <c r="W46" s="69"/>
      <c r="X46" s="66" t="str">
        <f aca="false">IF(B46="","",COUNTIF(Q46:W46,"Yes"))</f>
        <v/>
      </c>
      <c r="Y46" s="68" t="str">
        <f aca="false">IF(B46="","",IF(X46&gt;=Settings!$C$16,"A+",IF(X46&gt;=Settings!$C$17,"A",IF(X46&gt;=Settings!$C$18,"B","C"))))</f>
        <v/>
      </c>
      <c r="Z46" s="72"/>
      <c r="AA46" s="72"/>
      <c r="AB46" s="72"/>
      <c r="AC46" s="72"/>
      <c r="AD46" s="72"/>
      <c r="AE46" s="72"/>
      <c r="AF46" s="73"/>
      <c r="AG46" s="74"/>
      <c r="AH46" s="75"/>
      <c r="AI46" s="76" t="str">
        <f aca="false">IF(B46="","",ROUND(IF(AG46="",Settings!$C$5,AG46)*AW46,2))</f>
        <v/>
      </c>
      <c r="AJ46" s="77" t="str">
        <f aca="false">IF(OR(B46="",AB46="",AC46="",AD46=""),"",IFERROR(ROUND(ABS(AD46-AB46)/ABS(AB46-AC46),2),""))</f>
        <v/>
      </c>
      <c r="AK46" s="78" t="str">
        <f aca="false">IF(OR(B46="",AB46="",AC46="",AE46=""),"",IFERROR(ROUND(IF(J46="Short",AB46-AE46,AE46-AB46)/ABS(AB46-AC46),2),""))</f>
        <v/>
      </c>
      <c r="AL46" s="68" t="str">
        <f aca="false">IF(AK46="","",IF(ABS(AK46)&lt;=Settings!$C$6,"BE",IF(AK46&gt;0,"Win","Loss")))</f>
        <v/>
      </c>
      <c r="AM46" s="79" t="str">
        <f aca="false">IF(OR(AK46="",AI46=""),"",ROUND(AK46*AI46-N(AH46),2))</f>
        <v/>
      </c>
      <c r="AN46" s="76" t="str">
        <f aca="false">IF(AM46="","",ROUND(BK46+SUMIFS(AM$6:AM46,BJ$6:BJ46,BJ46),2))</f>
        <v/>
      </c>
      <c r="AO46" s="78" t="str">
        <f aca="false">IF(AK46="","",ROUND(SUMIFS(AK$6:AK46,BJ$6:BJ46,BJ46),2))</f>
        <v/>
      </c>
      <c r="AP46" s="80" t="str">
        <f aca="false">IF(OR(AK46="",BL46=""),"",IFERROR(ROUND(IF(J46="Short",AB46-AE46,AE46-AB46)/BL46,1),""))</f>
        <v/>
      </c>
      <c r="AQ46" s="66" t="str">
        <f aca="false">IF(OR(G46="",H46=""),"",ROUND(MOD(H46-G46,1)*1440,0))</f>
        <v/>
      </c>
      <c r="AR46" s="68" t="str">
        <f aca="false">IF(AQ46="","",IF(AQ46&lt;15,"Under 15m",IF(AQ46&lt;60,"15-60m",IF(AQ46&lt;240,"1-4 hours","4+ hours"))))</f>
        <v/>
      </c>
      <c r="AS46" s="66" t="str">
        <f aca="false">IF(G46="","",HOUR(G46))</f>
        <v/>
      </c>
      <c r="AT46" s="80" t="str">
        <f aca="false">IF(OR(Z46="",AB46="",BL46=""),"",IFERROR(ROUND(IF(J46="Short",Z46-AB46,AB46-Z46)/BL46,1),""))</f>
        <v/>
      </c>
      <c r="AU46" s="68" t="str">
        <f aca="false">IF(OR(AA46="",AC46=""),"",IF(AA46=AC46,"No","Yes"))</f>
        <v/>
      </c>
      <c r="AV46" s="81" t="str">
        <f aca="false">IF(OR(B46="",BL46="",BM46="",AB46="",AC46=""),"",IFERROR(ROUND(AI46/(ABS(AB46-AC46)/BL46*BM46),2),""))</f>
        <v/>
      </c>
      <c r="AW46" s="76" t="str">
        <f aca="false">IF(B46="","",ROUND(BK46+SUMIFS(AM$5:AM45,BJ$5:BJ45,BJ46),2))</f>
        <v/>
      </c>
      <c r="AX46" s="66" t="str">
        <f aca="false">IF(B46="","",COUNTIFS(B$6:B46,B46,BJ$6:BJ46,BJ46))</f>
        <v/>
      </c>
      <c r="AY46" s="79" t="str">
        <f aca="false">IF(B46="","",ROUND(SUMIFS(AM$5:AM45,B$5:B45,B46,BJ$5:BJ45,BJ46),2))</f>
        <v/>
      </c>
      <c r="AZ46" s="79" t="str">
        <f aca="false">IF(AM46="","",ROUND(AY46+AM46,2))</f>
        <v/>
      </c>
      <c r="BA46" s="79" t="str">
        <f aca="false">IF(B46="","",ROUND(SUMIFS(AM$5:AM45,B$5:B45,"&gt;="&amp;(B46-WEEKDAY(B46,2)+1),B$5:B45,"&lt;="&amp;B46,BJ$5:BJ45,BJ46),2))</f>
        <v/>
      </c>
      <c r="BB46" s="68" t="str">
        <f aca="false">IF(B46="","",IF(AND(AF46&lt;&gt;"",AV46&lt;&gt;"",N(AF46)&gt;N(AV46)*(1+Settings!$C$13)),"Oversized",IF(AX46&gt;Settings!$C$10,"Overtraded",IF(AY46&lt;=-Settings!$C$11*(AW46-AY46),"Daily loss hit",IF(BA46&lt;=-Settings!$C$12*(AW46-BA46),"Weekly loss hit","OK")))))</f>
        <v/>
      </c>
      <c r="BC46" s="69"/>
      <c r="BD46" s="69"/>
      <c r="BE46" s="69"/>
      <c r="BF46" s="73"/>
      <c r="BG46" s="73"/>
      <c r="BH46" s="71"/>
      <c r="BI46" s="71"/>
      <c r="BJ46" s="68" t="str">
        <f aca="false">IF(B46="","",IF(E46="",Settings!$F$5,E46))</f>
        <v/>
      </c>
      <c r="BK46" s="76" t="str">
        <f aca="false">IF(B46="","",IFERROR(INDEX(Settings!$G$5:$G$10,MATCH(BJ46,Settings!$F$5:$F$10,0)),Settings!$G$5))</f>
        <v/>
      </c>
      <c r="BL46" s="82" t="str">
        <f aca="false">IF(I46="","",IFERROR(1/(1/INDEX(Lists!$C$6:$C$17,MATCH(I46,Lists!$B$6:$B$17,0))),""))</f>
        <v/>
      </c>
      <c r="BM46" s="81" t="str">
        <f aca="false">IF(I46="","",IFERROR(1/(1/INDEX(Lists!$D$6:$D$17,MATCH(I46,Lists!$B$6:$B$17,0))),""))</f>
        <v/>
      </c>
      <c r="BN46" s="76" t="str">
        <f aca="false">IF(AN46="","",MAX(BK46,_xlfn.MAXIFS(AN$6:AN46,BJ$6:BJ46,BJ46)))</f>
        <v/>
      </c>
      <c r="BO46" s="83" t="str">
        <f aca="false">IF(AN46="","",(AN46-BN46)/BN46)</f>
        <v/>
      </c>
      <c r="BP46" s="66" t="n">
        <f aca="false">IF(OR(B46="",AL46=""),0,IF(OR(Settings!$C$28="All Accounts",BJ46=Settings!$C$28),1,0))</f>
        <v>0</v>
      </c>
      <c r="BQ46" s="66" t="str">
        <f aca="false">IF(BP46=1,SUM(BP$6:BP46),"")</f>
        <v/>
      </c>
      <c r="BR46" s="76" t="str">
        <f aca="false">IF(BP46=1,ROUND(Settings!$C$29+SUMIFS(AM$6:AM46,BP$6:BP46,1),2),"")</f>
        <v/>
      </c>
      <c r="BS46" s="76" t="str">
        <f aca="false">IF(BP46=1,MAX(Settings!$C$29,MAX(BR$6:BR46)),"")</f>
        <v/>
      </c>
      <c r="BT46" s="83" t="str">
        <f aca="false">IF(BP46=1,(BR46-BS46)/BS46,"")</f>
        <v/>
      </c>
      <c r="BU46" s="66" t="str">
        <f aca="false">IF(BP46=1,IF(AL46="Win",1+IF(BQ46=1,0,INDEX(BU$5:BU45,MATCH(BQ46-1,BQ$5:BQ45,0))),0),"")</f>
        <v/>
      </c>
      <c r="BV46" s="66" t="str">
        <f aca="false">IF(BP46=1,IF(AL46="Loss",1+IF(BQ46=1,0,INDEX(BV$5:BV45,MATCH(BQ46-1,BQ$5:BQ45,0))),0),"")</f>
        <v/>
      </c>
    </row>
    <row r="47" customFormat="false" ht="15" hidden="false" customHeight="false" outlineLevel="0" collapsed="false">
      <c r="A47" s="66" t="str">
        <f aca="false">IF(B47="","",ROW()-5)</f>
        <v/>
      </c>
      <c r="B47" s="67"/>
      <c r="C47" s="68" t="str">
        <f aca="false">IF(B47="","",CHOOSE(WEEKDAY(B47,2),"Mon","Tue","Wed","Thu","Fri","Sat","Sun"))</f>
        <v/>
      </c>
      <c r="D47" s="66" t="str">
        <f aca="false">IF(B47="","",WEEKNUM(B47,2))</f>
        <v/>
      </c>
      <c r="E47" s="69"/>
      <c r="F47" s="69"/>
      <c r="G47" s="70"/>
      <c r="H47" s="70"/>
      <c r="I47" s="69"/>
      <c r="J47" s="69"/>
      <c r="K47" s="69"/>
      <c r="L47" s="71"/>
      <c r="M47" s="69"/>
      <c r="N47" s="69"/>
      <c r="O47" s="69"/>
      <c r="P47" s="71"/>
      <c r="Q47" s="69"/>
      <c r="R47" s="69"/>
      <c r="S47" s="69"/>
      <c r="T47" s="69"/>
      <c r="U47" s="69"/>
      <c r="V47" s="69"/>
      <c r="W47" s="69"/>
      <c r="X47" s="66" t="str">
        <f aca="false">IF(B47="","",COUNTIF(Q47:W47,"Yes"))</f>
        <v/>
      </c>
      <c r="Y47" s="68" t="str">
        <f aca="false">IF(B47="","",IF(X47&gt;=Settings!$C$16,"A+",IF(X47&gt;=Settings!$C$17,"A",IF(X47&gt;=Settings!$C$18,"B","C"))))</f>
        <v/>
      </c>
      <c r="Z47" s="72"/>
      <c r="AA47" s="72"/>
      <c r="AB47" s="72"/>
      <c r="AC47" s="72"/>
      <c r="AD47" s="72"/>
      <c r="AE47" s="72"/>
      <c r="AF47" s="73"/>
      <c r="AG47" s="74"/>
      <c r="AH47" s="75"/>
      <c r="AI47" s="76" t="str">
        <f aca="false">IF(B47="","",ROUND(IF(AG47="",Settings!$C$5,AG47)*AW47,2))</f>
        <v/>
      </c>
      <c r="AJ47" s="77" t="str">
        <f aca="false">IF(OR(B47="",AB47="",AC47="",AD47=""),"",IFERROR(ROUND(ABS(AD47-AB47)/ABS(AB47-AC47),2),""))</f>
        <v/>
      </c>
      <c r="AK47" s="78" t="str">
        <f aca="false">IF(OR(B47="",AB47="",AC47="",AE47=""),"",IFERROR(ROUND(IF(J47="Short",AB47-AE47,AE47-AB47)/ABS(AB47-AC47),2),""))</f>
        <v/>
      </c>
      <c r="AL47" s="68" t="str">
        <f aca="false">IF(AK47="","",IF(ABS(AK47)&lt;=Settings!$C$6,"BE",IF(AK47&gt;0,"Win","Loss")))</f>
        <v/>
      </c>
      <c r="AM47" s="79" t="str">
        <f aca="false">IF(OR(AK47="",AI47=""),"",ROUND(AK47*AI47-N(AH47),2))</f>
        <v/>
      </c>
      <c r="AN47" s="76" t="str">
        <f aca="false">IF(AM47="","",ROUND(BK47+SUMIFS(AM$6:AM47,BJ$6:BJ47,BJ47),2))</f>
        <v/>
      </c>
      <c r="AO47" s="78" t="str">
        <f aca="false">IF(AK47="","",ROUND(SUMIFS(AK$6:AK47,BJ$6:BJ47,BJ47),2))</f>
        <v/>
      </c>
      <c r="AP47" s="80" t="str">
        <f aca="false">IF(OR(AK47="",BL47=""),"",IFERROR(ROUND(IF(J47="Short",AB47-AE47,AE47-AB47)/BL47,1),""))</f>
        <v/>
      </c>
      <c r="AQ47" s="66" t="str">
        <f aca="false">IF(OR(G47="",H47=""),"",ROUND(MOD(H47-G47,1)*1440,0))</f>
        <v/>
      </c>
      <c r="AR47" s="68" t="str">
        <f aca="false">IF(AQ47="","",IF(AQ47&lt;15,"Under 15m",IF(AQ47&lt;60,"15-60m",IF(AQ47&lt;240,"1-4 hours","4+ hours"))))</f>
        <v/>
      </c>
      <c r="AS47" s="66" t="str">
        <f aca="false">IF(G47="","",HOUR(G47))</f>
        <v/>
      </c>
      <c r="AT47" s="80" t="str">
        <f aca="false">IF(OR(Z47="",AB47="",BL47=""),"",IFERROR(ROUND(IF(J47="Short",Z47-AB47,AB47-Z47)/BL47,1),""))</f>
        <v/>
      </c>
      <c r="AU47" s="68" t="str">
        <f aca="false">IF(OR(AA47="",AC47=""),"",IF(AA47=AC47,"No","Yes"))</f>
        <v/>
      </c>
      <c r="AV47" s="81" t="str">
        <f aca="false">IF(OR(B47="",BL47="",BM47="",AB47="",AC47=""),"",IFERROR(ROUND(AI47/(ABS(AB47-AC47)/BL47*BM47),2),""))</f>
        <v/>
      </c>
      <c r="AW47" s="76" t="str">
        <f aca="false">IF(B47="","",ROUND(BK47+SUMIFS(AM$5:AM46,BJ$5:BJ46,BJ47),2))</f>
        <v/>
      </c>
      <c r="AX47" s="66" t="str">
        <f aca="false">IF(B47="","",COUNTIFS(B$6:B47,B47,BJ$6:BJ47,BJ47))</f>
        <v/>
      </c>
      <c r="AY47" s="79" t="str">
        <f aca="false">IF(B47="","",ROUND(SUMIFS(AM$5:AM46,B$5:B46,B47,BJ$5:BJ46,BJ47),2))</f>
        <v/>
      </c>
      <c r="AZ47" s="79" t="str">
        <f aca="false">IF(AM47="","",ROUND(AY47+AM47,2))</f>
        <v/>
      </c>
      <c r="BA47" s="79" t="str">
        <f aca="false">IF(B47="","",ROUND(SUMIFS(AM$5:AM46,B$5:B46,"&gt;="&amp;(B47-WEEKDAY(B47,2)+1),B$5:B46,"&lt;="&amp;B47,BJ$5:BJ46,BJ47),2))</f>
        <v/>
      </c>
      <c r="BB47" s="68" t="str">
        <f aca="false">IF(B47="","",IF(AND(AF47&lt;&gt;"",AV47&lt;&gt;"",N(AF47)&gt;N(AV47)*(1+Settings!$C$13)),"Oversized",IF(AX47&gt;Settings!$C$10,"Overtraded",IF(AY47&lt;=-Settings!$C$11*(AW47-AY47),"Daily loss hit",IF(BA47&lt;=-Settings!$C$12*(AW47-BA47),"Weekly loss hit","OK")))))</f>
        <v/>
      </c>
      <c r="BC47" s="69"/>
      <c r="BD47" s="69"/>
      <c r="BE47" s="69"/>
      <c r="BF47" s="73"/>
      <c r="BG47" s="73"/>
      <c r="BH47" s="71"/>
      <c r="BI47" s="71"/>
      <c r="BJ47" s="68" t="str">
        <f aca="false">IF(B47="","",IF(E47="",Settings!$F$5,E47))</f>
        <v/>
      </c>
      <c r="BK47" s="76" t="str">
        <f aca="false">IF(B47="","",IFERROR(INDEX(Settings!$G$5:$G$10,MATCH(BJ47,Settings!$F$5:$F$10,0)),Settings!$G$5))</f>
        <v/>
      </c>
      <c r="BL47" s="82" t="str">
        <f aca="false">IF(I47="","",IFERROR(1/(1/INDEX(Lists!$C$6:$C$17,MATCH(I47,Lists!$B$6:$B$17,0))),""))</f>
        <v/>
      </c>
      <c r="BM47" s="81" t="str">
        <f aca="false">IF(I47="","",IFERROR(1/(1/INDEX(Lists!$D$6:$D$17,MATCH(I47,Lists!$B$6:$B$17,0))),""))</f>
        <v/>
      </c>
      <c r="BN47" s="76" t="str">
        <f aca="false">IF(AN47="","",MAX(BK47,_xlfn.MAXIFS(AN$6:AN47,BJ$6:BJ47,BJ47)))</f>
        <v/>
      </c>
      <c r="BO47" s="83" t="str">
        <f aca="false">IF(AN47="","",(AN47-BN47)/BN47)</f>
        <v/>
      </c>
      <c r="BP47" s="66" t="n">
        <f aca="false">IF(OR(B47="",AL47=""),0,IF(OR(Settings!$C$28="All Accounts",BJ47=Settings!$C$28),1,0))</f>
        <v>0</v>
      </c>
      <c r="BQ47" s="66" t="str">
        <f aca="false">IF(BP47=1,SUM(BP$6:BP47),"")</f>
        <v/>
      </c>
      <c r="BR47" s="76" t="str">
        <f aca="false">IF(BP47=1,ROUND(Settings!$C$29+SUMIFS(AM$6:AM47,BP$6:BP47,1),2),"")</f>
        <v/>
      </c>
      <c r="BS47" s="76" t="str">
        <f aca="false">IF(BP47=1,MAX(Settings!$C$29,MAX(BR$6:BR47)),"")</f>
        <v/>
      </c>
      <c r="BT47" s="83" t="str">
        <f aca="false">IF(BP47=1,(BR47-BS47)/BS47,"")</f>
        <v/>
      </c>
      <c r="BU47" s="66" t="str">
        <f aca="false">IF(BP47=1,IF(AL47="Win",1+IF(BQ47=1,0,INDEX(BU$5:BU46,MATCH(BQ47-1,BQ$5:BQ46,0))),0),"")</f>
        <v/>
      </c>
      <c r="BV47" s="66" t="str">
        <f aca="false">IF(BP47=1,IF(AL47="Loss",1+IF(BQ47=1,0,INDEX(BV$5:BV46,MATCH(BQ47-1,BQ$5:BQ46,0))),0),"")</f>
        <v/>
      </c>
    </row>
    <row r="48" customFormat="false" ht="15" hidden="false" customHeight="false" outlineLevel="0" collapsed="false">
      <c r="A48" s="66" t="str">
        <f aca="false">IF(B48="","",ROW()-5)</f>
        <v/>
      </c>
      <c r="B48" s="67"/>
      <c r="C48" s="68" t="str">
        <f aca="false">IF(B48="","",CHOOSE(WEEKDAY(B48,2),"Mon","Tue","Wed","Thu","Fri","Sat","Sun"))</f>
        <v/>
      </c>
      <c r="D48" s="66" t="str">
        <f aca="false">IF(B48="","",WEEKNUM(B48,2))</f>
        <v/>
      </c>
      <c r="E48" s="69"/>
      <c r="F48" s="69"/>
      <c r="G48" s="70"/>
      <c r="H48" s="70"/>
      <c r="I48" s="69"/>
      <c r="J48" s="69"/>
      <c r="K48" s="69"/>
      <c r="L48" s="71"/>
      <c r="M48" s="69"/>
      <c r="N48" s="69"/>
      <c r="O48" s="69"/>
      <c r="P48" s="71"/>
      <c r="Q48" s="69"/>
      <c r="R48" s="69"/>
      <c r="S48" s="69"/>
      <c r="T48" s="69"/>
      <c r="U48" s="69"/>
      <c r="V48" s="69"/>
      <c r="W48" s="69"/>
      <c r="X48" s="66" t="str">
        <f aca="false">IF(B48="","",COUNTIF(Q48:W48,"Yes"))</f>
        <v/>
      </c>
      <c r="Y48" s="68" t="str">
        <f aca="false">IF(B48="","",IF(X48&gt;=Settings!$C$16,"A+",IF(X48&gt;=Settings!$C$17,"A",IF(X48&gt;=Settings!$C$18,"B","C"))))</f>
        <v/>
      </c>
      <c r="Z48" s="72"/>
      <c r="AA48" s="72"/>
      <c r="AB48" s="72"/>
      <c r="AC48" s="72"/>
      <c r="AD48" s="72"/>
      <c r="AE48" s="72"/>
      <c r="AF48" s="73"/>
      <c r="AG48" s="74"/>
      <c r="AH48" s="75"/>
      <c r="AI48" s="76" t="str">
        <f aca="false">IF(B48="","",ROUND(IF(AG48="",Settings!$C$5,AG48)*AW48,2))</f>
        <v/>
      </c>
      <c r="AJ48" s="77" t="str">
        <f aca="false">IF(OR(B48="",AB48="",AC48="",AD48=""),"",IFERROR(ROUND(ABS(AD48-AB48)/ABS(AB48-AC48),2),""))</f>
        <v/>
      </c>
      <c r="AK48" s="78" t="str">
        <f aca="false">IF(OR(B48="",AB48="",AC48="",AE48=""),"",IFERROR(ROUND(IF(J48="Short",AB48-AE48,AE48-AB48)/ABS(AB48-AC48),2),""))</f>
        <v/>
      </c>
      <c r="AL48" s="68" t="str">
        <f aca="false">IF(AK48="","",IF(ABS(AK48)&lt;=Settings!$C$6,"BE",IF(AK48&gt;0,"Win","Loss")))</f>
        <v/>
      </c>
      <c r="AM48" s="79" t="str">
        <f aca="false">IF(OR(AK48="",AI48=""),"",ROUND(AK48*AI48-N(AH48),2))</f>
        <v/>
      </c>
      <c r="AN48" s="76" t="str">
        <f aca="false">IF(AM48="","",ROUND(BK48+SUMIFS(AM$6:AM48,BJ$6:BJ48,BJ48),2))</f>
        <v/>
      </c>
      <c r="AO48" s="78" t="str">
        <f aca="false">IF(AK48="","",ROUND(SUMIFS(AK$6:AK48,BJ$6:BJ48,BJ48),2))</f>
        <v/>
      </c>
      <c r="AP48" s="80" t="str">
        <f aca="false">IF(OR(AK48="",BL48=""),"",IFERROR(ROUND(IF(J48="Short",AB48-AE48,AE48-AB48)/BL48,1),""))</f>
        <v/>
      </c>
      <c r="AQ48" s="66" t="str">
        <f aca="false">IF(OR(G48="",H48=""),"",ROUND(MOD(H48-G48,1)*1440,0))</f>
        <v/>
      </c>
      <c r="AR48" s="68" t="str">
        <f aca="false">IF(AQ48="","",IF(AQ48&lt;15,"Under 15m",IF(AQ48&lt;60,"15-60m",IF(AQ48&lt;240,"1-4 hours","4+ hours"))))</f>
        <v/>
      </c>
      <c r="AS48" s="66" t="str">
        <f aca="false">IF(G48="","",HOUR(G48))</f>
        <v/>
      </c>
      <c r="AT48" s="80" t="str">
        <f aca="false">IF(OR(Z48="",AB48="",BL48=""),"",IFERROR(ROUND(IF(J48="Short",Z48-AB48,AB48-Z48)/BL48,1),""))</f>
        <v/>
      </c>
      <c r="AU48" s="68" t="str">
        <f aca="false">IF(OR(AA48="",AC48=""),"",IF(AA48=AC48,"No","Yes"))</f>
        <v/>
      </c>
      <c r="AV48" s="81" t="str">
        <f aca="false">IF(OR(B48="",BL48="",BM48="",AB48="",AC48=""),"",IFERROR(ROUND(AI48/(ABS(AB48-AC48)/BL48*BM48),2),""))</f>
        <v/>
      </c>
      <c r="AW48" s="76" t="str">
        <f aca="false">IF(B48="","",ROUND(BK48+SUMIFS(AM$5:AM47,BJ$5:BJ47,BJ48),2))</f>
        <v/>
      </c>
      <c r="AX48" s="66" t="str">
        <f aca="false">IF(B48="","",COUNTIFS(B$6:B48,B48,BJ$6:BJ48,BJ48))</f>
        <v/>
      </c>
      <c r="AY48" s="79" t="str">
        <f aca="false">IF(B48="","",ROUND(SUMIFS(AM$5:AM47,B$5:B47,B48,BJ$5:BJ47,BJ48),2))</f>
        <v/>
      </c>
      <c r="AZ48" s="79" t="str">
        <f aca="false">IF(AM48="","",ROUND(AY48+AM48,2))</f>
        <v/>
      </c>
      <c r="BA48" s="79" t="str">
        <f aca="false">IF(B48="","",ROUND(SUMIFS(AM$5:AM47,B$5:B47,"&gt;="&amp;(B48-WEEKDAY(B48,2)+1),B$5:B47,"&lt;="&amp;B48,BJ$5:BJ47,BJ48),2))</f>
        <v/>
      </c>
      <c r="BB48" s="68" t="str">
        <f aca="false">IF(B48="","",IF(AND(AF48&lt;&gt;"",AV48&lt;&gt;"",N(AF48)&gt;N(AV48)*(1+Settings!$C$13)),"Oversized",IF(AX48&gt;Settings!$C$10,"Overtraded",IF(AY48&lt;=-Settings!$C$11*(AW48-AY48),"Daily loss hit",IF(BA48&lt;=-Settings!$C$12*(AW48-BA48),"Weekly loss hit","OK")))))</f>
        <v/>
      </c>
      <c r="BC48" s="69"/>
      <c r="BD48" s="69"/>
      <c r="BE48" s="69"/>
      <c r="BF48" s="73"/>
      <c r="BG48" s="73"/>
      <c r="BH48" s="71"/>
      <c r="BI48" s="71"/>
      <c r="BJ48" s="68" t="str">
        <f aca="false">IF(B48="","",IF(E48="",Settings!$F$5,E48))</f>
        <v/>
      </c>
      <c r="BK48" s="76" t="str">
        <f aca="false">IF(B48="","",IFERROR(INDEX(Settings!$G$5:$G$10,MATCH(BJ48,Settings!$F$5:$F$10,0)),Settings!$G$5))</f>
        <v/>
      </c>
      <c r="BL48" s="82" t="str">
        <f aca="false">IF(I48="","",IFERROR(1/(1/INDEX(Lists!$C$6:$C$17,MATCH(I48,Lists!$B$6:$B$17,0))),""))</f>
        <v/>
      </c>
      <c r="BM48" s="81" t="str">
        <f aca="false">IF(I48="","",IFERROR(1/(1/INDEX(Lists!$D$6:$D$17,MATCH(I48,Lists!$B$6:$B$17,0))),""))</f>
        <v/>
      </c>
      <c r="BN48" s="76" t="str">
        <f aca="false">IF(AN48="","",MAX(BK48,_xlfn.MAXIFS(AN$6:AN48,BJ$6:BJ48,BJ48)))</f>
        <v/>
      </c>
      <c r="BO48" s="83" t="str">
        <f aca="false">IF(AN48="","",(AN48-BN48)/BN48)</f>
        <v/>
      </c>
      <c r="BP48" s="66" t="n">
        <f aca="false">IF(OR(B48="",AL48=""),0,IF(OR(Settings!$C$28="All Accounts",BJ48=Settings!$C$28),1,0))</f>
        <v>0</v>
      </c>
      <c r="BQ48" s="66" t="str">
        <f aca="false">IF(BP48=1,SUM(BP$6:BP48),"")</f>
        <v/>
      </c>
      <c r="BR48" s="76" t="str">
        <f aca="false">IF(BP48=1,ROUND(Settings!$C$29+SUMIFS(AM$6:AM48,BP$6:BP48,1),2),"")</f>
        <v/>
      </c>
      <c r="BS48" s="76" t="str">
        <f aca="false">IF(BP48=1,MAX(Settings!$C$29,MAX(BR$6:BR48)),"")</f>
        <v/>
      </c>
      <c r="BT48" s="83" t="str">
        <f aca="false">IF(BP48=1,(BR48-BS48)/BS48,"")</f>
        <v/>
      </c>
      <c r="BU48" s="66" t="str">
        <f aca="false">IF(BP48=1,IF(AL48="Win",1+IF(BQ48=1,0,INDEX(BU$5:BU47,MATCH(BQ48-1,BQ$5:BQ47,0))),0),"")</f>
        <v/>
      </c>
      <c r="BV48" s="66" t="str">
        <f aca="false">IF(BP48=1,IF(AL48="Loss",1+IF(BQ48=1,0,INDEX(BV$5:BV47,MATCH(BQ48-1,BQ$5:BQ47,0))),0),"")</f>
        <v/>
      </c>
    </row>
    <row r="49" customFormat="false" ht="15" hidden="false" customHeight="false" outlineLevel="0" collapsed="false">
      <c r="A49" s="66" t="str">
        <f aca="false">IF(B49="","",ROW()-5)</f>
        <v/>
      </c>
      <c r="B49" s="67"/>
      <c r="C49" s="68" t="str">
        <f aca="false">IF(B49="","",CHOOSE(WEEKDAY(B49,2),"Mon","Tue","Wed","Thu","Fri","Sat","Sun"))</f>
        <v/>
      </c>
      <c r="D49" s="66" t="str">
        <f aca="false">IF(B49="","",WEEKNUM(B49,2))</f>
        <v/>
      </c>
      <c r="E49" s="69"/>
      <c r="F49" s="69"/>
      <c r="G49" s="70"/>
      <c r="H49" s="70"/>
      <c r="I49" s="69"/>
      <c r="J49" s="69"/>
      <c r="K49" s="69"/>
      <c r="L49" s="71"/>
      <c r="M49" s="69"/>
      <c r="N49" s="69"/>
      <c r="O49" s="69"/>
      <c r="P49" s="71"/>
      <c r="Q49" s="69"/>
      <c r="R49" s="69"/>
      <c r="S49" s="69"/>
      <c r="T49" s="69"/>
      <c r="U49" s="69"/>
      <c r="V49" s="69"/>
      <c r="W49" s="69"/>
      <c r="X49" s="66" t="str">
        <f aca="false">IF(B49="","",COUNTIF(Q49:W49,"Yes"))</f>
        <v/>
      </c>
      <c r="Y49" s="68" t="str">
        <f aca="false">IF(B49="","",IF(X49&gt;=Settings!$C$16,"A+",IF(X49&gt;=Settings!$C$17,"A",IF(X49&gt;=Settings!$C$18,"B","C"))))</f>
        <v/>
      </c>
      <c r="Z49" s="72"/>
      <c r="AA49" s="72"/>
      <c r="AB49" s="72"/>
      <c r="AC49" s="72"/>
      <c r="AD49" s="72"/>
      <c r="AE49" s="72"/>
      <c r="AF49" s="73"/>
      <c r="AG49" s="74"/>
      <c r="AH49" s="75"/>
      <c r="AI49" s="76" t="str">
        <f aca="false">IF(B49="","",ROUND(IF(AG49="",Settings!$C$5,AG49)*AW49,2))</f>
        <v/>
      </c>
      <c r="AJ49" s="77" t="str">
        <f aca="false">IF(OR(B49="",AB49="",AC49="",AD49=""),"",IFERROR(ROUND(ABS(AD49-AB49)/ABS(AB49-AC49),2),""))</f>
        <v/>
      </c>
      <c r="AK49" s="78" t="str">
        <f aca="false">IF(OR(B49="",AB49="",AC49="",AE49=""),"",IFERROR(ROUND(IF(J49="Short",AB49-AE49,AE49-AB49)/ABS(AB49-AC49),2),""))</f>
        <v/>
      </c>
      <c r="AL49" s="68" t="str">
        <f aca="false">IF(AK49="","",IF(ABS(AK49)&lt;=Settings!$C$6,"BE",IF(AK49&gt;0,"Win","Loss")))</f>
        <v/>
      </c>
      <c r="AM49" s="79" t="str">
        <f aca="false">IF(OR(AK49="",AI49=""),"",ROUND(AK49*AI49-N(AH49),2))</f>
        <v/>
      </c>
      <c r="AN49" s="76" t="str">
        <f aca="false">IF(AM49="","",ROUND(BK49+SUMIFS(AM$6:AM49,BJ$6:BJ49,BJ49),2))</f>
        <v/>
      </c>
      <c r="AO49" s="78" t="str">
        <f aca="false">IF(AK49="","",ROUND(SUMIFS(AK$6:AK49,BJ$6:BJ49,BJ49),2))</f>
        <v/>
      </c>
      <c r="AP49" s="80" t="str">
        <f aca="false">IF(OR(AK49="",BL49=""),"",IFERROR(ROUND(IF(J49="Short",AB49-AE49,AE49-AB49)/BL49,1),""))</f>
        <v/>
      </c>
      <c r="AQ49" s="66" t="str">
        <f aca="false">IF(OR(G49="",H49=""),"",ROUND(MOD(H49-G49,1)*1440,0))</f>
        <v/>
      </c>
      <c r="AR49" s="68" t="str">
        <f aca="false">IF(AQ49="","",IF(AQ49&lt;15,"Under 15m",IF(AQ49&lt;60,"15-60m",IF(AQ49&lt;240,"1-4 hours","4+ hours"))))</f>
        <v/>
      </c>
      <c r="AS49" s="66" t="str">
        <f aca="false">IF(G49="","",HOUR(G49))</f>
        <v/>
      </c>
      <c r="AT49" s="80" t="str">
        <f aca="false">IF(OR(Z49="",AB49="",BL49=""),"",IFERROR(ROUND(IF(J49="Short",Z49-AB49,AB49-Z49)/BL49,1),""))</f>
        <v/>
      </c>
      <c r="AU49" s="68" t="str">
        <f aca="false">IF(OR(AA49="",AC49=""),"",IF(AA49=AC49,"No","Yes"))</f>
        <v/>
      </c>
      <c r="AV49" s="81" t="str">
        <f aca="false">IF(OR(B49="",BL49="",BM49="",AB49="",AC49=""),"",IFERROR(ROUND(AI49/(ABS(AB49-AC49)/BL49*BM49),2),""))</f>
        <v/>
      </c>
      <c r="AW49" s="76" t="str">
        <f aca="false">IF(B49="","",ROUND(BK49+SUMIFS(AM$5:AM48,BJ$5:BJ48,BJ49),2))</f>
        <v/>
      </c>
      <c r="AX49" s="66" t="str">
        <f aca="false">IF(B49="","",COUNTIFS(B$6:B49,B49,BJ$6:BJ49,BJ49))</f>
        <v/>
      </c>
      <c r="AY49" s="79" t="str">
        <f aca="false">IF(B49="","",ROUND(SUMIFS(AM$5:AM48,B$5:B48,B49,BJ$5:BJ48,BJ49),2))</f>
        <v/>
      </c>
      <c r="AZ49" s="79" t="str">
        <f aca="false">IF(AM49="","",ROUND(AY49+AM49,2))</f>
        <v/>
      </c>
      <c r="BA49" s="79" t="str">
        <f aca="false">IF(B49="","",ROUND(SUMIFS(AM$5:AM48,B$5:B48,"&gt;="&amp;(B49-WEEKDAY(B49,2)+1),B$5:B48,"&lt;="&amp;B49,BJ$5:BJ48,BJ49),2))</f>
        <v/>
      </c>
      <c r="BB49" s="68" t="str">
        <f aca="false">IF(B49="","",IF(AND(AF49&lt;&gt;"",AV49&lt;&gt;"",N(AF49)&gt;N(AV49)*(1+Settings!$C$13)),"Oversized",IF(AX49&gt;Settings!$C$10,"Overtraded",IF(AY49&lt;=-Settings!$C$11*(AW49-AY49),"Daily loss hit",IF(BA49&lt;=-Settings!$C$12*(AW49-BA49),"Weekly loss hit","OK")))))</f>
        <v/>
      </c>
      <c r="BC49" s="69"/>
      <c r="BD49" s="69"/>
      <c r="BE49" s="69"/>
      <c r="BF49" s="73"/>
      <c r="BG49" s="73"/>
      <c r="BH49" s="71"/>
      <c r="BI49" s="71"/>
      <c r="BJ49" s="68" t="str">
        <f aca="false">IF(B49="","",IF(E49="",Settings!$F$5,E49))</f>
        <v/>
      </c>
      <c r="BK49" s="76" t="str">
        <f aca="false">IF(B49="","",IFERROR(INDEX(Settings!$G$5:$G$10,MATCH(BJ49,Settings!$F$5:$F$10,0)),Settings!$G$5))</f>
        <v/>
      </c>
      <c r="BL49" s="82" t="str">
        <f aca="false">IF(I49="","",IFERROR(1/(1/INDEX(Lists!$C$6:$C$17,MATCH(I49,Lists!$B$6:$B$17,0))),""))</f>
        <v/>
      </c>
      <c r="BM49" s="81" t="str">
        <f aca="false">IF(I49="","",IFERROR(1/(1/INDEX(Lists!$D$6:$D$17,MATCH(I49,Lists!$B$6:$B$17,0))),""))</f>
        <v/>
      </c>
      <c r="BN49" s="76" t="str">
        <f aca="false">IF(AN49="","",MAX(BK49,_xlfn.MAXIFS(AN$6:AN49,BJ$6:BJ49,BJ49)))</f>
        <v/>
      </c>
      <c r="BO49" s="83" t="str">
        <f aca="false">IF(AN49="","",(AN49-BN49)/BN49)</f>
        <v/>
      </c>
      <c r="BP49" s="66" t="n">
        <f aca="false">IF(OR(B49="",AL49=""),0,IF(OR(Settings!$C$28="All Accounts",BJ49=Settings!$C$28),1,0))</f>
        <v>0</v>
      </c>
      <c r="BQ49" s="66" t="str">
        <f aca="false">IF(BP49=1,SUM(BP$6:BP49),"")</f>
        <v/>
      </c>
      <c r="BR49" s="76" t="str">
        <f aca="false">IF(BP49=1,ROUND(Settings!$C$29+SUMIFS(AM$6:AM49,BP$6:BP49,1),2),"")</f>
        <v/>
      </c>
      <c r="BS49" s="76" t="str">
        <f aca="false">IF(BP49=1,MAX(Settings!$C$29,MAX(BR$6:BR49)),"")</f>
        <v/>
      </c>
      <c r="BT49" s="83" t="str">
        <f aca="false">IF(BP49=1,(BR49-BS49)/BS49,"")</f>
        <v/>
      </c>
      <c r="BU49" s="66" t="str">
        <f aca="false">IF(BP49=1,IF(AL49="Win",1+IF(BQ49=1,0,INDEX(BU$5:BU48,MATCH(BQ49-1,BQ$5:BQ48,0))),0),"")</f>
        <v/>
      </c>
      <c r="BV49" s="66" t="str">
        <f aca="false">IF(BP49=1,IF(AL49="Loss",1+IF(BQ49=1,0,INDEX(BV$5:BV48,MATCH(BQ49-1,BQ$5:BQ48,0))),0),"")</f>
        <v/>
      </c>
    </row>
    <row r="50" customFormat="false" ht="15" hidden="false" customHeight="false" outlineLevel="0" collapsed="false">
      <c r="A50" s="66" t="str">
        <f aca="false">IF(B50="","",ROW()-5)</f>
        <v/>
      </c>
      <c r="B50" s="67"/>
      <c r="C50" s="68" t="str">
        <f aca="false">IF(B50="","",CHOOSE(WEEKDAY(B50,2),"Mon","Tue","Wed","Thu","Fri","Sat","Sun"))</f>
        <v/>
      </c>
      <c r="D50" s="66" t="str">
        <f aca="false">IF(B50="","",WEEKNUM(B50,2))</f>
        <v/>
      </c>
      <c r="E50" s="69"/>
      <c r="F50" s="69"/>
      <c r="G50" s="70"/>
      <c r="H50" s="70"/>
      <c r="I50" s="69"/>
      <c r="J50" s="69"/>
      <c r="K50" s="69"/>
      <c r="L50" s="71"/>
      <c r="M50" s="69"/>
      <c r="N50" s="69"/>
      <c r="O50" s="69"/>
      <c r="P50" s="71"/>
      <c r="Q50" s="69"/>
      <c r="R50" s="69"/>
      <c r="S50" s="69"/>
      <c r="T50" s="69"/>
      <c r="U50" s="69"/>
      <c r="V50" s="69"/>
      <c r="W50" s="69"/>
      <c r="X50" s="66" t="str">
        <f aca="false">IF(B50="","",COUNTIF(Q50:W50,"Yes"))</f>
        <v/>
      </c>
      <c r="Y50" s="68" t="str">
        <f aca="false">IF(B50="","",IF(X50&gt;=Settings!$C$16,"A+",IF(X50&gt;=Settings!$C$17,"A",IF(X50&gt;=Settings!$C$18,"B","C"))))</f>
        <v/>
      </c>
      <c r="Z50" s="72"/>
      <c r="AA50" s="72"/>
      <c r="AB50" s="72"/>
      <c r="AC50" s="72"/>
      <c r="AD50" s="72"/>
      <c r="AE50" s="72"/>
      <c r="AF50" s="73"/>
      <c r="AG50" s="74"/>
      <c r="AH50" s="75"/>
      <c r="AI50" s="76" t="str">
        <f aca="false">IF(B50="","",ROUND(IF(AG50="",Settings!$C$5,AG50)*AW50,2))</f>
        <v/>
      </c>
      <c r="AJ50" s="77" t="str">
        <f aca="false">IF(OR(B50="",AB50="",AC50="",AD50=""),"",IFERROR(ROUND(ABS(AD50-AB50)/ABS(AB50-AC50),2),""))</f>
        <v/>
      </c>
      <c r="AK50" s="78" t="str">
        <f aca="false">IF(OR(B50="",AB50="",AC50="",AE50=""),"",IFERROR(ROUND(IF(J50="Short",AB50-AE50,AE50-AB50)/ABS(AB50-AC50),2),""))</f>
        <v/>
      </c>
      <c r="AL50" s="68" t="str">
        <f aca="false">IF(AK50="","",IF(ABS(AK50)&lt;=Settings!$C$6,"BE",IF(AK50&gt;0,"Win","Loss")))</f>
        <v/>
      </c>
      <c r="AM50" s="79" t="str">
        <f aca="false">IF(OR(AK50="",AI50=""),"",ROUND(AK50*AI50-N(AH50),2))</f>
        <v/>
      </c>
      <c r="AN50" s="76" t="str">
        <f aca="false">IF(AM50="","",ROUND(BK50+SUMIFS(AM$6:AM50,BJ$6:BJ50,BJ50),2))</f>
        <v/>
      </c>
      <c r="AO50" s="78" t="str">
        <f aca="false">IF(AK50="","",ROUND(SUMIFS(AK$6:AK50,BJ$6:BJ50,BJ50),2))</f>
        <v/>
      </c>
      <c r="AP50" s="80" t="str">
        <f aca="false">IF(OR(AK50="",BL50=""),"",IFERROR(ROUND(IF(J50="Short",AB50-AE50,AE50-AB50)/BL50,1),""))</f>
        <v/>
      </c>
      <c r="AQ50" s="66" t="str">
        <f aca="false">IF(OR(G50="",H50=""),"",ROUND(MOD(H50-G50,1)*1440,0))</f>
        <v/>
      </c>
      <c r="AR50" s="68" t="str">
        <f aca="false">IF(AQ50="","",IF(AQ50&lt;15,"Under 15m",IF(AQ50&lt;60,"15-60m",IF(AQ50&lt;240,"1-4 hours","4+ hours"))))</f>
        <v/>
      </c>
      <c r="AS50" s="66" t="str">
        <f aca="false">IF(G50="","",HOUR(G50))</f>
        <v/>
      </c>
      <c r="AT50" s="80" t="str">
        <f aca="false">IF(OR(Z50="",AB50="",BL50=""),"",IFERROR(ROUND(IF(J50="Short",Z50-AB50,AB50-Z50)/BL50,1),""))</f>
        <v/>
      </c>
      <c r="AU50" s="68" t="str">
        <f aca="false">IF(OR(AA50="",AC50=""),"",IF(AA50=AC50,"No","Yes"))</f>
        <v/>
      </c>
      <c r="AV50" s="81" t="str">
        <f aca="false">IF(OR(B50="",BL50="",BM50="",AB50="",AC50=""),"",IFERROR(ROUND(AI50/(ABS(AB50-AC50)/BL50*BM50),2),""))</f>
        <v/>
      </c>
      <c r="AW50" s="76" t="str">
        <f aca="false">IF(B50="","",ROUND(BK50+SUMIFS(AM$5:AM49,BJ$5:BJ49,BJ50),2))</f>
        <v/>
      </c>
      <c r="AX50" s="66" t="str">
        <f aca="false">IF(B50="","",COUNTIFS(B$6:B50,B50,BJ$6:BJ50,BJ50))</f>
        <v/>
      </c>
      <c r="AY50" s="79" t="str">
        <f aca="false">IF(B50="","",ROUND(SUMIFS(AM$5:AM49,B$5:B49,B50,BJ$5:BJ49,BJ50),2))</f>
        <v/>
      </c>
      <c r="AZ50" s="79" t="str">
        <f aca="false">IF(AM50="","",ROUND(AY50+AM50,2))</f>
        <v/>
      </c>
      <c r="BA50" s="79" t="str">
        <f aca="false">IF(B50="","",ROUND(SUMIFS(AM$5:AM49,B$5:B49,"&gt;="&amp;(B50-WEEKDAY(B50,2)+1),B$5:B49,"&lt;="&amp;B50,BJ$5:BJ49,BJ50),2))</f>
        <v/>
      </c>
      <c r="BB50" s="68" t="str">
        <f aca="false">IF(B50="","",IF(AND(AF50&lt;&gt;"",AV50&lt;&gt;"",N(AF50)&gt;N(AV50)*(1+Settings!$C$13)),"Oversized",IF(AX50&gt;Settings!$C$10,"Overtraded",IF(AY50&lt;=-Settings!$C$11*(AW50-AY50),"Daily loss hit",IF(BA50&lt;=-Settings!$C$12*(AW50-BA50),"Weekly loss hit","OK")))))</f>
        <v/>
      </c>
      <c r="BC50" s="69"/>
      <c r="BD50" s="69"/>
      <c r="BE50" s="69"/>
      <c r="BF50" s="73"/>
      <c r="BG50" s="73"/>
      <c r="BH50" s="71"/>
      <c r="BI50" s="71"/>
      <c r="BJ50" s="68" t="str">
        <f aca="false">IF(B50="","",IF(E50="",Settings!$F$5,E50))</f>
        <v/>
      </c>
      <c r="BK50" s="76" t="str">
        <f aca="false">IF(B50="","",IFERROR(INDEX(Settings!$G$5:$G$10,MATCH(BJ50,Settings!$F$5:$F$10,0)),Settings!$G$5))</f>
        <v/>
      </c>
      <c r="BL50" s="82" t="str">
        <f aca="false">IF(I50="","",IFERROR(1/(1/INDEX(Lists!$C$6:$C$17,MATCH(I50,Lists!$B$6:$B$17,0))),""))</f>
        <v/>
      </c>
      <c r="BM50" s="81" t="str">
        <f aca="false">IF(I50="","",IFERROR(1/(1/INDEX(Lists!$D$6:$D$17,MATCH(I50,Lists!$B$6:$B$17,0))),""))</f>
        <v/>
      </c>
      <c r="BN50" s="76" t="str">
        <f aca="false">IF(AN50="","",MAX(BK50,_xlfn.MAXIFS(AN$6:AN50,BJ$6:BJ50,BJ50)))</f>
        <v/>
      </c>
      <c r="BO50" s="83" t="str">
        <f aca="false">IF(AN50="","",(AN50-BN50)/BN50)</f>
        <v/>
      </c>
      <c r="BP50" s="66" t="n">
        <f aca="false">IF(OR(B50="",AL50=""),0,IF(OR(Settings!$C$28="All Accounts",BJ50=Settings!$C$28),1,0))</f>
        <v>0</v>
      </c>
      <c r="BQ50" s="66" t="str">
        <f aca="false">IF(BP50=1,SUM(BP$6:BP50),"")</f>
        <v/>
      </c>
      <c r="BR50" s="76" t="str">
        <f aca="false">IF(BP50=1,ROUND(Settings!$C$29+SUMIFS(AM$6:AM50,BP$6:BP50,1),2),"")</f>
        <v/>
      </c>
      <c r="BS50" s="76" t="str">
        <f aca="false">IF(BP50=1,MAX(Settings!$C$29,MAX(BR$6:BR50)),"")</f>
        <v/>
      </c>
      <c r="BT50" s="83" t="str">
        <f aca="false">IF(BP50=1,(BR50-BS50)/BS50,"")</f>
        <v/>
      </c>
      <c r="BU50" s="66" t="str">
        <f aca="false">IF(BP50=1,IF(AL50="Win",1+IF(BQ50=1,0,INDEX(BU$5:BU49,MATCH(BQ50-1,BQ$5:BQ49,0))),0),"")</f>
        <v/>
      </c>
      <c r="BV50" s="66" t="str">
        <f aca="false">IF(BP50=1,IF(AL50="Loss",1+IF(BQ50=1,0,INDEX(BV$5:BV49,MATCH(BQ50-1,BQ$5:BQ49,0))),0),"")</f>
        <v/>
      </c>
    </row>
    <row r="51" customFormat="false" ht="15" hidden="false" customHeight="false" outlineLevel="0" collapsed="false">
      <c r="A51" s="66" t="str">
        <f aca="false">IF(B51="","",ROW()-5)</f>
        <v/>
      </c>
      <c r="B51" s="67"/>
      <c r="C51" s="68" t="str">
        <f aca="false">IF(B51="","",CHOOSE(WEEKDAY(B51,2),"Mon","Tue","Wed","Thu","Fri","Sat","Sun"))</f>
        <v/>
      </c>
      <c r="D51" s="66" t="str">
        <f aca="false">IF(B51="","",WEEKNUM(B51,2))</f>
        <v/>
      </c>
      <c r="E51" s="69"/>
      <c r="F51" s="69"/>
      <c r="G51" s="70"/>
      <c r="H51" s="70"/>
      <c r="I51" s="69"/>
      <c r="J51" s="69"/>
      <c r="K51" s="69"/>
      <c r="L51" s="71"/>
      <c r="M51" s="69"/>
      <c r="N51" s="69"/>
      <c r="O51" s="69"/>
      <c r="P51" s="71"/>
      <c r="Q51" s="69"/>
      <c r="R51" s="69"/>
      <c r="S51" s="69"/>
      <c r="T51" s="69"/>
      <c r="U51" s="69"/>
      <c r="V51" s="69"/>
      <c r="W51" s="69"/>
      <c r="X51" s="66" t="str">
        <f aca="false">IF(B51="","",COUNTIF(Q51:W51,"Yes"))</f>
        <v/>
      </c>
      <c r="Y51" s="68" t="str">
        <f aca="false">IF(B51="","",IF(X51&gt;=Settings!$C$16,"A+",IF(X51&gt;=Settings!$C$17,"A",IF(X51&gt;=Settings!$C$18,"B","C"))))</f>
        <v/>
      </c>
      <c r="Z51" s="72"/>
      <c r="AA51" s="72"/>
      <c r="AB51" s="72"/>
      <c r="AC51" s="72"/>
      <c r="AD51" s="72"/>
      <c r="AE51" s="72"/>
      <c r="AF51" s="73"/>
      <c r="AG51" s="74"/>
      <c r="AH51" s="75"/>
      <c r="AI51" s="76" t="str">
        <f aca="false">IF(B51="","",ROUND(IF(AG51="",Settings!$C$5,AG51)*AW51,2))</f>
        <v/>
      </c>
      <c r="AJ51" s="77" t="str">
        <f aca="false">IF(OR(B51="",AB51="",AC51="",AD51=""),"",IFERROR(ROUND(ABS(AD51-AB51)/ABS(AB51-AC51),2),""))</f>
        <v/>
      </c>
      <c r="AK51" s="78" t="str">
        <f aca="false">IF(OR(B51="",AB51="",AC51="",AE51=""),"",IFERROR(ROUND(IF(J51="Short",AB51-AE51,AE51-AB51)/ABS(AB51-AC51),2),""))</f>
        <v/>
      </c>
      <c r="AL51" s="68" t="str">
        <f aca="false">IF(AK51="","",IF(ABS(AK51)&lt;=Settings!$C$6,"BE",IF(AK51&gt;0,"Win","Loss")))</f>
        <v/>
      </c>
      <c r="AM51" s="79" t="str">
        <f aca="false">IF(OR(AK51="",AI51=""),"",ROUND(AK51*AI51-N(AH51),2))</f>
        <v/>
      </c>
      <c r="AN51" s="76" t="str">
        <f aca="false">IF(AM51="","",ROUND(BK51+SUMIFS(AM$6:AM51,BJ$6:BJ51,BJ51),2))</f>
        <v/>
      </c>
      <c r="AO51" s="78" t="str">
        <f aca="false">IF(AK51="","",ROUND(SUMIFS(AK$6:AK51,BJ$6:BJ51,BJ51),2))</f>
        <v/>
      </c>
      <c r="AP51" s="80" t="str">
        <f aca="false">IF(OR(AK51="",BL51=""),"",IFERROR(ROUND(IF(J51="Short",AB51-AE51,AE51-AB51)/BL51,1),""))</f>
        <v/>
      </c>
      <c r="AQ51" s="66" t="str">
        <f aca="false">IF(OR(G51="",H51=""),"",ROUND(MOD(H51-G51,1)*1440,0))</f>
        <v/>
      </c>
      <c r="AR51" s="68" t="str">
        <f aca="false">IF(AQ51="","",IF(AQ51&lt;15,"Under 15m",IF(AQ51&lt;60,"15-60m",IF(AQ51&lt;240,"1-4 hours","4+ hours"))))</f>
        <v/>
      </c>
      <c r="AS51" s="66" t="str">
        <f aca="false">IF(G51="","",HOUR(G51))</f>
        <v/>
      </c>
      <c r="AT51" s="80" t="str">
        <f aca="false">IF(OR(Z51="",AB51="",BL51=""),"",IFERROR(ROUND(IF(J51="Short",Z51-AB51,AB51-Z51)/BL51,1),""))</f>
        <v/>
      </c>
      <c r="AU51" s="68" t="str">
        <f aca="false">IF(OR(AA51="",AC51=""),"",IF(AA51=AC51,"No","Yes"))</f>
        <v/>
      </c>
      <c r="AV51" s="81" t="str">
        <f aca="false">IF(OR(B51="",BL51="",BM51="",AB51="",AC51=""),"",IFERROR(ROUND(AI51/(ABS(AB51-AC51)/BL51*BM51),2),""))</f>
        <v/>
      </c>
      <c r="AW51" s="76" t="str">
        <f aca="false">IF(B51="","",ROUND(BK51+SUMIFS(AM$5:AM50,BJ$5:BJ50,BJ51),2))</f>
        <v/>
      </c>
      <c r="AX51" s="66" t="str">
        <f aca="false">IF(B51="","",COUNTIFS(B$6:B51,B51,BJ$6:BJ51,BJ51))</f>
        <v/>
      </c>
      <c r="AY51" s="79" t="str">
        <f aca="false">IF(B51="","",ROUND(SUMIFS(AM$5:AM50,B$5:B50,B51,BJ$5:BJ50,BJ51),2))</f>
        <v/>
      </c>
      <c r="AZ51" s="79" t="str">
        <f aca="false">IF(AM51="","",ROUND(AY51+AM51,2))</f>
        <v/>
      </c>
      <c r="BA51" s="79" t="str">
        <f aca="false">IF(B51="","",ROUND(SUMIFS(AM$5:AM50,B$5:B50,"&gt;="&amp;(B51-WEEKDAY(B51,2)+1),B$5:B50,"&lt;="&amp;B51,BJ$5:BJ50,BJ51),2))</f>
        <v/>
      </c>
      <c r="BB51" s="68" t="str">
        <f aca="false">IF(B51="","",IF(AND(AF51&lt;&gt;"",AV51&lt;&gt;"",N(AF51)&gt;N(AV51)*(1+Settings!$C$13)),"Oversized",IF(AX51&gt;Settings!$C$10,"Overtraded",IF(AY51&lt;=-Settings!$C$11*(AW51-AY51),"Daily loss hit",IF(BA51&lt;=-Settings!$C$12*(AW51-BA51),"Weekly loss hit","OK")))))</f>
        <v/>
      </c>
      <c r="BC51" s="69"/>
      <c r="BD51" s="69"/>
      <c r="BE51" s="69"/>
      <c r="BF51" s="73"/>
      <c r="BG51" s="73"/>
      <c r="BH51" s="71"/>
      <c r="BI51" s="71"/>
      <c r="BJ51" s="68" t="str">
        <f aca="false">IF(B51="","",IF(E51="",Settings!$F$5,E51))</f>
        <v/>
      </c>
      <c r="BK51" s="76" t="str">
        <f aca="false">IF(B51="","",IFERROR(INDEX(Settings!$G$5:$G$10,MATCH(BJ51,Settings!$F$5:$F$10,0)),Settings!$G$5))</f>
        <v/>
      </c>
      <c r="BL51" s="82" t="str">
        <f aca="false">IF(I51="","",IFERROR(1/(1/INDEX(Lists!$C$6:$C$17,MATCH(I51,Lists!$B$6:$B$17,0))),""))</f>
        <v/>
      </c>
      <c r="BM51" s="81" t="str">
        <f aca="false">IF(I51="","",IFERROR(1/(1/INDEX(Lists!$D$6:$D$17,MATCH(I51,Lists!$B$6:$B$17,0))),""))</f>
        <v/>
      </c>
      <c r="BN51" s="76" t="str">
        <f aca="false">IF(AN51="","",MAX(BK51,_xlfn.MAXIFS(AN$6:AN51,BJ$6:BJ51,BJ51)))</f>
        <v/>
      </c>
      <c r="BO51" s="83" t="str">
        <f aca="false">IF(AN51="","",(AN51-BN51)/BN51)</f>
        <v/>
      </c>
      <c r="BP51" s="66" t="n">
        <f aca="false">IF(OR(B51="",AL51=""),0,IF(OR(Settings!$C$28="All Accounts",BJ51=Settings!$C$28),1,0))</f>
        <v>0</v>
      </c>
      <c r="BQ51" s="66" t="str">
        <f aca="false">IF(BP51=1,SUM(BP$6:BP51),"")</f>
        <v/>
      </c>
      <c r="BR51" s="76" t="str">
        <f aca="false">IF(BP51=1,ROUND(Settings!$C$29+SUMIFS(AM$6:AM51,BP$6:BP51,1),2),"")</f>
        <v/>
      </c>
      <c r="BS51" s="76" t="str">
        <f aca="false">IF(BP51=1,MAX(Settings!$C$29,MAX(BR$6:BR51)),"")</f>
        <v/>
      </c>
      <c r="BT51" s="83" t="str">
        <f aca="false">IF(BP51=1,(BR51-BS51)/BS51,"")</f>
        <v/>
      </c>
      <c r="BU51" s="66" t="str">
        <f aca="false">IF(BP51=1,IF(AL51="Win",1+IF(BQ51=1,0,INDEX(BU$5:BU50,MATCH(BQ51-1,BQ$5:BQ50,0))),0),"")</f>
        <v/>
      </c>
      <c r="BV51" s="66" t="str">
        <f aca="false">IF(BP51=1,IF(AL51="Loss",1+IF(BQ51=1,0,INDEX(BV$5:BV50,MATCH(BQ51-1,BQ$5:BQ50,0))),0),"")</f>
        <v/>
      </c>
    </row>
    <row r="52" customFormat="false" ht="15" hidden="false" customHeight="false" outlineLevel="0" collapsed="false">
      <c r="A52" s="66" t="str">
        <f aca="false">IF(B52="","",ROW()-5)</f>
        <v/>
      </c>
      <c r="B52" s="67"/>
      <c r="C52" s="68" t="str">
        <f aca="false">IF(B52="","",CHOOSE(WEEKDAY(B52,2),"Mon","Tue","Wed","Thu","Fri","Sat","Sun"))</f>
        <v/>
      </c>
      <c r="D52" s="66" t="str">
        <f aca="false">IF(B52="","",WEEKNUM(B52,2))</f>
        <v/>
      </c>
      <c r="E52" s="69"/>
      <c r="F52" s="69"/>
      <c r="G52" s="70"/>
      <c r="H52" s="70"/>
      <c r="I52" s="69"/>
      <c r="J52" s="69"/>
      <c r="K52" s="69"/>
      <c r="L52" s="71"/>
      <c r="M52" s="69"/>
      <c r="N52" s="69"/>
      <c r="O52" s="69"/>
      <c r="P52" s="71"/>
      <c r="Q52" s="69"/>
      <c r="R52" s="69"/>
      <c r="S52" s="69"/>
      <c r="T52" s="69"/>
      <c r="U52" s="69"/>
      <c r="V52" s="69"/>
      <c r="W52" s="69"/>
      <c r="X52" s="66" t="str">
        <f aca="false">IF(B52="","",COUNTIF(Q52:W52,"Yes"))</f>
        <v/>
      </c>
      <c r="Y52" s="68" t="str">
        <f aca="false">IF(B52="","",IF(X52&gt;=Settings!$C$16,"A+",IF(X52&gt;=Settings!$C$17,"A",IF(X52&gt;=Settings!$C$18,"B","C"))))</f>
        <v/>
      </c>
      <c r="Z52" s="72"/>
      <c r="AA52" s="72"/>
      <c r="AB52" s="72"/>
      <c r="AC52" s="72"/>
      <c r="AD52" s="72"/>
      <c r="AE52" s="72"/>
      <c r="AF52" s="73"/>
      <c r="AG52" s="74"/>
      <c r="AH52" s="75"/>
      <c r="AI52" s="76" t="str">
        <f aca="false">IF(B52="","",ROUND(IF(AG52="",Settings!$C$5,AG52)*AW52,2))</f>
        <v/>
      </c>
      <c r="AJ52" s="77" t="str">
        <f aca="false">IF(OR(B52="",AB52="",AC52="",AD52=""),"",IFERROR(ROUND(ABS(AD52-AB52)/ABS(AB52-AC52),2),""))</f>
        <v/>
      </c>
      <c r="AK52" s="78" t="str">
        <f aca="false">IF(OR(B52="",AB52="",AC52="",AE52=""),"",IFERROR(ROUND(IF(J52="Short",AB52-AE52,AE52-AB52)/ABS(AB52-AC52),2),""))</f>
        <v/>
      </c>
      <c r="AL52" s="68" t="str">
        <f aca="false">IF(AK52="","",IF(ABS(AK52)&lt;=Settings!$C$6,"BE",IF(AK52&gt;0,"Win","Loss")))</f>
        <v/>
      </c>
      <c r="AM52" s="79" t="str">
        <f aca="false">IF(OR(AK52="",AI52=""),"",ROUND(AK52*AI52-N(AH52),2))</f>
        <v/>
      </c>
      <c r="AN52" s="76" t="str">
        <f aca="false">IF(AM52="","",ROUND(BK52+SUMIFS(AM$6:AM52,BJ$6:BJ52,BJ52),2))</f>
        <v/>
      </c>
      <c r="AO52" s="78" t="str">
        <f aca="false">IF(AK52="","",ROUND(SUMIFS(AK$6:AK52,BJ$6:BJ52,BJ52),2))</f>
        <v/>
      </c>
      <c r="AP52" s="80" t="str">
        <f aca="false">IF(OR(AK52="",BL52=""),"",IFERROR(ROUND(IF(J52="Short",AB52-AE52,AE52-AB52)/BL52,1),""))</f>
        <v/>
      </c>
      <c r="AQ52" s="66" t="str">
        <f aca="false">IF(OR(G52="",H52=""),"",ROUND(MOD(H52-G52,1)*1440,0))</f>
        <v/>
      </c>
      <c r="AR52" s="68" t="str">
        <f aca="false">IF(AQ52="","",IF(AQ52&lt;15,"Under 15m",IF(AQ52&lt;60,"15-60m",IF(AQ52&lt;240,"1-4 hours","4+ hours"))))</f>
        <v/>
      </c>
      <c r="AS52" s="66" t="str">
        <f aca="false">IF(G52="","",HOUR(G52))</f>
        <v/>
      </c>
      <c r="AT52" s="80" t="str">
        <f aca="false">IF(OR(Z52="",AB52="",BL52=""),"",IFERROR(ROUND(IF(J52="Short",Z52-AB52,AB52-Z52)/BL52,1),""))</f>
        <v/>
      </c>
      <c r="AU52" s="68" t="str">
        <f aca="false">IF(OR(AA52="",AC52=""),"",IF(AA52=AC52,"No","Yes"))</f>
        <v/>
      </c>
      <c r="AV52" s="81" t="str">
        <f aca="false">IF(OR(B52="",BL52="",BM52="",AB52="",AC52=""),"",IFERROR(ROUND(AI52/(ABS(AB52-AC52)/BL52*BM52),2),""))</f>
        <v/>
      </c>
      <c r="AW52" s="76" t="str">
        <f aca="false">IF(B52="","",ROUND(BK52+SUMIFS(AM$5:AM51,BJ$5:BJ51,BJ52),2))</f>
        <v/>
      </c>
      <c r="AX52" s="66" t="str">
        <f aca="false">IF(B52="","",COUNTIFS(B$6:B52,B52,BJ$6:BJ52,BJ52))</f>
        <v/>
      </c>
      <c r="AY52" s="79" t="str">
        <f aca="false">IF(B52="","",ROUND(SUMIFS(AM$5:AM51,B$5:B51,B52,BJ$5:BJ51,BJ52),2))</f>
        <v/>
      </c>
      <c r="AZ52" s="79" t="str">
        <f aca="false">IF(AM52="","",ROUND(AY52+AM52,2))</f>
        <v/>
      </c>
      <c r="BA52" s="79" t="str">
        <f aca="false">IF(B52="","",ROUND(SUMIFS(AM$5:AM51,B$5:B51,"&gt;="&amp;(B52-WEEKDAY(B52,2)+1),B$5:B51,"&lt;="&amp;B52,BJ$5:BJ51,BJ52),2))</f>
        <v/>
      </c>
      <c r="BB52" s="68" t="str">
        <f aca="false">IF(B52="","",IF(AND(AF52&lt;&gt;"",AV52&lt;&gt;"",N(AF52)&gt;N(AV52)*(1+Settings!$C$13)),"Oversized",IF(AX52&gt;Settings!$C$10,"Overtraded",IF(AY52&lt;=-Settings!$C$11*(AW52-AY52),"Daily loss hit",IF(BA52&lt;=-Settings!$C$12*(AW52-BA52),"Weekly loss hit","OK")))))</f>
        <v/>
      </c>
      <c r="BC52" s="69"/>
      <c r="BD52" s="69"/>
      <c r="BE52" s="69"/>
      <c r="BF52" s="73"/>
      <c r="BG52" s="73"/>
      <c r="BH52" s="71"/>
      <c r="BI52" s="71"/>
      <c r="BJ52" s="68" t="str">
        <f aca="false">IF(B52="","",IF(E52="",Settings!$F$5,E52))</f>
        <v/>
      </c>
      <c r="BK52" s="76" t="str">
        <f aca="false">IF(B52="","",IFERROR(INDEX(Settings!$G$5:$G$10,MATCH(BJ52,Settings!$F$5:$F$10,0)),Settings!$G$5))</f>
        <v/>
      </c>
      <c r="BL52" s="82" t="str">
        <f aca="false">IF(I52="","",IFERROR(1/(1/INDEX(Lists!$C$6:$C$17,MATCH(I52,Lists!$B$6:$B$17,0))),""))</f>
        <v/>
      </c>
      <c r="BM52" s="81" t="str">
        <f aca="false">IF(I52="","",IFERROR(1/(1/INDEX(Lists!$D$6:$D$17,MATCH(I52,Lists!$B$6:$B$17,0))),""))</f>
        <v/>
      </c>
      <c r="BN52" s="76" t="str">
        <f aca="false">IF(AN52="","",MAX(BK52,_xlfn.MAXIFS(AN$6:AN52,BJ$6:BJ52,BJ52)))</f>
        <v/>
      </c>
      <c r="BO52" s="83" t="str">
        <f aca="false">IF(AN52="","",(AN52-BN52)/BN52)</f>
        <v/>
      </c>
      <c r="BP52" s="66" t="n">
        <f aca="false">IF(OR(B52="",AL52=""),0,IF(OR(Settings!$C$28="All Accounts",BJ52=Settings!$C$28),1,0))</f>
        <v>0</v>
      </c>
      <c r="BQ52" s="66" t="str">
        <f aca="false">IF(BP52=1,SUM(BP$6:BP52),"")</f>
        <v/>
      </c>
      <c r="BR52" s="76" t="str">
        <f aca="false">IF(BP52=1,ROUND(Settings!$C$29+SUMIFS(AM$6:AM52,BP$6:BP52,1),2),"")</f>
        <v/>
      </c>
      <c r="BS52" s="76" t="str">
        <f aca="false">IF(BP52=1,MAX(Settings!$C$29,MAX(BR$6:BR52)),"")</f>
        <v/>
      </c>
      <c r="BT52" s="83" t="str">
        <f aca="false">IF(BP52=1,(BR52-BS52)/BS52,"")</f>
        <v/>
      </c>
      <c r="BU52" s="66" t="str">
        <f aca="false">IF(BP52=1,IF(AL52="Win",1+IF(BQ52=1,0,INDEX(BU$5:BU51,MATCH(BQ52-1,BQ$5:BQ51,0))),0),"")</f>
        <v/>
      </c>
      <c r="BV52" s="66" t="str">
        <f aca="false">IF(BP52=1,IF(AL52="Loss",1+IF(BQ52=1,0,INDEX(BV$5:BV51,MATCH(BQ52-1,BQ$5:BQ51,0))),0),"")</f>
        <v/>
      </c>
    </row>
    <row r="53" customFormat="false" ht="15" hidden="false" customHeight="false" outlineLevel="0" collapsed="false">
      <c r="A53" s="66" t="str">
        <f aca="false">IF(B53="","",ROW()-5)</f>
        <v/>
      </c>
      <c r="B53" s="67"/>
      <c r="C53" s="68" t="str">
        <f aca="false">IF(B53="","",CHOOSE(WEEKDAY(B53,2),"Mon","Tue","Wed","Thu","Fri","Sat","Sun"))</f>
        <v/>
      </c>
      <c r="D53" s="66" t="str">
        <f aca="false">IF(B53="","",WEEKNUM(B53,2))</f>
        <v/>
      </c>
      <c r="E53" s="69"/>
      <c r="F53" s="69"/>
      <c r="G53" s="70"/>
      <c r="H53" s="70"/>
      <c r="I53" s="69"/>
      <c r="J53" s="69"/>
      <c r="K53" s="69"/>
      <c r="L53" s="71"/>
      <c r="M53" s="69"/>
      <c r="N53" s="69"/>
      <c r="O53" s="69"/>
      <c r="P53" s="71"/>
      <c r="Q53" s="69"/>
      <c r="R53" s="69"/>
      <c r="S53" s="69"/>
      <c r="T53" s="69"/>
      <c r="U53" s="69"/>
      <c r="V53" s="69"/>
      <c r="W53" s="69"/>
      <c r="X53" s="66" t="str">
        <f aca="false">IF(B53="","",COUNTIF(Q53:W53,"Yes"))</f>
        <v/>
      </c>
      <c r="Y53" s="68" t="str">
        <f aca="false">IF(B53="","",IF(X53&gt;=Settings!$C$16,"A+",IF(X53&gt;=Settings!$C$17,"A",IF(X53&gt;=Settings!$C$18,"B","C"))))</f>
        <v/>
      </c>
      <c r="Z53" s="72"/>
      <c r="AA53" s="72"/>
      <c r="AB53" s="72"/>
      <c r="AC53" s="72"/>
      <c r="AD53" s="72"/>
      <c r="AE53" s="72"/>
      <c r="AF53" s="73"/>
      <c r="AG53" s="74"/>
      <c r="AH53" s="75"/>
      <c r="AI53" s="76" t="str">
        <f aca="false">IF(B53="","",ROUND(IF(AG53="",Settings!$C$5,AG53)*AW53,2))</f>
        <v/>
      </c>
      <c r="AJ53" s="77" t="str">
        <f aca="false">IF(OR(B53="",AB53="",AC53="",AD53=""),"",IFERROR(ROUND(ABS(AD53-AB53)/ABS(AB53-AC53),2),""))</f>
        <v/>
      </c>
      <c r="AK53" s="78" t="str">
        <f aca="false">IF(OR(B53="",AB53="",AC53="",AE53=""),"",IFERROR(ROUND(IF(J53="Short",AB53-AE53,AE53-AB53)/ABS(AB53-AC53),2),""))</f>
        <v/>
      </c>
      <c r="AL53" s="68" t="str">
        <f aca="false">IF(AK53="","",IF(ABS(AK53)&lt;=Settings!$C$6,"BE",IF(AK53&gt;0,"Win","Loss")))</f>
        <v/>
      </c>
      <c r="AM53" s="79" t="str">
        <f aca="false">IF(OR(AK53="",AI53=""),"",ROUND(AK53*AI53-N(AH53),2))</f>
        <v/>
      </c>
      <c r="AN53" s="76" t="str">
        <f aca="false">IF(AM53="","",ROUND(BK53+SUMIFS(AM$6:AM53,BJ$6:BJ53,BJ53),2))</f>
        <v/>
      </c>
      <c r="AO53" s="78" t="str">
        <f aca="false">IF(AK53="","",ROUND(SUMIFS(AK$6:AK53,BJ$6:BJ53,BJ53),2))</f>
        <v/>
      </c>
      <c r="AP53" s="80" t="str">
        <f aca="false">IF(OR(AK53="",BL53=""),"",IFERROR(ROUND(IF(J53="Short",AB53-AE53,AE53-AB53)/BL53,1),""))</f>
        <v/>
      </c>
      <c r="AQ53" s="66" t="str">
        <f aca="false">IF(OR(G53="",H53=""),"",ROUND(MOD(H53-G53,1)*1440,0))</f>
        <v/>
      </c>
      <c r="AR53" s="68" t="str">
        <f aca="false">IF(AQ53="","",IF(AQ53&lt;15,"Under 15m",IF(AQ53&lt;60,"15-60m",IF(AQ53&lt;240,"1-4 hours","4+ hours"))))</f>
        <v/>
      </c>
      <c r="AS53" s="66" t="str">
        <f aca="false">IF(G53="","",HOUR(G53))</f>
        <v/>
      </c>
      <c r="AT53" s="80" t="str">
        <f aca="false">IF(OR(Z53="",AB53="",BL53=""),"",IFERROR(ROUND(IF(J53="Short",Z53-AB53,AB53-Z53)/BL53,1),""))</f>
        <v/>
      </c>
      <c r="AU53" s="68" t="str">
        <f aca="false">IF(OR(AA53="",AC53=""),"",IF(AA53=AC53,"No","Yes"))</f>
        <v/>
      </c>
      <c r="AV53" s="81" t="str">
        <f aca="false">IF(OR(B53="",BL53="",BM53="",AB53="",AC53=""),"",IFERROR(ROUND(AI53/(ABS(AB53-AC53)/BL53*BM53),2),""))</f>
        <v/>
      </c>
      <c r="AW53" s="76" t="str">
        <f aca="false">IF(B53="","",ROUND(BK53+SUMIFS(AM$5:AM52,BJ$5:BJ52,BJ53),2))</f>
        <v/>
      </c>
      <c r="AX53" s="66" t="str">
        <f aca="false">IF(B53="","",COUNTIFS(B$6:B53,B53,BJ$6:BJ53,BJ53))</f>
        <v/>
      </c>
      <c r="AY53" s="79" t="str">
        <f aca="false">IF(B53="","",ROUND(SUMIFS(AM$5:AM52,B$5:B52,B53,BJ$5:BJ52,BJ53),2))</f>
        <v/>
      </c>
      <c r="AZ53" s="79" t="str">
        <f aca="false">IF(AM53="","",ROUND(AY53+AM53,2))</f>
        <v/>
      </c>
      <c r="BA53" s="79" t="str">
        <f aca="false">IF(B53="","",ROUND(SUMIFS(AM$5:AM52,B$5:B52,"&gt;="&amp;(B53-WEEKDAY(B53,2)+1),B$5:B52,"&lt;="&amp;B53,BJ$5:BJ52,BJ53),2))</f>
        <v/>
      </c>
      <c r="BB53" s="68" t="str">
        <f aca="false">IF(B53="","",IF(AND(AF53&lt;&gt;"",AV53&lt;&gt;"",N(AF53)&gt;N(AV53)*(1+Settings!$C$13)),"Oversized",IF(AX53&gt;Settings!$C$10,"Overtraded",IF(AY53&lt;=-Settings!$C$11*(AW53-AY53),"Daily loss hit",IF(BA53&lt;=-Settings!$C$12*(AW53-BA53),"Weekly loss hit","OK")))))</f>
        <v/>
      </c>
      <c r="BC53" s="69"/>
      <c r="BD53" s="69"/>
      <c r="BE53" s="69"/>
      <c r="BF53" s="73"/>
      <c r="BG53" s="73"/>
      <c r="BH53" s="71"/>
      <c r="BI53" s="71"/>
      <c r="BJ53" s="68" t="str">
        <f aca="false">IF(B53="","",IF(E53="",Settings!$F$5,E53))</f>
        <v/>
      </c>
      <c r="BK53" s="76" t="str">
        <f aca="false">IF(B53="","",IFERROR(INDEX(Settings!$G$5:$G$10,MATCH(BJ53,Settings!$F$5:$F$10,0)),Settings!$G$5))</f>
        <v/>
      </c>
      <c r="BL53" s="82" t="str">
        <f aca="false">IF(I53="","",IFERROR(1/(1/INDEX(Lists!$C$6:$C$17,MATCH(I53,Lists!$B$6:$B$17,0))),""))</f>
        <v/>
      </c>
      <c r="BM53" s="81" t="str">
        <f aca="false">IF(I53="","",IFERROR(1/(1/INDEX(Lists!$D$6:$D$17,MATCH(I53,Lists!$B$6:$B$17,0))),""))</f>
        <v/>
      </c>
      <c r="BN53" s="76" t="str">
        <f aca="false">IF(AN53="","",MAX(BK53,_xlfn.MAXIFS(AN$6:AN53,BJ$6:BJ53,BJ53)))</f>
        <v/>
      </c>
      <c r="BO53" s="83" t="str">
        <f aca="false">IF(AN53="","",(AN53-BN53)/BN53)</f>
        <v/>
      </c>
      <c r="BP53" s="66" t="n">
        <f aca="false">IF(OR(B53="",AL53=""),0,IF(OR(Settings!$C$28="All Accounts",BJ53=Settings!$C$28),1,0))</f>
        <v>0</v>
      </c>
      <c r="BQ53" s="66" t="str">
        <f aca="false">IF(BP53=1,SUM(BP$6:BP53),"")</f>
        <v/>
      </c>
      <c r="BR53" s="76" t="str">
        <f aca="false">IF(BP53=1,ROUND(Settings!$C$29+SUMIFS(AM$6:AM53,BP$6:BP53,1),2),"")</f>
        <v/>
      </c>
      <c r="BS53" s="76" t="str">
        <f aca="false">IF(BP53=1,MAX(Settings!$C$29,MAX(BR$6:BR53)),"")</f>
        <v/>
      </c>
      <c r="BT53" s="83" t="str">
        <f aca="false">IF(BP53=1,(BR53-BS53)/BS53,"")</f>
        <v/>
      </c>
      <c r="BU53" s="66" t="str">
        <f aca="false">IF(BP53=1,IF(AL53="Win",1+IF(BQ53=1,0,INDEX(BU$5:BU52,MATCH(BQ53-1,BQ$5:BQ52,0))),0),"")</f>
        <v/>
      </c>
      <c r="BV53" s="66" t="str">
        <f aca="false">IF(BP53=1,IF(AL53="Loss",1+IF(BQ53=1,0,INDEX(BV$5:BV52,MATCH(BQ53-1,BQ$5:BQ52,0))),0),"")</f>
        <v/>
      </c>
    </row>
    <row r="54" customFormat="false" ht="15" hidden="false" customHeight="false" outlineLevel="0" collapsed="false">
      <c r="A54" s="66" t="str">
        <f aca="false">IF(B54="","",ROW()-5)</f>
        <v/>
      </c>
      <c r="B54" s="67"/>
      <c r="C54" s="68" t="str">
        <f aca="false">IF(B54="","",CHOOSE(WEEKDAY(B54,2),"Mon","Tue","Wed","Thu","Fri","Sat","Sun"))</f>
        <v/>
      </c>
      <c r="D54" s="66" t="str">
        <f aca="false">IF(B54="","",WEEKNUM(B54,2))</f>
        <v/>
      </c>
      <c r="E54" s="69"/>
      <c r="F54" s="69"/>
      <c r="G54" s="70"/>
      <c r="H54" s="70"/>
      <c r="I54" s="69"/>
      <c r="J54" s="69"/>
      <c r="K54" s="69"/>
      <c r="L54" s="71"/>
      <c r="M54" s="69"/>
      <c r="N54" s="69"/>
      <c r="O54" s="69"/>
      <c r="P54" s="71"/>
      <c r="Q54" s="69"/>
      <c r="R54" s="69"/>
      <c r="S54" s="69"/>
      <c r="T54" s="69"/>
      <c r="U54" s="69"/>
      <c r="V54" s="69"/>
      <c r="W54" s="69"/>
      <c r="X54" s="66" t="str">
        <f aca="false">IF(B54="","",COUNTIF(Q54:W54,"Yes"))</f>
        <v/>
      </c>
      <c r="Y54" s="68" t="str">
        <f aca="false">IF(B54="","",IF(X54&gt;=Settings!$C$16,"A+",IF(X54&gt;=Settings!$C$17,"A",IF(X54&gt;=Settings!$C$18,"B","C"))))</f>
        <v/>
      </c>
      <c r="Z54" s="72"/>
      <c r="AA54" s="72"/>
      <c r="AB54" s="72"/>
      <c r="AC54" s="72"/>
      <c r="AD54" s="72"/>
      <c r="AE54" s="72"/>
      <c r="AF54" s="73"/>
      <c r="AG54" s="74"/>
      <c r="AH54" s="75"/>
      <c r="AI54" s="76" t="str">
        <f aca="false">IF(B54="","",ROUND(IF(AG54="",Settings!$C$5,AG54)*AW54,2))</f>
        <v/>
      </c>
      <c r="AJ54" s="77" t="str">
        <f aca="false">IF(OR(B54="",AB54="",AC54="",AD54=""),"",IFERROR(ROUND(ABS(AD54-AB54)/ABS(AB54-AC54),2),""))</f>
        <v/>
      </c>
      <c r="AK54" s="78" t="str">
        <f aca="false">IF(OR(B54="",AB54="",AC54="",AE54=""),"",IFERROR(ROUND(IF(J54="Short",AB54-AE54,AE54-AB54)/ABS(AB54-AC54),2),""))</f>
        <v/>
      </c>
      <c r="AL54" s="68" t="str">
        <f aca="false">IF(AK54="","",IF(ABS(AK54)&lt;=Settings!$C$6,"BE",IF(AK54&gt;0,"Win","Loss")))</f>
        <v/>
      </c>
      <c r="AM54" s="79" t="str">
        <f aca="false">IF(OR(AK54="",AI54=""),"",ROUND(AK54*AI54-N(AH54),2))</f>
        <v/>
      </c>
      <c r="AN54" s="76" t="str">
        <f aca="false">IF(AM54="","",ROUND(BK54+SUMIFS(AM$6:AM54,BJ$6:BJ54,BJ54),2))</f>
        <v/>
      </c>
      <c r="AO54" s="78" t="str">
        <f aca="false">IF(AK54="","",ROUND(SUMIFS(AK$6:AK54,BJ$6:BJ54,BJ54),2))</f>
        <v/>
      </c>
      <c r="AP54" s="80" t="str">
        <f aca="false">IF(OR(AK54="",BL54=""),"",IFERROR(ROUND(IF(J54="Short",AB54-AE54,AE54-AB54)/BL54,1),""))</f>
        <v/>
      </c>
      <c r="AQ54" s="66" t="str">
        <f aca="false">IF(OR(G54="",H54=""),"",ROUND(MOD(H54-G54,1)*1440,0))</f>
        <v/>
      </c>
      <c r="AR54" s="68" t="str">
        <f aca="false">IF(AQ54="","",IF(AQ54&lt;15,"Under 15m",IF(AQ54&lt;60,"15-60m",IF(AQ54&lt;240,"1-4 hours","4+ hours"))))</f>
        <v/>
      </c>
      <c r="AS54" s="66" t="str">
        <f aca="false">IF(G54="","",HOUR(G54))</f>
        <v/>
      </c>
      <c r="AT54" s="80" t="str">
        <f aca="false">IF(OR(Z54="",AB54="",BL54=""),"",IFERROR(ROUND(IF(J54="Short",Z54-AB54,AB54-Z54)/BL54,1),""))</f>
        <v/>
      </c>
      <c r="AU54" s="68" t="str">
        <f aca="false">IF(OR(AA54="",AC54=""),"",IF(AA54=AC54,"No","Yes"))</f>
        <v/>
      </c>
      <c r="AV54" s="81" t="str">
        <f aca="false">IF(OR(B54="",BL54="",BM54="",AB54="",AC54=""),"",IFERROR(ROUND(AI54/(ABS(AB54-AC54)/BL54*BM54),2),""))</f>
        <v/>
      </c>
      <c r="AW54" s="76" t="str">
        <f aca="false">IF(B54="","",ROUND(BK54+SUMIFS(AM$5:AM53,BJ$5:BJ53,BJ54),2))</f>
        <v/>
      </c>
      <c r="AX54" s="66" t="str">
        <f aca="false">IF(B54="","",COUNTIFS(B$6:B54,B54,BJ$6:BJ54,BJ54))</f>
        <v/>
      </c>
      <c r="AY54" s="79" t="str">
        <f aca="false">IF(B54="","",ROUND(SUMIFS(AM$5:AM53,B$5:B53,B54,BJ$5:BJ53,BJ54),2))</f>
        <v/>
      </c>
      <c r="AZ54" s="79" t="str">
        <f aca="false">IF(AM54="","",ROUND(AY54+AM54,2))</f>
        <v/>
      </c>
      <c r="BA54" s="79" t="str">
        <f aca="false">IF(B54="","",ROUND(SUMIFS(AM$5:AM53,B$5:B53,"&gt;="&amp;(B54-WEEKDAY(B54,2)+1),B$5:B53,"&lt;="&amp;B54,BJ$5:BJ53,BJ54),2))</f>
        <v/>
      </c>
      <c r="BB54" s="68" t="str">
        <f aca="false">IF(B54="","",IF(AND(AF54&lt;&gt;"",AV54&lt;&gt;"",N(AF54)&gt;N(AV54)*(1+Settings!$C$13)),"Oversized",IF(AX54&gt;Settings!$C$10,"Overtraded",IF(AY54&lt;=-Settings!$C$11*(AW54-AY54),"Daily loss hit",IF(BA54&lt;=-Settings!$C$12*(AW54-BA54),"Weekly loss hit","OK")))))</f>
        <v/>
      </c>
      <c r="BC54" s="69"/>
      <c r="BD54" s="69"/>
      <c r="BE54" s="69"/>
      <c r="BF54" s="73"/>
      <c r="BG54" s="73"/>
      <c r="BH54" s="71"/>
      <c r="BI54" s="71"/>
      <c r="BJ54" s="68" t="str">
        <f aca="false">IF(B54="","",IF(E54="",Settings!$F$5,E54))</f>
        <v/>
      </c>
      <c r="BK54" s="76" t="str">
        <f aca="false">IF(B54="","",IFERROR(INDEX(Settings!$G$5:$G$10,MATCH(BJ54,Settings!$F$5:$F$10,0)),Settings!$G$5))</f>
        <v/>
      </c>
      <c r="BL54" s="82" t="str">
        <f aca="false">IF(I54="","",IFERROR(1/(1/INDEX(Lists!$C$6:$C$17,MATCH(I54,Lists!$B$6:$B$17,0))),""))</f>
        <v/>
      </c>
      <c r="BM54" s="81" t="str">
        <f aca="false">IF(I54="","",IFERROR(1/(1/INDEX(Lists!$D$6:$D$17,MATCH(I54,Lists!$B$6:$B$17,0))),""))</f>
        <v/>
      </c>
      <c r="BN54" s="76" t="str">
        <f aca="false">IF(AN54="","",MAX(BK54,_xlfn.MAXIFS(AN$6:AN54,BJ$6:BJ54,BJ54)))</f>
        <v/>
      </c>
      <c r="BO54" s="83" t="str">
        <f aca="false">IF(AN54="","",(AN54-BN54)/BN54)</f>
        <v/>
      </c>
      <c r="BP54" s="66" t="n">
        <f aca="false">IF(OR(B54="",AL54=""),0,IF(OR(Settings!$C$28="All Accounts",BJ54=Settings!$C$28),1,0))</f>
        <v>0</v>
      </c>
      <c r="BQ54" s="66" t="str">
        <f aca="false">IF(BP54=1,SUM(BP$6:BP54),"")</f>
        <v/>
      </c>
      <c r="BR54" s="76" t="str">
        <f aca="false">IF(BP54=1,ROUND(Settings!$C$29+SUMIFS(AM$6:AM54,BP$6:BP54,1),2),"")</f>
        <v/>
      </c>
      <c r="BS54" s="76" t="str">
        <f aca="false">IF(BP54=1,MAX(Settings!$C$29,MAX(BR$6:BR54)),"")</f>
        <v/>
      </c>
      <c r="BT54" s="83" t="str">
        <f aca="false">IF(BP54=1,(BR54-BS54)/BS54,"")</f>
        <v/>
      </c>
      <c r="BU54" s="66" t="str">
        <f aca="false">IF(BP54=1,IF(AL54="Win",1+IF(BQ54=1,0,INDEX(BU$5:BU53,MATCH(BQ54-1,BQ$5:BQ53,0))),0),"")</f>
        <v/>
      </c>
      <c r="BV54" s="66" t="str">
        <f aca="false">IF(BP54=1,IF(AL54="Loss",1+IF(BQ54=1,0,INDEX(BV$5:BV53,MATCH(BQ54-1,BQ$5:BQ53,0))),0),"")</f>
        <v/>
      </c>
    </row>
    <row r="55" customFormat="false" ht="15" hidden="false" customHeight="false" outlineLevel="0" collapsed="false">
      <c r="A55" s="66" t="str">
        <f aca="false">IF(B55="","",ROW()-5)</f>
        <v/>
      </c>
      <c r="B55" s="67"/>
      <c r="C55" s="68" t="str">
        <f aca="false">IF(B55="","",CHOOSE(WEEKDAY(B55,2),"Mon","Tue","Wed","Thu","Fri","Sat","Sun"))</f>
        <v/>
      </c>
      <c r="D55" s="66" t="str">
        <f aca="false">IF(B55="","",WEEKNUM(B55,2))</f>
        <v/>
      </c>
      <c r="E55" s="69"/>
      <c r="F55" s="69"/>
      <c r="G55" s="70"/>
      <c r="H55" s="70"/>
      <c r="I55" s="69"/>
      <c r="J55" s="69"/>
      <c r="K55" s="69"/>
      <c r="L55" s="71"/>
      <c r="M55" s="69"/>
      <c r="N55" s="69"/>
      <c r="O55" s="69"/>
      <c r="P55" s="71"/>
      <c r="Q55" s="69"/>
      <c r="R55" s="69"/>
      <c r="S55" s="69"/>
      <c r="T55" s="69"/>
      <c r="U55" s="69"/>
      <c r="V55" s="69"/>
      <c r="W55" s="69"/>
      <c r="X55" s="66" t="str">
        <f aca="false">IF(B55="","",COUNTIF(Q55:W55,"Yes"))</f>
        <v/>
      </c>
      <c r="Y55" s="68" t="str">
        <f aca="false">IF(B55="","",IF(X55&gt;=Settings!$C$16,"A+",IF(X55&gt;=Settings!$C$17,"A",IF(X55&gt;=Settings!$C$18,"B","C"))))</f>
        <v/>
      </c>
      <c r="Z55" s="72"/>
      <c r="AA55" s="72"/>
      <c r="AB55" s="72"/>
      <c r="AC55" s="72"/>
      <c r="AD55" s="72"/>
      <c r="AE55" s="72"/>
      <c r="AF55" s="73"/>
      <c r="AG55" s="74"/>
      <c r="AH55" s="75"/>
      <c r="AI55" s="76" t="str">
        <f aca="false">IF(B55="","",ROUND(IF(AG55="",Settings!$C$5,AG55)*AW55,2))</f>
        <v/>
      </c>
      <c r="AJ55" s="77" t="str">
        <f aca="false">IF(OR(B55="",AB55="",AC55="",AD55=""),"",IFERROR(ROUND(ABS(AD55-AB55)/ABS(AB55-AC55),2),""))</f>
        <v/>
      </c>
      <c r="AK55" s="78" t="str">
        <f aca="false">IF(OR(B55="",AB55="",AC55="",AE55=""),"",IFERROR(ROUND(IF(J55="Short",AB55-AE55,AE55-AB55)/ABS(AB55-AC55),2),""))</f>
        <v/>
      </c>
      <c r="AL55" s="68" t="str">
        <f aca="false">IF(AK55="","",IF(ABS(AK55)&lt;=Settings!$C$6,"BE",IF(AK55&gt;0,"Win","Loss")))</f>
        <v/>
      </c>
      <c r="AM55" s="79" t="str">
        <f aca="false">IF(OR(AK55="",AI55=""),"",ROUND(AK55*AI55-N(AH55),2))</f>
        <v/>
      </c>
      <c r="AN55" s="76" t="str">
        <f aca="false">IF(AM55="","",ROUND(BK55+SUMIFS(AM$6:AM55,BJ$6:BJ55,BJ55),2))</f>
        <v/>
      </c>
      <c r="AO55" s="78" t="str">
        <f aca="false">IF(AK55="","",ROUND(SUMIFS(AK$6:AK55,BJ$6:BJ55,BJ55),2))</f>
        <v/>
      </c>
      <c r="AP55" s="80" t="str">
        <f aca="false">IF(OR(AK55="",BL55=""),"",IFERROR(ROUND(IF(J55="Short",AB55-AE55,AE55-AB55)/BL55,1),""))</f>
        <v/>
      </c>
      <c r="AQ55" s="66" t="str">
        <f aca="false">IF(OR(G55="",H55=""),"",ROUND(MOD(H55-G55,1)*1440,0))</f>
        <v/>
      </c>
      <c r="AR55" s="68" t="str">
        <f aca="false">IF(AQ55="","",IF(AQ55&lt;15,"Under 15m",IF(AQ55&lt;60,"15-60m",IF(AQ55&lt;240,"1-4 hours","4+ hours"))))</f>
        <v/>
      </c>
      <c r="AS55" s="66" t="str">
        <f aca="false">IF(G55="","",HOUR(G55))</f>
        <v/>
      </c>
      <c r="AT55" s="80" t="str">
        <f aca="false">IF(OR(Z55="",AB55="",BL55=""),"",IFERROR(ROUND(IF(J55="Short",Z55-AB55,AB55-Z55)/BL55,1),""))</f>
        <v/>
      </c>
      <c r="AU55" s="68" t="str">
        <f aca="false">IF(OR(AA55="",AC55=""),"",IF(AA55=AC55,"No","Yes"))</f>
        <v/>
      </c>
      <c r="AV55" s="81" t="str">
        <f aca="false">IF(OR(B55="",BL55="",BM55="",AB55="",AC55=""),"",IFERROR(ROUND(AI55/(ABS(AB55-AC55)/BL55*BM55),2),""))</f>
        <v/>
      </c>
      <c r="AW55" s="76" t="str">
        <f aca="false">IF(B55="","",ROUND(BK55+SUMIFS(AM$5:AM54,BJ$5:BJ54,BJ55),2))</f>
        <v/>
      </c>
      <c r="AX55" s="66" t="str">
        <f aca="false">IF(B55="","",COUNTIFS(B$6:B55,B55,BJ$6:BJ55,BJ55))</f>
        <v/>
      </c>
      <c r="AY55" s="79" t="str">
        <f aca="false">IF(B55="","",ROUND(SUMIFS(AM$5:AM54,B$5:B54,B55,BJ$5:BJ54,BJ55),2))</f>
        <v/>
      </c>
      <c r="AZ55" s="79" t="str">
        <f aca="false">IF(AM55="","",ROUND(AY55+AM55,2))</f>
        <v/>
      </c>
      <c r="BA55" s="79" t="str">
        <f aca="false">IF(B55="","",ROUND(SUMIFS(AM$5:AM54,B$5:B54,"&gt;="&amp;(B55-WEEKDAY(B55,2)+1),B$5:B54,"&lt;="&amp;B55,BJ$5:BJ54,BJ55),2))</f>
        <v/>
      </c>
      <c r="BB55" s="68" t="str">
        <f aca="false">IF(B55="","",IF(AND(AF55&lt;&gt;"",AV55&lt;&gt;"",N(AF55)&gt;N(AV55)*(1+Settings!$C$13)),"Oversized",IF(AX55&gt;Settings!$C$10,"Overtraded",IF(AY55&lt;=-Settings!$C$11*(AW55-AY55),"Daily loss hit",IF(BA55&lt;=-Settings!$C$12*(AW55-BA55),"Weekly loss hit","OK")))))</f>
        <v/>
      </c>
      <c r="BC55" s="69"/>
      <c r="BD55" s="69"/>
      <c r="BE55" s="69"/>
      <c r="BF55" s="73"/>
      <c r="BG55" s="73"/>
      <c r="BH55" s="71"/>
      <c r="BI55" s="71"/>
      <c r="BJ55" s="68" t="str">
        <f aca="false">IF(B55="","",IF(E55="",Settings!$F$5,E55))</f>
        <v/>
      </c>
      <c r="BK55" s="76" t="str">
        <f aca="false">IF(B55="","",IFERROR(INDEX(Settings!$G$5:$G$10,MATCH(BJ55,Settings!$F$5:$F$10,0)),Settings!$G$5))</f>
        <v/>
      </c>
      <c r="BL55" s="82" t="str">
        <f aca="false">IF(I55="","",IFERROR(1/(1/INDEX(Lists!$C$6:$C$17,MATCH(I55,Lists!$B$6:$B$17,0))),""))</f>
        <v/>
      </c>
      <c r="BM55" s="81" t="str">
        <f aca="false">IF(I55="","",IFERROR(1/(1/INDEX(Lists!$D$6:$D$17,MATCH(I55,Lists!$B$6:$B$17,0))),""))</f>
        <v/>
      </c>
      <c r="BN55" s="76" t="str">
        <f aca="false">IF(AN55="","",MAX(BK55,_xlfn.MAXIFS(AN$6:AN55,BJ$6:BJ55,BJ55)))</f>
        <v/>
      </c>
      <c r="BO55" s="83" t="str">
        <f aca="false">IF(AN55="","",(AN55-BN55)/BN55)</f>
        <v/>
      </c>
      <c r="BP55" s="66" t="n">
        <f aca="false">IF(OR(B55="",AL55=""),0,IF(OR(Settings!$C$28="All Accounts",BJ55=Settings!$C$28),1,0))</f>
        <v>0</v>
      </c>
      <c r="BQ55" s="66" t="str">
        <f aca="false">IF(BP55=1,SUM(BP$6:BP55),"")</f>
        <v/>
      </c>
      <c r="BR55" s="76" t="str">
        <f aca="false">IF(BP55=1,ROUND(Settings!$C$29+SUMIFS(AM$6:AM55,BP$6:BP55,1),2),"")</f>
        <v/>
      </c>
      <c r="BS55" s="76" t="str">
        <f aca="false">IF(BP55=1,MAX(Settings!$C$29,MAX(BR$6:BR55)),"")</f>
        <v/>
      </c>
      <c r="BT55" s="83" t="str">
        <f aca="false">IF(BP55=1,(BR55-BS55)/BS55,"")</f>
        <v/>
      </c>
      <c r="BU55" s="66" t="str">
        <f aca="false">IF(BP55=1,IF(AL55="Win",1+IF(BQ55=1,0,INDEX(BU$5:BU54,MATCH(BQ55-1,BQ$5:BQ54,0))),0),"")</f>
        <v/>
      </c>
      <c r="BV55" s="66" t="str">
        <f aca="false">IF(BP55=1,IF(AL55="Loss",1+IF(BQ55=1,0,INDEX(BV$5:BV54,MATCH(BQ55-1,BQ$5:BQ54,0))),0),"")</f>
        <v/>
      </c>
    </row>
    <row r="56" customFormat="false" ht="15" hidden="false" customHeight="false" outlineLevel="0" collapsed="false">
      <c r="A56" s="66" t="str">
        <f aca="false">IF(B56="","",ROW()-5)</f>
        <v/>
      </c>
      <c r="B56" s="67"/>
      <c r="C56" s="68" t="str">
        <f aca="false">IF(B56="","",CHOOSE(WEEKDAY(B56,2),"Mon","Tue","Wed","Thu","Fri","Sat","Sun"))</f>
        <v/>
      </c>
      <c r="D56" s="66" t="str">
        <f aca="false">IF(B56="","",WEEKNUM(B56,2))</f>
        <v/>
      </c>
      <c r="E56" s="69"/>
      <c r="F56" s="69"/>
      <c r="G56" s="70"/>
      <c r="H56" s="70"/>
      <c r="I56" s="69"/>
      <c r="J56" s="69"/>
      <c r="K56" s="69"/>
      <c r="L56" s="71"/>
      <c r="M56" s="69"/>
      <c r="N56" s="69"/>
      <c r="O56" s="69"/>
      <c r="P56" s="71"/>
      <c r="Q56" s="69"/>
      <c r="R56" s="69"/>
      <c r="S56" s="69"/>
      <c r="T56" s="69"/>
      <c r="U56" s="69"/>
      <c r="V56" s="69"/>
      <c r="W56" s="69"/>
      <c r="X56" s="66" t="str">
        <f aca="false">IF(B56="","",COUNTIF(Q56:W56,"Yes"))</f>
        <v/>
      </c>
      <c r="Y56" s="68" t="str">
        <f aca="false">IF(B56="","",IF(X56&gt;=Settings!$C$16,"A+",IF(X56&gt;=Settings!$C$17,"A",IF(X56&gt;=Settings!$C$18,"B","C"))))</f>
        <v/>
      </c>
      <c r="Z56" s="72"/>
      <c r="AA56" s="72"/>
      <c r="AB56" s="72"/>
      <c r="AC56" s="72"/>
      <c r="AD56" s="72"/>
      <c r="AE56" s="72"/>
      <c r="AF56" s="73"/>
      <c r="AG56" s="74"/>
      <c r="AH56" s="75"/>
      <c r="AI56" s="76" t="str">
        <f aca="false">IF(B56="","",ROUND(IF(AG56="",Settings!$C$5,AG56)*AW56,2))</f>
        <v/>
      </c>
      <c r="AJ56" s="77" t="str">
        <f aca="false">IF(OR(B56="",AB56="",AC56="",AD56=""),"",IFERROR(ROUND(ABS(AD56-AB56)/ABS(AB56-AC56),2),""))</f>
        <v/>
      </c>
      <c r="AK56" s="78" t="str">
        <f aca="false">IF(OR(B56="",AB56="",AC56="",AE56=""),"",IFERROR(ROUND(IF(J56="Short",AB56-AE56,AE56-AB56)/ABS(AB56-AC56),2),""))</f>
        <v/>
      </c>
      <c r="AL56" s="68" t="str">
        <f aca="false">IF(AK56="","",IF(ABS(AK56)&lt;=Settings!$C$6,"BE",IF(AK56&gt;0,"Win","Loss")))</f>
        <v/>
      </c>
      <c r="AM56" s="79" t="str">
        <f aca="false">IF(OR(AK56="",AI56=""),"",ROUND(AK56*AI56-N(AH56),2))</f>
        <v/>
      </c>
      <c r="AN56" s="76" t="str">
        <f aca="false">IF(AM56="","",ROUND(BK56+SUMIFS(AM$6:AM56,BJ$6:BJ56,BJ56),2))</f>
        <v/>
      </c>
      <c r="AO56" s="78" t="str">
        <f aca="false">IF(AK56="","",ROUND(SUMIFS(AK$6:AK56,BJ$6:BJ56,BJ56),2))</f>
        <v/>
      </c>
      <c r="AP56" s="80" t="str">
        <f aca="false">IF(OR(AK56="",BL56=""),"",IFERROR(ROUND(IF(J56="Short",AB56-AE56,AE56-AB56)/BL56,1),""))</f>
        <v/>
      </c>
      <c r="AQ56" s="66" t="str">
        <f aca="false">IF(OR(G56="",H56=""),"",ROUND(MOD(H56-G56,1)*1440,0))</f>
        <v/>
      </c>
      <c r="AR56" s="68" t="str">
        <f aca="false">IF(AQ56="","",IF(AQ56&lt;15,"Under 15m",IF(AQ56&lt;60,"15-60m",IF(AQ56&lt;240,"1-4 hours","4+ hours"))))</f>
        <v/>
      </c>
      <c r="AS56" s="66" t="str">
        <f aca="false">IF(G56="","",HOUR(G56))</f>
        <v/>
      </c>
      <c r="AT56" s="80" t="str">
        <f aca="false">IF(OR(Z56="",AB56="",BL56=""),"",IFERROR(ROUND(IF(J56="Short",Z56-AB56,AB56-Z56)/BL56,1),""))</f>
        <v/>
      </c>
      <c r="AU56" s="68" t="str">
        <f aca="false">IF(OR(AA56="",AC56=""),"",IF(AA56=AC56,"No","Yes"))</f>
        <v/>
      </c>
      <c r="AV56" s="81" t="str">
        <f aca="false">IF(OR(B56="",BL56="",BM56="",AB56="",AC56=""),"",IFERROR(ROUND(AI56/(ABS(AB56-AC56)/BL56*BM56),2),""))</f>
        <v/>
      </c>
      <c r="AW56" s="76" t="str">
        <f aca="false">IF(B56="","",ROUND(BK56+SUMIFS(AM$5:AM55,BJ$5:BJ55,BJ56),2))</f>
        <v/>
      </c>
      <c r="AX56" s="66" t="str">
        <f aca="false">IF(B56="","",COUNTIFS(B$6:B56,B56,BJ$6:BJ56,BJ56))</f>
        <v/>
      </c>
      <c r="AY56" s="79" t="str">
        <f aca="false">IF(B56="","",ROUND(SUMIFS(AM$5:AM55,B$5:B55,B56,BJ$5:BJ55,BJ56),2))</f>
        <v/>
      </c>
      <c r="AZ56" s="79" t="str">
        <f aca="false">IF(AM56="","",ROUND(AY56+AM56,2))</f>
        <v/>
      </c>
      <c r="BA56" s="79" t="str">
        <f aca="false">IF(B56="","",ROUND(SUMIFS(AM$5:AM55,B$5:B55,"&gt;="&amp;(B56-WEEKDAY(B56,2)+1),B$5:B55,"&lt;="&amp;B56,BJ$5:BJ55,BJ56),2))</f>
        <v/>
      </c>
      <c r="BB56" s="68" t="str">
        <f aca="false">IF(B56="","",IF(AND(AF56&lt;&gt;"",AV56&lt;&gt;"",N(AF56)&gt;N(AV56)*(1+Settings!$C$13)),"Oversized",IF(AX56&gt;Settings!$C$10,"Overtraded",IF(AY56&lt;=-Settings!$C$11*(AW56-AY56),"Daily loss hit",IF(BA56&lt;=-Settings!$C$12*(AW56-BA56),"Weekly loss hit","OK")))))</f>
        <v/>
      </c>
      <c r="BC56" s="69"/>
      <c r="BD56" s="69"/>
      <c r="BE56" s="69"/>
      <c r="BF56" s="73"/>
      <c r="BG56" s="73"/>
      <c r="BH56" s="71"/>
      <c r="BI56" s="71"/>
      <c r="BJ56" s="68" t="str">
        <f aca="false">IF(B56="","",IF(E56="",Settings!$F$5,E56))</f>
        <v/>
      </c>
      <c r="BK56" s="76" t="str">
        <f aca="false">IF(B56="","",IFERROR(INDEX(Settings!$G$5:$G$10,MATCH(BJ56,Settings!$F$5:$F$10,0)),Settings!$G$5))</f>
        <v/>
      </c>
      <c r="BL56" s="82" t="str">
        <f aca="false">IF(I56="","",IFERROR(1/(1/INDEX(Lists!$C$6:$C$17,MATCH(I56,Lists!$B$6:$B$17,0))),""))</f>
        <v/>
      </c>
      <c r="BM56" s="81" t="str">
        <f aca="false">IF(I56="","",IFERROR(1/(1/INDEX(Lists!$D$6:$D$17,MATCH(I56,Lists!$B$6:$B$17,0))),""))</f>
        <v/>
      </c>
      <c r="BN56" s="76" t="str">
        <f aca="false">IF(AN56="","",MAX(BK56,_xlfn.MAXIFS(AN$6:AN56,BJ$6:BJ56,BJ56)))</f>
        <v/>
      </c>
      <c r="BO56" s="83" t="str">
        <f aca="false">IF(AN56="","",(AN56-BN56)/BN56)</f>
        <v/>
      </c>
      <c r="BP56" s="66" t="n">
        <f aca="false">IF(OR(B56="",AL56=""),0,IF(OR(Settings!$C$28="All Accounts",BJ56=Settings!$C$28),1,0))</f>
        <v>0</v>
      </c>
      <c r="BQ56" s="66" t="str">
        <f aca="false">IF(BP56=1,SUM(BP$6:BP56),"")</f>
        <v/>
      </c>
      <c r="BR56" s="76" t="str">
        <f aca="false">IF(BP56=1,ROUND(Settings!$C$29+SUMIFS(AM$6:AM56,BP$6:BP56,1),2),"")</f>
        <v/>
      </c>
      <c r="BS56" s="76" t="str">
        <f aca="false">IF(BP56=1,MAX(Settings!$C$29,MAX(BR$6:BR56)),"")</f>
        <v/>
      </c>
      <c r="BT56" s="83" t="str">
        <f aca="false">IF(BP56=1,(BR56-BS56)/BS56,"")</f>
        <v/>
      </c>
      <c r="BU56" s="66" t="str">
        <f aca="false">IF(BP56=1,IF(AL56="Win",1+IF(BQ56=1,0,INDEX(BU$5:BU55,MATCH(BQ56-1,BQ$5:BQ55,0))),0),"")</f>
        <v/>
      </c>
      <c r="BV56" s="66" t="str">
        <f aca="false">IF(BP56=1,IF(AL56="Loss",1+IF(BQ56=1,0,INDEX(BV$5:BV55,MATCH(BQ56-1,BQ$5:BQ55,0))),0),"")</f>
        <v/>
      </c>
    </row>
    <row r="57" customFormat="false" ht="15" hidden="false" customHeight="false" outlineLevel="0" collapsed="false">
      <c r="A57" s="66" t="str">
        <f aca="false">IF(B57="","",ROW()-5)</f>
        <v/>
      </c>
      <c r="B57" s="67"/>
      <c r="C57" s="68" t="str">
        <f aca="false">IF(B57="","",CHOOSE(WEEKDAY(B57,2),"Mon","Tue","Wed","Thu","Fri","Sat","Sun"))</f>
        <v/>
      </c>
      <c r="D57" s="66" t="str">
        <f aca="false">IF(B57="","",WEEKNUM(B57,2))</f>
        <v/>
      </c>
      <c r="E57" s="69"/>
      <c r="F57" s="69"/>
      <c r="G57" s="70"/>
      <c r="H57" s="70"/>
      <c r="I57" s="69"/>
      <c r="J57" s="69"/>
      <c r="K57" s="69"/>
      <c r="L57" s="71"/>
      <c r="M57" s="69"/>
      <c r="N57" s="69"/>
      <c r="O57" s="69"/>
      <c r="P57" s="71"/>
      <c r="Q57" s="69"/>
      <c r="R57" s="69"/>
      <c r="S57" s="69"/>
      <c r="T57" s="69"/>
      <c r="U57" s="69"/>
      <c r="V57" s="69"/>
      <c r="W57" s="69"/>
      <c r="X57" s="66" t="str">
        <f aca="false">IF(B57="","",COUNTIF(Q57:W57,"Yes"))</f>
        <v/>
      </c>
      <c r="Y57" s="68" t="str">
        <f aca="false">IF(B57="","",IF(X57&gt;=Settings!$C$16,"A+",IF(X57&gt;=Settings!$C$17,"A",IF(X57&gt;=Settings!$C$18,"B","C"))))</f>
        <v/>
      </c>
      <c r="Z57" s="72"/>
      <c r="AA57" s="72"/>
      <c r="AB57" s="72"/>
      <c r="AC57" s="72"/>
      <c r="AD57" s="72"/>
      <c r="AE57" s="72"/>
      <c r="AF57" s="73"/>
      <c r="AG57" s="74"/>
      <c r="AH57" s="75"/>
      <c r="AI57" s="76" t="str">
        <f aca="false">IF(B57="","",ROUND(IF(AG57="",Settings!$C$5,AG57)*AW57,2))</f>
        <v/>
      </c>
      <c r="AJ57" s="77" t="str">
        <f aca="false">IF(OR(B57="",AB57="",AC57="",AD57=""),"",IFERROR(ROUND(ABS(AD57-AB57)/ABS(AB57-AC57),2),""))</f>
        <v/>
      </c>
      <c r="AK57" s="78" t="str">
        <f aca="false">IF(OR(B57="",AB57="",AC57="",AE57=""),"",IFERROR(ROUND(IF(J57="Short",AB57-AE57,AE57-AB57)/ABS(AB57-AC57),2),""))</f>
        <v/>
      </c>
      <c r="AL57" s="68" t="str">
        <f aca="false">IF(AK57="","",IF(ABS(AK57)&lt;=Settings!$C$6,"BE",IF(AK57&gt;0,"Win","Loss")))</f>
        <v/>
      </c>
      <c r="AM57" s="79" t="str">
        <f aca="false">IF(OR(AK57="",AI57=""),"",ROUND(AK57*AI57-N(AH57),2))</f>
        <v/>
      </c>
      <c r="AN57" s="76" t="str">
        <f aca="false">IF(AM57="","",ROUND(BK57+SUMIFS(AM$6:AM57,BJ$6:BJ57,BJ57),2))</f>
        <v/>
      </c>
      <c r="AO57" s="78" t="str">
        <f aca="false">IF(AK57="","",ROUND(SUMIFS(AK$6:AK57,BJ$6:BJ57,BJ57),2))</f>
        <v/>
      </c>
      <c r="AP57" s="80" t="str">
        <f aca="false">IF(OR(AK57="",BL57=""),"",IFERROR(ROUND(IF(J57="Short",AB57-AE57,AE57-AB57)/BL57,1),""))</f>
        <v/>
      </c>
      <c r="AQ57" s="66" t="str">
        <f aca="false">IF(OR(G57="",H57=""),"",ROUND(MOD(H57-G57,1)*1440,0))</f>
        <v/>
      </c>
      <c r="AR57" s="68" t="str">
        <f aca="false">IF(AQ57="","",IF(AQ57&lt;15,"Under 15m",IF(AQ57&lt;60,"15-60m",IF(AQ57&lt;240,"1-4 hours","4+ hours"))))</f>
        <v/>
      </c>
      <c r="AS57" s="66" t="str">
        <f aca="false">IF(G57="","",HOUR(G57))</f>
        <v/>
      </c>
      <c r="AT57" s="80" t="str">
        <f aca="false">IF(OR(Z57="",AB57="",BL57=""),"",IFERROR(ROUND(IF(J57="Short",Z57-AB57,AB57-Z57)/BL57,1),""))</f>
        <v/>
      </c>
      <c r="AU57" s="68" t="str">
        <f aca="false">IF(OR(AA57="",AC57=""),"",IF(AA57=AC57,"No","Yes"))</f>
        <v/>
      </c>
      <c r="AV57" s="81" t="str">
        <f aca="false">IF(OR(B57="",BL57="",BM57="",AB57="",AC57=""),"",IFERROR(ROUND(AI57/(ABS(AB57-AC57)/BL57*BM57),2),""))</f>
        <v/>
      </c>
      <c r="AW57" s="76" t="str">
        <f aca="false">IF(B57="","",ROUND(BK57+SUMIFS(AM$5:AM56,BJ$5:BJ56,BJ57),2))</f>
        <v/>
      </c>
      <c r="AX57" s="66" t="str">
        <f aca="false">IF(B57="","",COUNTIFS(B$6:B57,B57,BJ$6:BJ57,BJ57))</f>
        <v/>
      </c>
      <c r="AY57" s="79" t="str">
        <f aca="false">IF(B57="","",ROUND(SUMIFS(AM$5:AM56,B$5:B56,B57,BJ$5:BJ56,BJ57),2))</f>
        <v/>
      </c>
      <c r="AZ57" s="79" t="str">
        <f aca="false">IF(AM57="","",ROUND(AY57+AM57,2))</f>
        <v/>
      </c>
      <c r="BA57" s="79" t="str">
        <f aca="false">IF(B57="","",ROUND(SUMIFS(AM$5:AM56,B$5:B56,"&gt;="&amp;(B57-WEEKDAY(B57,2)+1),B$5:B56,"&lt;="&amp;B57,BJ$5:BJ56,BJ57),2))</f>
        <v/>
      </c>
      <c r="BB57" s="68" t="str">
        <f aca="false">IF(B57="","",IF(AND(AF57&lt;&gt;"",AV57&lt;&gt;"",N(AF57)&gt;N(AV57)*(1+Settings!$C$13)),"Oversized",IF(AX57&gt;Settings!$C$10,"Overtraded",IF(AY57&lt;=-Settings!$C$11*(AW57-AY57),"Daily loss hit",IF(BA57&lt;=-Settings!$C$12*(AW57-BA57),"Weekly loss hit","OK")))))</f>
        <v/>
      </c>
      <c r="BC57" s="69"/>
      <c r="BD57" s="69"/>
      <c r="BE57" s="69"/>
      <c r="BF57" s="73"/>
      <c r="BG57" s="73"/>
      <c r="BH57" s="71"/>
      <c r="BI57" s="71"/>
      <c r="BJ57" s="68" t="str">
        <f aca="false">IF(B57="","",IF(E57="",Settings!$F$5,E57))</f>
        <v/>
      </c>
      <c r="BK57" s="76" t="str">
        <f aca="false">IF(B57="","",IFERROR(INDEX(Settings!$G$5:$G$10,MATCH(BJ57,Settings!$F$5:$F$10,0)),Settings!$G$5))</f>
        <v/>
      </c>
      <c r="BL57" s="82" t="str">
        <f aca="false">IF(I57="","",IFERROR(1/(1/INDEX(Lists!$C$6:$C$17,MATCH(I57,Lists!$B$6:$B$17,0))),""))</f>
        <v/>
      </c>
      <c r="BM57" s="81" t="str">
        <f aca="false">IF(I57="","",IFERROR(1/(1/INDEX(Lists!$D$6:$D$17,MATCH(I57,Lists!$B$6:$B$17,0))),""))</f>
        <v/>
      </c>
      <c r="BN57" s="76" t="str">
        <f aca="false">IF(AN57="","",MAX(BK57,_xlfn.MAXIFS(AN$6:AN57,BJ$6:BJ57,BJ57)))</f>
        <v/>
      </c>
      <c r="BO57" s="83" t="str">
        <f aca="false">IF(AN57="","",(AN57-BN57)/BN57)</f>
        <v/>
      </c>
      <c r="BP57" s="66" t="n">
        <f aca="false">IF(OR(B57="",AL57=""),0,IF(OR(Settings!$C$28="All Accounts",BJ57=Settings!$C$28),1,0))</f>
        <v>0</v>
      </c>
      <c r="BQ57" s="66" t="str">
        <f aca="false">IF(BP57=1,SUM(BP$6:BP57),"")</f>
        <v/>
      </c>
      <c r="BR57" s="76" t="str">
        <f aca="false">IF(BP57=1,ROUND(Settings!$C$29+SUMIFS(AM$6:AM57,BP$6:BP57,1),2),"")</f>
        <v/>
      </c>
      <c r="BS57" s="76" t="str">
        <f aca="false">IF(BP57=1,MAX(Settings!$C$29,MAX(BR$6:BR57)),"")</f>
        <v/>
      </c>
      <c r="BT57" s="83" t="str">
        <f aca="false">IF(BP57=1,(BR57-BS57)/BS57,"")</f>
        <v/>
      </c>
      <c r="BU57" s="66" t="str">
        <f aca="false">IF(BP57=1,IF(AL57="Win",1+IF(BQ57=1,0,INDEX(BU$5:BU56,MATCH(BQ57-1,BQ$5:BQ56,0))),0),"")</f>
        <v/>
      </c>
      <c r="BV57" s="66" t="str">
        <f aca="false">IF(BP57=1,IF(AL57="Loss",1+IF(BQ57=1,0,INDEX(BV$5:BV56,MATCH(BQ57-1,BQ$5:BQ56,0))),0),"")</f>
        <v/>
      </c>
    </row>
    <row r="58" customFormat="false" ht="15" hidden="false" customHeight="false" outlineLevel="0" collapsed="false">
      <c r="A58" s="66" t="str">
        <f aca="false">IF(B58="","",ROW()-5)</f>
        <v/>
      </c>
      <c r="B58" s="67"/>
      <c r="C58" s="68" t="str">
        <f aca="false">IF(B58="","",CHOOSE(WEEKDAY(B58,2),"Mon","Tue","Wed","Thu","Fri","Sat","Sun"))</f>
        <v/>
      </c>
      <c r="D58" s="66" t="str">
        <f aca="false">IF(B58="","",WEEKNUM(B58,2))</f>
        <v/>
      </c>
      <c r="E58" s="69"/>
      <c r="F58" s="69"/>
      <c r="G58" s="70"/>
      <c r="H58" s="70"/>
      <c r="I58" s="69"/>
      <c r="J58" s="69"/>
      <c r="K58" s="69"/>
      <c r="L58" s="71"/>
      <c r="M58" s="69"/>
      <c r="N58" s="69"/>
      <c r="O58" s="69"/>
      <c r="P58" s="71"/>
      <c r="Q58" s="69"/>
      <c r="R58" s="69"/>
      <c r="S58" s="69"/>
      <c r="T58" s="69"/>
      <c r="U58" s="69"/>
      <c r="V58" s="69"/>
      <c r="W58" s="69"/>
      <c r="X58" s="66" t="str">
        <f aca="false">IF(B58="","",COUNTIF(Q58:W58,"Yes"))</f>
        <v/>
      </c>
      <c r="Y58" s="68" t="str">
        <f aca="false">IF(B58="","",IF(X58&gt;=Settings!$C$16,"A+",IF(X58&gt;=Settings!$C$17,"A",IF(X58&gt;=Settings!$C$18,"B","C"))))</f>
        <v/>
      </c>
      <c r="Z58" s="72"/>
      <c r="AA58" s="72"/>
      <c r="AB58" s="72"/>
      <c r="AC58" s="72"/>
      <c r="AD58" s="72"/>
      <c r="AE58" s="72"/>
      <c r="AF58" s="73"/>
      <c r="AG58" s="74"/>
      <c r="AH58" s="75"/>
      <c r="AI58" s="76" t="str">
        <f aca="false">IF(B58="","",ROUND(IF(AG58="",Settings!$C$5,AG58)*AW58,2))</f>
        <v/>
      </c>
      <c r="AJ58" s="77" t="str">
        <f aca="false">IF(OR(B58="",AB58="",AC58="",AD58=""),"",IFERROR(ROUND(ABS(AD58-AB58)/ABS(AB58-AC58),2),""))</f>
        <v/>
      </c>
      <c r="AK58" s="78" t="str">
        <f aca="false">IF(OR(B58="",AB58="",AC58="",AE58=""),"",IFERROR(ROUND(IF(J58="Short",AB58-AE58,AE58-AB58)/ABS(AB58-AC58),2),""))</f>
        <v/>
      </c>
      <c r="AL58" s="68" t="str">
        <f aca="false">IF(AK58="","",IF(ABS(AK58)&lt;=Settings!$C$6,"BE",IF(AK58&gt;0,"Win","Loss")))</f>
        <v/>
      </c>
      <c r="AM58" s="79" t="str">
        <f aca="false">IF(OR(AK58="",AI58=""),"",ROUND(AK58*AI58-N(AH58),2))</f>
        <v/>
      </c>
      <c r="AN58" s="76" t="str">
        <f aca="false">IF(AM58="","",ROUND(BK58+SUMIFS(AM$6:AM58,BJ$6:BJ58,BJ58),2))</f>
        <v/>
      </c>
      <c r="AO58" s="78" t="str">
        <f aca="false">IF(AK58="","",ROUND(SUMIFS(AK$6:AK58,BJ$6:BJ58,BJ58),2))</f>
        <v/>
      </c>
      <c r="AP58" s="80" t="str">
        <f aca="false">IF(OR(AK58="",BL58=""),"",IFERROR(ROUND(IF(J58="Short",AB58-AE58,AE58-AB58)/BL58,1),""))</f>
        <v/>
      </c>
      <c r="AQ58" s="66" t="str">
        <f aca="false">IF(OR(G58="",H58=""),"",ROUND(MOD(H58-G58,1)*1440,0))</f>
        <v/>
      </c>
      <c r="AR58" s="68" t="str">
        <f aca="false">IF(AQ58="","",IF(AQ58&lt;15,"Under 15m",IF(AQ58&lt;60,"15-60m",IF(AQ58&lt;240,"1-4 hours","4+ hours"))))</f>
        <v/>
      </c>
      <c r="AS58" s="66" t="str">
        <f aca="false">IF(G58="","",HOUR(G58))</f>
        <v/>
      </c>
      <c r="AT58" s="80" t="str">
        <f aca="false">IF(OR(Z58="",AB58="",BL58=""),"",IFERROR(ROUND(IF(J58="Short",Z58-AB58,AB58-Z58)/BL58,1),""))</f>
        <v/>
      </c>
      <c r="AU58" s="68" t="str">
        <f aca="false">IF(OR(AA58="",AC58=""),"",IF(AA58=AC58,"No","Yes"))</f>
        <v/>
      </c>
      <c r="AV58" s="81" t="str">
        <f aca="false">IF(OR(B58="",BL58="",BM58="",AB58="",AC58=""),"",IFERROR(ROUND(AI58/(ABS(AB58-AC58)/BL58*BM58),2),""))</f>
        <v/>
      </c>
      <c r="AW58" s="76" t="str">
        <f aca="false">IF(B58="","",ROUND(BK58+SUMIFS(AM$5:AM57,BJ$5:BJ57,BJ58),2))</f>
        <v/>
      </c>
      <c r="AX58" s="66" t="str">
        <f aca="false">IF(B58="","",COUNTIFS(B$6:B58,B58,BJ$6:BJ58,BJ58))</f>
        <v/>
      </c>
      <c r="AY58" s="79" t="str">
        <f aca="false">IF(B58="","",ROUND(SUMIFS(AM$5:AM57,B$5:B57,B58,BJ$5:BJ57,BJ58),2))</f>
        <v/>
      </c>
      <c r="AZ58" s="79" t="str">
        <f aca="false">IF(AM58="","",ROUND(AY58+AM58,2))</f>
        <v/>
      </c>
      <c r="BA58" s="79" t="str">
        <f aca="false">IF(B58="","",ROUND(SUMIFS(AM$5:AM57,B$5:B57,"&gt;="&amp;(B58-WEEKDAY(B58,2)+1),B$5:B57,"&lt;="&amp;B58,BJ$5:BJ57,BJ58),2))</f>
        <v/>
      </c>
      <c r="BB58" s="68" t="str">
        <f aca="false">IF(B58="","",IF(AND(AF58&lt;&gt;"",AV58&lt;&gt;"",N(AF58)&gt;N(AV58)*(1+Settings!$C$13)),"Oversized",IF(AX58&gt;Settings!$C$10,"Overtraded",IF(AY58&lt;=-Settings!$C$11*(AW58-AY58),"Daily loss hit",IF(BA58&lt;=-Settings!$C$12*(AW58-BA58),"Weekly loss hit","OK")))))</f>
        <v/>
      </c>
      <c r="BC58" s="69"/>
      <c r="BD58" s="69"/>
      <c r="BE58" s="69"/>
      <c r="BF58" s="73"/>
      <c r="BG58" s="73"/>
      <c r="BH58" s="71"/>
      <c r="BI58" s="71"/>
      <c r="BJ58" s="68" t="str">
        <f aca="false">IF(B58="","",IF(E58="",Settings!$F$5,E58))</f>
        <v/>
      </c>
      <c r="BK58" s="76" t="str">
        <f aca="false">IF(B58="","",IFERROR(INDEX(Settings!$G$5:$G$10,MATCH(BJ58,Settings!$F$5:$F$10,0)),Settings!$G$5))</f>
        <v/>
      </c>
      <c r="BL58" s="82" t="str">
        <f aca="false">IF(I58="","",IFERROR(1/(1/INDEX(Lists!$C$6:$C$17,MATCH(I58,Lists!$B$6:$B$17,0))),""))</f>
        <v/>
      </c>
      <c r="BM58" s="81" t="str">
        <f aca="false">IF(I58="","",IFERROR(1/(1/INDEX(Lists!$D$6:$D$17,MATCH(I58,Lists!$B$6:$B$17,0))),""))</f>
        <v/>
      </c>
      <c r="BN58" s="76" t="str">
        <f aca="false">IF(AN58="","",MAX(BK58,_xlfn.MAXIFS(AN$6:AN58,BJ$6:BJ58,BJ58)))</f>
        <v/>
      </c>
      <c r="BO58" s="83" t="str">
        <f aca="false">IF(AN58="","",(AN58-BN58)/BN58)</f>
        <v/>
      </c>
      <c r="BP58" s="66" t="n">
        <f aca="false">IF(OR(B58="",AL58=""),0,IF(OR(Settings!$C$28="All Accounts",BJ58=Settings!$C$28),1,0))</f>
        <v>0</v>
      </c>
      <c r="BQ58" s="66" t="str">
        <f aca="false">IF(BP58=1,SUM(BP$6:BP58),"")</f>
        <v/>
      </c>
      <c r="BR58" s="76" t="str">
        <f aca="false">IF(BP58=1,ROUND(Settings!$C$29+SUMIFS(AM$6:AM58,BP$6:BP58,1),2),"")</f>
        <v/>
      </c>
      <c r="BS58" s="76" t="str">
        <f aca="false">IF(BP58=1,MAX(Settings!$C$29,MAX(BR$6:BR58)),"")</f>
        <v/>
      </c>
      <c r="BT58" s="83" t="str">
        <f aca="false">IF(BP58=1,(BR58-BS58)/BS58,"")</f>
        <v/>
      </c>
      <c r="BU58" s="66" t="str">
        <f aca="false">IF(BP58=1,IF(AL58="Win",1+IF(BQ58=1,0,INDEX(BU$5:BU57,MATCH(BQ58-1,BQ$5:BQ57,0))),0),"")</f>
        <v/>
      </c>
      <c r="BV58" s="66" t="str">
        <f aca="false">IF(BP58=1,IF(AL58="Loss",1+IF(BQ58=1,0,INDEX(BV$5:BV57,MATCH(BQ58-1,BQ$5:BQ57,0))),0),"")</f>
        <v/>
      </c>
    </row>
    <row r="59" customFormat="false" ht="15" hidden="false" customHeight="false" outlineLevel="0" collapsed="false">
      <c r="A59" s="66" t="str">
        <f aca="false">IF(B59="","",ROW()-5)</f>
        <v/>
      </c>
      <c r="B59" s="67"/>
      <c r="C59" s="68" t="str">
        <f aca="false">IF(B59="","",CHOOSE(WEEKDAY(B59,2),"Mon","Tue","Wed","Thu","Fri","Sat","Sun"))</f>
        <v/>
      </c>
      <c r="D59" s="66" t="str">
        <f aca="false">IF(B59="","",WEEKNUM(B59,2))</f>
        <v/>
      </c>
      <c r="E59" s="69"/>
      <c r="F59" s="69"/>
      <c r="G59" s="70"/>
      <c r="H59" s="70"/>
      <c r="I59" s="69"/>
      <c r="J59" s="69"/>
      <c r="K59" s="69"/>
      <c r="L59" s="71"/>
      <c r="M59" s="69"/>
      <c r="N59" s="69"/>
      <c r="O59" s="69"/>
      <c r="P59" s="71"/>
      <c r="Q59" s="69"/>
      <c r="R59" s="69"/>
      <c r="S59" s="69"/>
      <c r="T59" s="69"/>
      <c r="U59" s="69"/>
      <c r="V59" s="69"/>
      <c r="W59" s="69"/>
      <c r="X59" s="66" t="str">
        <f aca="false">IF(B59="","",COUNTIF(Q59:W59,"Yes"))</f>
        <v/>
      </c>
      <c r="Y59" s="68" t="str">
        <f aca="false">IF(B59="","",IF(X59&gt;=Settings!$C$16,"A+",IF(X59&gt;=Settings!$C$17,"A",IF(X59&gt;=Settings!$C$18,"B","C"))))</f>
        <v/>
      </c>
      <c r="Z59" s="72"/>
      <c r="AA59" s="72"/>
      <c r="AB59" s="72"/>
      <c r="AC59" s="72"/>
      <c r="AD59" s="72"/>
      <c r="AE59" s="72"/>
      <c r="AF59" s="73"/>
      <c r="AG59" s="74"/>
      <c r="AH59" s="75"/>
      <c r="AI59" s="76" t="str">
        <f aca="false">IF(B59="","",ROUND(IF(AG59="",Settings!$C$5,AG59)*AW59,2))</f>
        <v/>
      </c>
      <c r="AJ59" s="77" t="str">
        <f aca="false">IF(OR(B59="",AB59="",AC59="",AD59=""),"",IFERROR(ROUND(ABS(AD59-AB59)/ABS(AB59-AC59),2),""))</f>
        <v/>
      </c>
      <c r="AK59" s="78" t="str">
        <f aca="false">IF(OR(B59="",AB59="",AC59="",AE59=""),"",IFERROR(ROUND(IF(J59="Short",AB59-AE59,AE59-AB59)/ABS(AB59-AC59),2),""))</f>
        <v/>
      </c>
      <c r="AL59" s="68" t="str">
        <f aca="false">IF(AK59="","",IF(ABS(AK59)&lt;=Settings!$C$6,"BE",IF(AK59&gt;0,"Win","Loss")))</f>
        <v/>
      </c>
      <c r="AM59" s="79" t="str">
        <f aca="false">IF(OR(AK59="",AI59=""),"",ROUND(AK59*AI59-N(AH59),2))</f>
        <v/>
      </c>
      <c r="AN59" s="76" t="str">
        <f aca="false">IF(AM59="","",ROUND(BK59+SUMIFS(AM$6:AM59,BJ$6:BJ59,BJ59),2))</f>
        <v/>
      </c>
      <c r="AO59" s="78" t="str">
        <f aca="false">IF(AK59="","",ROUND(SUMIFS(AK$6:AK59,BJ$6:BJ59,BJ59),2))</f>
        <v/>
      </c>
      <c r="AP59" s="80" t="str">
        <f aca="false">IF(OR(AK59="",BL59=""),"",IFERROR(ROUND(IF(J59="Short",AB59-AE59,AE59-AB59)/BL59,1),""))</f>
        <v/>
      </c>
      <c r="AQ59" s="66" t="str">
        <f aca="false">IF(OR(G59="",H59=""),"",ROUND(MOD(H59-G59,1)*1440,0))</f>
        <v/>
      </c>
      <c r="AR59" s="68" t="str">
        <f aca="false">IF(AQ59="","",IF(AQ59&lt;15,"Under 15m",IF(AQ59&lt;60,"15-60m",IF(AQ59&lt;240,"1-4 hours","4+ hours"))))</f>
        <v/>
      </c>
      <c r="AS59" s="66" t="str">
        <f aca="false">IF(G59="","",HOUR(G59))</f>
        <v/>
      </c>
      <c r="AT59" s="80" t="str">
        <f aca="false">IF(OR(Z59="",AB59="",BL59=""),"",IFERROR(ROUND(IF(J59="Short",Z59-AB59,AB59-Z59)/BL59,1),""))</f>
        <v/>
      </c>
      <c r="AU59" s="68" t="str">
        <f aca="false">IF(OR(AA59="",AC59=""),"",IF(AA59=AC59,"No","Yes"))</f>
        <v/>
      </c>
      <c r="AV59" s="81" t="str">
        <f aca="false">IF(OR(B59="",BL59="",BM59="",AB59="",AC59=""),"",IFERROR(ROUND(AI59/(ABS(AB59-AC59)/BL59*BM59),2),""))</f>
        <v/>
      </c>
      <c r="AW59" s="76" t="str">
        <f aca="false">IF(B59="","",ROUND(BK59+SUMIFS(AM$5:AM58,BJ$5:BJ58,BJ59),2))</f>
        <v/>
      </c>
      <c r="AX59" s="66" t="str">
        <f aca="false">IF(B59="","",COUNTIFS(B$6:B59,B59,BJ$6:BJ59,BJ59))</f>
        <v/>
      </c>
      <c r="AY59" s="79" t="str">
        <f aca="false">IF(B59="","",ROUND(SUMIFS(AM$5:AM58,B$5:B58,B59,BJ$5:BJ58,BJ59),2))</f>
        <v/>
      </c>
      <c r="AZ59" s="79" t="str">
        <f aca="false">IF(AM59="","",ROUND(AY59+AM59,2))</f>
        <v/>
      </c>
      <c r="BA59" s="79" t="str">
        <f aca="false">IF(B59="","",ROUND(SUMIFS(AM$5:AM58,B$5:B58,"&gt;="&amp;(B59-WEEKDAY(B59,2)+1),B$5:B58,"&lt;="&amp;B59,BJ$5:BJ58,BJ59),2))</f>
        <v/>
      </c>
      <c r="BB59" s="68" t="str">
        <f aca="false">IF(B59="","",IF(AND(AF59&lt;&gt;"",AV59&lt;&gt;"",N(AF59)&gt;N(AV59)*(1+Settings!$C$13)),"Oversized",IF(AX59&gt;Settings!$C$10,"Overtraded",IF(AY59&lt;=-Settings!$C$11*(AW59-AY59),"Daily loss hit",IF(BA59&lt;=-Settings!$C$12*(AW59-BA59),"Weekly loss hit","OK")))))</f>
        <v/>
      </c>
      <c r="BC59" s="69"/>
      <c r="BD59" s="69"/>
      <c r="BE59" s="69"/>
      <c r="BF59" s="73"/>
      <c r="BG59" s="73"/>
      <c r="BH59" s="71"/>
      <c r="BI59" s="71"/>
      <c r="BJ59" s="68" t="str">
        <f aca="false">IF(B59="","",IF(E59="",Settings!$F$5,E59))</f>
        <v/>
      </c>
      <c r="BK59" s="76" t="str">
        <f aca="false">IF(B59="","",IFERROR(INDEX(Settings!$G$5:$G$10,MATCH(BJ59,Settings!$F$5:$F$10,0)),Settings!$G$5))</f>
        <v/>
      </c>
      <c r="BL59" s="82" t="str">
        <f aca="false">IF(I59="","",IFERROR(1/(1/INDEX(Lists!$C$6:$C$17,MATCH(I59,Lists!$B$6:$B$17,0))),""))</f>
        <v/>
      </c>
      <c r="BM59" s="81" t="str">
        <f aca="false">IF(I59="","",IFERROR(1/(1/INDEX(Lists!$D$6:$D$17,MATCH(I59,Lists!$B$6:$B$17,0))),""))</f>
        <v/>
      </c>
      <c r="BN59" s="76" t="str">
        <f aca="false">IF(AN59="","",MAX(BK59,_xlfn.MAXIFS(AN$6:AN59,BJ$6:BJ59,BJ59)))</f>
        <v/>
      </c>
      <c r="BO59" s="83" t="str">
        <f aca="false">IF(AN59="","",(AN59-BN59)/BN59)</f>
        <v/>
      </c>
      <c r="BP59" s="66" t="n">
        <f aca="false">IF(OR(B59="",AL59=""),0,IF(OR(Settings!$C$28="All Accounts",BJ59=Settings!$C$28),1,0))</f>
        <v>0</v>
      </c>
      <c r="BQ59" s="66" t="str">
        <f aca="false">IF(BP59=1,SUM(BP$6:BP59),"")</f>
        <v/>
      </c>
      <c r="BR59" s="76" t="str">
        <f aca="false">IF(BP59=1,ROUND(Settings!$C$29+SUMIFS(AM$6:AM59,BP$6:BP59,1),2),"")</f>
        <v/>
      </c>
      <c r="BS59" s="76" t="str">
        <f aca="false">IF(BP59=1,MAX(Settings!$C$29,MAX(BR$6:BR59)),"")</f>
        <v/>
      </c>
      <c r="BT59" s="83" t="str">
        <f aca="false">IF(BP59=1,(BR59-BS59)/BS59,"")</f>
        <v/>
      </c>
      <c r="BU59" s="66" t="str">
        <f aca="false">IF(BP59=1,IF(AL59="Win",1+IF(BQ59=1,0,INDEX(BU$5:BU58,MATCH(BQ59-1,BQ$5:BQ58,0))),0),"")</f>
        <v/>
      </c>
      <c r="BV59" s="66" t="str">
        <f aca="false">IF(BP59=1,IF(AL59="Loss",1+IF(BQ59=1,0,INDEX(BV$5:BV58,MATCH(BQ59-1,BQ$5:BQ58,0))),0),"")</f>
        <v/>
      </c>
    </row>
    <row r="60" customFormat="false" ht="15" hidden="false" customHeight="false" outlineLevel="0" collapsed="false">
      <c r="A60" s="66" t="str">
        <f aca="false">IF(B60="","",ROW()-5)</f>
        <v/>
      </c>
      <c r="B60" s="67"/>
      <c r="C60" s="68" t="str">
        <f aca="false">IF(B60="","",CHOOSE(WEEKDAY(B60,2),"Mon","Tue","Wed","Thu","Fri","Sat","Sun"))</f>
        <v/>
      </c>
      <c r="D60" s="66" t="str">
        <f aca="false">IF(B60="","",WEEKNUM(B60,2))</f>
        <v/>
      </c>
      <c r="E60" s="69"/>
      <c r="F60" s="69"/>
      <c r="G60" s="70"/>
      <c r="H60" s="70"/>
      <c r="I60" s="69"/>
      <c r="J60" s="69"/>
      <c r="K60" s="69"/>
      <c r="L60" s="71"/>
      <c r="M60" s="69"/>
      <c r="N60" s="69"/>
      <c r="O60" s="69"/>
      <c r="P60" s="71"/>
      <c r="Q60" s="69"/>
      <c r="R60" s="69"/>
      <c r="S60" s="69"/>
      <c r="T60" s="69"/>
      <c r="U60" s="69"/>
      <c r="V60" s="69"/>
      <c r="W60" s="69"/>
      <c r="X60" s="66" t="str">
        <f aca="false">IF(B60="","",COUNTIF(Q60:W60,"Yes"))</f>
        <v/>
      </c>
      <c r="Y60" s="68" t="str">
        <f aca="false">IF(B60="","",IF(X60&gt;=Settings!$C$16,"A+",IF(X60&gt;=Settings!$C$17,"A",IF(X60&gt;=Settings!$C$18,"B","C"))))</f>
        <v/>
      </c>
      <c r="Z60" s="72"/>
      <c r="AA60" s="72"/>
      <c r="AB60" s="72"/>
      <c r="AC60" s="72"/>
      <c r="AD60" s="72"/>
      <c r="AE60" s="72"/>
      <c r="AF60" s="73"/>
      <c r="AG60" s="74"/>
      <c r="AH60" s="75"/>
      <c r="AI60" s="76" t="str">
        <f aca="false">IF(B60="","",ROUND(IF(AG60="",Settings!$C$5,AG60)*AW60,2))</f>
        <v/>
      </c>
      <c r="AJ60" s="77" t="str">
        <f aca="false">IF(OR(B60="",AB60="",AC60="",AD60=""),"",IFERROR(ROUND(ABS(AD60-AB60)/ABS(AB60-AC60),2),""))</f>
        <v/>
      </c>
      <c r="AK60" s="78" t="str">
        <f aca="false">IF(OR(B60="",AB60="",AC60="",AE60=""),"",IFERROR(ROUND(IF(J60="Short",AB60-AE60,AE60-AB60)/ABS(AB60-AC60),2),""))</f>
        <v/>
      </c>
      <c r="AL60" s="68" t="str">
        <f aca="false">IF(AK60="","",IF(ABS(AK60)&lt;=Settings!$C$6,"BE",IF(AK60&gt;0,"Win","Loss")))</f>
        <v/>
      </c>
      <c r="AM60" s="79" t="str">
        <f aca="false">IF(OR(AK60="",AI60=""),"",ROUND(AK60*AI60-N(AH60),2))</f>
        <v/>
      </c>
      <c r="AN60" s="76" t="str">
        <f aca="false">IF(AM60="","",ROUND(BK60+SUMIFS(AM$6:AM60,BJ$6:BJ60,BJ60),2))</f>
        <v/>
      </c>
      <c r="AO60" s="78" t="str">
        <f aca="false">IF(AK60="","",ROUND(SUMIFS(AK$6:AK60,BJ$6:BJ60,BJ60),2))</f>
        <v/>
      </c>
      <c r="AP60" s="80" t="str">
        <f aca="false">IF(OR(AK60="",BL60=""),"",IFERROR(ROUND(IF(J60="Short",AB60-AE60,AE60-AB60)/BL60,1),""))</f>
        <v/>
      </c>
      <c r="AQ60" s="66" t="str">
        <f aca="false">IF(OR(G60="",H60=""),"",ROUND(MOD(H60-G60,1)*1440,0))</f>
        <v/>
      </c>
      <c r="AR60" s="68" t="str">
        <f aca="false">IF(AQ60="","",IF(AQ60&lt;15,"Under 15m",IF(AQ60&lt;60,"15-60m",IF(AQ60&lt;240,"1-4 hours","4+ hours"))))</f>
        <v/>
      </c>
      <c r="AS60" s="66" t="str">
        <f aca="false">IF(G60="","",HOUR(G60))</f>
        <v/>
      </c>
      <c r="AT60" s="80" t="str">
        <f aca="false">IF(OR(Z60="",AB60="",BL60=""),"",IFERROR(ROUND(IF(J60="Short",Z60-AB60,AB60-Z60)/BL60,1),""))</f>
        <v/>
      </c>
      <c r="AU60" s="68" t="str">
        <f aca="false">IF(OR(AA60="",AC60=""),"",IF(AA60=AC60,"No","Yes"))</f>
        <v/>
      </c>
      <c r="AV60" s="81" t="str">
        <f aca="false">IF(OR(B60="",BL60="",BM60="",AB60="",AC60=""),"",IFERROR(ROUND(AI60/(ABS(AB60-AC60)/BL60*BM60),2),""))</f>
        <v/>
      </c>
      <c r="AW60" s="76" t="str">
        <f aca="false">IF(B60="","",ROUND(BK60+SUMIFS(AM$5:AM59,BJ$5:BJ59,BJ60),2))</f>
        <v/>
      </c>
      <c r="AX60" s="66" t="str">
        <f aca="false">IF(B60="","",COUNTIFS(B$6:B60,B60,BJ$6:BJ60,BJ60))</f>
        <v/>
      </c>
      <c r="AY60" s="79" t="str">
        <f aca="false">IF(B60="","",ROUND(SUMIFS(AM$5:AM59,B$5:B59,B60,BJ$5:BJ59,BJ60),2))</f>
        <v/>
      </c>
      <c r="AZ60" s="79" t="str">
        <f aca="false">IF(AM60="","",ROUND(AY60+AM60,2))</f>
        <v/>
      </c>
      <c r="BA60" s="79" t="str">
        <f aca="false">IF(B60="","",ROUND(SUMIFS(AM$5:AM59,B$5:B59,"&gt;="&amp;(B60-WEEKDAY(B60,2)+1),B$5:B59,"&lt;="&amp;B60,BJ$5:BJ59,BJ60),2))</f>
        <v/>
      </c>
      <c r="BB60" s="68" t="str">
        <f aca="false">IF(B60="","",IF(AND(AF60&lt;&gt;"",AV60&lt;&gt;"",N(AF60)&gt;N(AV60)*(1+Settings!$C$13)),"Oversized",IF(AX60&gt;Settings!$C$10,"Overtraded",IF(AY60&lt;=-Settings!$C$11*(AW60-AY60),"Daily loss hit",IF(BA60&lt;=-Settings!$C$12*(AW60-BA60),"Weekly loss hit","OK")))))</f>
        <v/>
      </c>
      <c r="BC60" s="69"/>
      <c r="BD60" s="69"/>
      <c r="BE60" s="69"/>
      <c r="BF60" s="73"/>
      <c r="BG60" s="73"/>
      <c r="BH60" s="71"/>
      <c r="BI60" s="71"/>
      <c r="BJ60" s="68" t="str">
        <f aca="false">IF(B60="","",IF(E60="",Settings!$F$5,E60))</f>
        <v/>
      </c>
      <c r="BK60" s="76" t="str">
        <f aca="false">IF(B60="","",IFERROR(INDEX(Settings!$G$5:$G$10,MATCH(BJ60,Settings!$F$5:$F$10,0)),Settings!$G$5))</f>
        <v/>
      </c>
      <c r="BL60" s="82" t="str">
        <f aca="false">IF(I60="","",IFERROR(1/(1/INDEX(Lists!$C$6:$C$17,MATCH(I60,Lists!$B$6:$B$17,0))),""))</f>
        <v/>
      </c>
      <c r="BM60" s="81" t="str">
        <f aca="false">IF(I60="","",IFERROR(1/(1/INDEX(Lists!$D$6:$D$17,MATCH(I60,Lists!$B$6:$B$17,0))),""))</f>
        <v/>
      </c>
      <c r="BN60" s="76" t="str">
        <f aca="false">IF(AN60="","",MAX(BK60,_xlfn.MAXIFS(AN$6:AN60,BJ$6:BJ60,BJ60)))</f>
        <v/>
      </c>
      <c r="BO60" s="83" t="str">
        <f aca="false">IF(AN60="","",(AN60-BN60)/BN60)</f>
        <v/>
      </c>
      <c r="BP60" s="66" t="n">
        <f aca="false">IF(OR(B60="",AL60=""),0,IF(OR(Settings!$C$28="All Accounts",BJ60=Settings!$C$28),1,0))</f>
        <v>0</v>
      </c>
      <c r="BQ60" s="66" t="str">
        <f aca="false">IF(BP60=1,SUM(BP$6:BP60),"")</f>
        <v/>
      </c>
      <c r="BR60" s="76" t="str">
        <f aca="false">IF(BP60=1,ROUND(Settings!$C$29+SUMIFS(AM$6:AM60,BP$6:BP60,1),2),"")</f>
        <v/>
      </c>
      <c r="BS60" s="76" t="str">
        <f aca="false">IF(BP60=1,MAX(Settings!$C$29,MAX(BR$6:BR60)),"")</f>
        <v/>
      </c>
      <c r="BT60" s="83" t="str">
        <f aca="false">IF(BP60=1,(BR60-BS60)/BS60,"")</f>
        <v/>
      </c>
      <c r="BU60" s="66" t="str">
        <f aca="false">IF(BP60=1,IF(AL60="Win",1+IF(BQ60=1,0,INDEX(BU$5:BU59,MATCH(BQ60-1,BQ$5:BQ59,0))),0),"")</f>
        <v/>
      </c>
      <c r="BV60" s="66" t="str">
        <f aca="false">IF(BP60=1,IF(AL60="Loss",1+IF(BQ60=1,0,INDEX(BV$5:BV59,MATCH(BQ60-1,BQ$5:BQ59,0))),0),"")</f>
        <v/>
      </c>
    </row>
    <row r="61" customFormat="false" ht="15" hidden="false" customHeight="false" outlineLevel="0" collapsed="false">
      <c r="A61" s="66" t="str">
        <f aca="false">IF(B61="","",ROW()-5)</f>
        <v/>
      </c>
      <c r="B61" s="67"/>
      <c r="C61" s="68" t="str">
        <f aca="false">IF(B61="","",CHOOSE(WEEKDAY(B61,2),"Mon","Tue","Wed","Thu","Fri","Sat","Sun"))</f>
        <v/>
      </c>
      <c r="D61" s="66" t="str">
        <f aca="false">IF(B61="","",WEEKNUM(B61,2))</f>
        <v/>
      </c>
      <c r="E61" s="69"/>
      <c r="F61" s="69"/>
      <c r="G61" s="70"/>
      <c r="H61" s="70"/>
      <c r="I61" s="69"/>
      <c r="J61" s="69"/>
      <c r="K61" s="69"/>
      <c r="L61" s="71"/>
      <c r="M61" s="69"/>
      <c r="N61" s="69"/>
      <c r="O61" s="69"/>
      <c r="P61" s="71"/>
      <c r="Q61" s="69"/>
      <c r="R61" s="69"/>
      <c r="S61" s="69"/>
      <c r="T61" s="69"/>
      <c r="U61" s="69"/>
      <c r="V61" s="69"/>
      <c r="W61" s="69"/>
      <c r="X61" s="66" t="str">
        <f aca="false">IF(B61="","",COUNTIF(Q61:W61,"Yes"))</f>
        <v/>
      </c>
      <c r="Y61" s="68" t="str">
        <f aca="false">IF(B61="","",IF(X61&gt;=Settings!$C$16,"A+",IF(X61&gt;=Settings!$C$17,"A",IF(X61&gt;=Settings!$C$18,"B","C"))))</f>
        <v/>
      </c>
      <c r="Z61" s="72"/>
      <c r="AA61" s="72"/>
      <c r="AB61" s="72"/>
      <c r="AC61" s="72"/>
      <c r="AD61" s="72"/>
      <c r="AE61" s="72"/>
      <c r="AF61" s="73"/>
      <c r="AG61" s="74"/>
      <c r="AH61" s="75"/>
      <c r="AI61" s="76" t="str">
        <f aca="false">IF(B61="","",ROUND(IF(AG61="",Settings!$C$5,AG61)*AW61,2))</f>
        <v/>
      </c>
      <c r="AJ61" s="77" t="str">
        <f aca="false">IF(OR(B61="",AB61="",AC61="",AD61=""),"",IFERROR(ROUND(ABS(AD61-AB61)/ABS(AB61-AC61),2),""))</f>
        <v/>
      </c>
      <c r="AK61" s="78" t="str">
        <f aca="false">IF(OR(B61="",AB61="",AC61="",AE61=""),"",IFERROR(ROUND(IF(J61="Short",AB61-AE61,AE61-AB61)/ABS(AB61-AC61),2),""))</f>
        <v/>
      </c>
      <c r="AL61" s="68" t="str">
        <f aca="false">IF(AK61="","",IF(ABS(AK61)&lt;=Settings!$C$6,"BE",IF(AK61&gt;0,"Win","Loss")))</f>
        <v/>
      </c>
      <c r="AM61" s="79" t="str">
        <f aca="false">IF(OR(AK61="",AI61=""),"",ROUND(AK61*AI61-N(AH61),2))</f>
        <v/>
      </c>
      <c r="AN61" s="76" t="str">
        <f aca="false">IF(AM61="","",ROUND(BK61+SUMIFS(AM$6:AM61,BJ$6:BJ61,BJ61),2))</f>
        <v/>
      </c>
      <c r="AO61" s="78" t="str">
        <f aca="false">IF(AK61="","",ROUND(SUMIFS(AK$6:AK61,BJ$6:BJ61,BJ61),2))</f>
        <v/>
      </c>
      <c r="AP61" s="80" t="str">
        <f aca="false">IF(OR(AK61="",BL61=""),"",IFERROR(ROUND(IF(J61="Short",AB61-AE61,AE61-AB61)/BL61,1),""))</f>
        <v/>
      </c>
      <c r="AQ61" s="66" t="str">
        <f aca="false">IF(OR(G61="",H61=""),"",ROUND(MOD(H61-G61,1)*1440,0))</f>
        <v/>
      </c>
      <c r="AR61" s="68" t="str">
        <f aca="false">IF(AQ61="","",IF(AQ61&lt;15,"Under 15m",IF(AQ61&lt;60,"15-60m",IF(AQ61&lt;240,"1-4 hours","4+ hours"))))</f>
        <v/>
      </c>
      <c r="AS61" s="66" t="str">
        <f aca="false">IF(G61="","",HOUR(G61))</f>
        <v/>
      </c>
      <c r="AT61" s="80" t="str">
        <f aca="false">IF(OR(Z61="",AB61="",BL61=""),"",IFERROR(ROUND(IF(J61="Short",Z61-AB61,AB61-Z61)/BL61,1),""))</f>
        <v/>
      </c>
      <c r="AU61" s="68" t="str">
        <f aca="false">IF(OR(AA61="",AC61=""),"",IF(AA61=AC61,"No","Yes"))</f>
        <v/>
      </c>
      <c r="AV61" s="81" t="str">
        <f aca="false">IF(OR(B61="",BL61="",BM61="",AB61="",AC61=""),"",IFERROR(ROUND(AI61/(ABS(AB61-AC61)/BL61*BM61),2),""))</f>
        <v/>
      </c>
      <c r="AW61" s="76" t="str">
        <f aca="false">IF(B61="","",ROUND(BK61+SUMIFS(AM$5:AM60,BJ$5:BJ60,BJ61),2))</f>
        <v/>
      </c>
      <c r="AX61" s="66" t="str">
        <f aca="false">IF(B61="","",COUNTIFS(B$6:B61,B61,BJ$6:BJ61,BJ61))</f>
        <v/>
      </c>
      <c r="AY61" s="79" t="str">
        <f aca="false">IF(B61="","",ROUND(SUMIFS(AM$5:AM60,B$5:B60,B61,BJ$5:BJ60,BJ61),2))</f>
        <v/>
      </c>
      <c r="AZ61" s="79" t="str">
        <f aca="false">IF(AM61="","",ROUND(AY61+AM61,2))</f>
        <v/>
      </c>
      <c r="BA61" s="79" t="str">
        <f aca="false">IF(B61="","",ROUND(SUMIFS(AM$5:AM60,B$5:B60,"&gt;="&amp;(B61-WEEKDAY(B61,2)+1),B$5:B60,"&lt;="&amp;B61,BJ$5:BJ60,BJ61),2))</f>
        <v/>
      </c>
      <c r="BB61" s="68" t="str">
        <f aca="false">IF(B61="","",IF(AND(AF61&lt;&gt;"",AV61&lt;&gt;"",N(AF61)&gt;N(AV61)*(1+Settings!$C$13)),"Oversized",IF(AX61&gt;Settings!$C$10,"Overtraded",IF(AY61&lt;=-Settings!$C$11*(AW61-AY61),"Daily loss hit",IF(BA61&lt;=-Settings!$C$12*(AW61-BA61),"Weekly loss hit","OK")))))</f>
        <v/>
      </c>
      <c r="BC61" s="69"/>
      <c r="BD61" s="69"/>
      <c r="BE61" s="69"/>
      <c r="BF61" s="73"/>
      <c r="BG61" s="73"/>
      <c r="BH61" s="71"/>
      <c r="BI61" s="71"/>
      <c r="BJ61" s="68" t="str">
        <f aca="false">IF(B61="","",IF(E61="",Settings!$F$5,E61))</f>
        <v/>
      </c>
      <c r="BK61" s="76" t="str">
        <f aca="false">IF(B61="","",IFERROR(INDEX(Settings!$G$5:$G$10,MATCH(BJ61,Settings!$F$5:$F$10,0)),Settings!$G$5))</f>
        <v/>
      </c>
      <c r="BL61" s="82" t="str">
        <f aca="false">IF(I61="","",IFERROR(1/(1/INDEX(Lists!$C$6:$C$17,MATCH(I61,Lists!$B$6:$B$17,0))),""))</f>
        <v/>
      </c>
      <c r="BM61" s="81" t="str">
        <f aca="false">IF(I61="","",IFERROR(1/(1/INDEX(Lists!$D$6:$D$17,MATCH(I61,Lists!$B$6:$B$17,0))),""))</f>
        <v/>
      </c>
      <c r="BN61" s="76" t="str">
        <f aca="false">IF(AN61="","",MAX(BK61,_xlfn.MAXIFS(AN$6:AN61,BJ$6:BJ61,BJ61)))</f>
        <v/>
      </c>
      <c r="BO61" s="83" t="str">
        <f aca="false">IF(AN61="","",(AN61-BN61)/BN61)</f>
        <v/>
      </c>
      <c r="BP61" s="66" t="n">
        <f aca="false">IF(OR(B61="",AL61=""),0,IF(OR(Settings!$C$28="All Accounts",BJ61=Settings!$C$28),1,0))</f>
        <v>0</v>
      </c>
      <c r="BQ61" s="66" t="str">
        <f aca="false">IF(BP61=1,SUM(BP$6:BP61),"")</f>
        <v/>
      </c>
      <c r="BR61" s="76" t="str">
        <f aca="false">IF(BP61=1,ROUND(Settings!$C$29+SUMIFS(AM$6:AM61,BP$6:BP61,1),2),"")</f>
        <v/>
      </c>
      <c r="BS61" s="76" t="str">
        <f aca="false">IF(BP61=1,MAX(Settings!$C$29,MAX(BR$6:BR61)),"")</f>
        <v/>
      </c>
      <c r="BT61" s="83" t="str">
        <f aca="false">IF(BP61=1,(BR61-BS61)/BS61,"")</f>
        <v/>
      </c>
      <c r="BU61" s="66" t="str">
        <f aca="false">IF(BP61=1,IF(AL61="Win",1+IF(BQ61=1,0,INDEX(BU$5:BU60,MATCH(BQ61-1,BQ$5:BQ60,0))),0),"")</f>
        <v/>
      </c>
      <c r="BV61" s="66" t="str">
        <f aca="false">IF(BP61=1,IF(AL61="Loss",1+IF(BQ61=1,0,INDEX(BV$5:BV60,MATCH(BQ61-1,BQ$5:BQ60,0))),0),"")</f>
        <v/>
      </c>
    </row>
    <row r="62" customFormat="false" ht="15" hidden="false" customHeight="false" outlineLevel="0" collapsed="false">
      <c r="A62" s="66" t="str">
        <f aca="false">IF(B62="","",ROW()-5)</f>
        <v/>
      </c>
      <c r="B62" s="67"/>
      <c r="C62" s="68" t="str">
        <f aca="false">IF(B62="","",CHOOSE(WEEKDAY(B62,2),"Mon","Tue","Wed","Thu","Fri","Sat","Sun"))</f>
        <v/>
      </c>
      <c r="D62" s="66" t="str">
        <f aca="false">IF(B62="","",WEEKNUM(B62,2))</f>
        <v/>
      </c>
      <c r="E62" s="69"/>
      <c r="F62" s="69"/>
      <c r="G62" s="70"/>
      <c r="H62" s="70"/>
      <c r="I62" s="69"/>
      <c r="J62" s="69"/>
      <c r="K62" s="69"/>
      <c r="L62" s="71"/>
      <c r="M62" s="69"/>
      <c r="N62" s="69"/>
      <c r="O62" s="69"/>
      <c r="P62" s="71"/>
      <c r="Q62" s="69"/>
      <c r="R62" s="69"/>
      <c r="S62" s="69"/>
      <c r="T62" s="69"/>
      <c r="U62" s="69"/>
      <c r="V62" s="69"/>
      <c r="W62" s="69"/>
      <c r="X62" s="66" t="str">
        <f aca="false">IF(B62="","",COUNTIF(Q62:W62,"Yes"))</f>
        <v/>
      </c>
      <c r="Y62" s="68" t="str">
        <f aca="false">IF(B62="","",IF(X62&gt;=Settings!$C$16,"A+",IF(X62&gt;=Settings!$C$17,"A",IF(X62&gt;=Settings!$C$18,"B","C"))))</f>
        <v/>
      </c>
      <c r="Z62" s="72"/>
      <c r="AA62" s="72"/>
      <c r="AB62" s="72"/>
      <c r="AC62" s="72"/>
      <c r="AD62" s="72"/>
      <c r="AE62" s="72"/>
      <c r="AF62" s="73"/>
      <c r="AG62" s="74"/>
      <c r="AH62" s="75"/>
      <c r="AI62" s="76" t="str">
        <f aca="false">IF(B62="","",ROUND(IF(AG62="",Settings!$C$5,AG62)*AW62,2))</f>
        <v/>
      </c>
      <c r="AJ62" s="77" t="str">
        <f aca="false">IF(OR(B62="",AB62="",AC62="",AD62=""),"",IFERROR(ROUND(ABS(AD62-AB62)/ABS(AB62-AC62),2),""))</f>
        <v/>
      </c>
      <c r="AK62" s="78" t="str">
        <f aca="false">IF(OR(B62="",AB62="",AC62="",AE62=""),"",IFERROR(ROUND(IF(J62="Short",AB62-AE62,AE62-AB62)/ABS(AB62-AC62),2),""))</f>
        <v/>
      </c>
      <c r="AL62" s="68" t="str">
        <f aca="false">IF(AK62="","",IF(ABS(AK62)&lt;=Settings!$C$6,"BE",IF(AK62&gt;0,"Win","Loss")))</f>
        <v/>
      </c>
      <c r="AM62" s="79" t="str">
        <f aca="false">IF(OR(AK62="",AI62=""),"",ROUND(AK62*AI62-N(AH62),2))</f>
        <v/>
      </c>
      <c r="AN62" s="76" t="str">
        <f aca="false">IF(AM62="","",ROUND(BK62+SUMIFS(AM$6:AM62,BJ$6:BJ62,BJ62),2))</f>
        <v/>
      </c>
      <c r="AO62" s="78" t="str">
        <f aca="false">IF(AK62="","",ROUND(SUMIFS(AK$6:AK62,BJ$6:BJ62,BJ62),2))</f>
        <v/>
      </c>
      <c r="AP62" s="80" t="str">
        <f aca="false">IF(OR(AK62="",BL62=""),"",IFERROR(ROUND(IF(J62="Short",AB62-AE62,AE62-AB62)/BL62,1),""))</f>
        <v/>
      </c>
      <c r="AQ62" s="66" t="str">
        <f aca="false">IF(OR(G62="",H62=""),"",ROUND(MOD(H62-G62,1)*1440,0))</f>
        <v/>
      </c>
      <c r="AR62" s="68" t="str">
        <f aca="false">IF(AQ62="","",IF(AQ62&lt;15,"Under 15m",IF(AQ62&lt;60,"15-60m",IF(AQ62&lt;240,"1-4 hours","4+ hours"))))</f>
        <v/>
      </c>
      <c r="AS62" s="66" t="str">
        <f aca="false">IF(G62="","",HOUR(G62))</f>
        <v/>
      </c>
      <c r="AT62" s="80" t="str">
        <f aca="false">IF(OR(Z62="",AB62="",BL62=""),"",IFERROR(ROUND(IF(J62="Short",Z62-AB62,AB62-Z62)/BL62,1),""))</f>
        <v/>
      </c>
      <c r="AU62" s="68" t="str">
        <f aca="false">IF(OR(AA62="",AC62=""),"",IF(AA62=AC62,"No","Yes"))</f>
        <v/>
      </c>
      <c r="AV62" s="81" t="str">
        <f aca="false">IF(OR(B62="",BL62="",BM62="",AB62="",AC62=""),"",IFERROR(ROUND(AI62/(ABS(AB62-AC62)/BL62*BM62),2),""))</f>
        <v/>
      </c>
      <c r="AW62" s="76" t="str">
        <f aca="false">IF(B62="","",ROUND(BK62+SUMIFS(AM$5:AM61,BJ$5:BJ61,BJ62),2))</f>
        <v/>
      </c>
      <c r="AX62" s="66" t="str">
        <f aca="false">IF(B62="","",COUNTIFS(B$6:B62,B62,BJ$6:BJ62,BJ62))</f>
        <v/>
      </c>
      <c r="AY62" s="79" t="str">
        <f aca="false">IF(B62="","",ROUND(SUMIFS(AM$5:AM61,B$5:B61,B62,BJ$5:BJ61,BJ62),2))</f>
        <v/>
      </c>
      <c r="AZ62" s="79" t="str">
        <f aca="false">IF(AM62="","",ROUND(AY62+AM62,2))</f>
        <v/>
      </c>
      <c r="BA62" s="79" t="str">
        <f aca="false">IF(B62="","",ROUND(SUMIFS(AM$5:AM61,B$5:B61,"&gt;="&amp;(B62-WEEKDAY(B62,2)+1),B$5:B61,"&lt;="&amp;B62,BJ$5:BJ61,BJ62),2))</f>
        <v/>
      </c>
      <c r="BB62" s="68" t="str">
        <f aca="false">IF(B62="","",IF(AND(AF62&lt;&gt;"",AV62&lt;&gt;"",N(AF62)&gt;N(AV62)*(1+Settings!$C$13)),"Oversized",IF(AX62&gt;Settings!$C$10,"Overtraded",IF(AY62&lt;=-Settings!$C$11*(AW62-AY62),"Daily loss hit",IF(BA62&lt;=-Settings!$C$12*(AW62-BA62),"Weekly loss hit","OK")))))</f>
        <v/>
      </c>
      <c r="BC62" s="69"/>
      <c r="BD62" s="69"/>
      <c r="BE62" s="69"/>
      <c r="BF62" s="73"/>
      <c r="BG62" s="73"/>
      <c r="BH62" s="71"/>
      <c r="BI62" s="71"/>
      <c r="BJ62" s="68" t="str">
        <f aca="false">IF(B62="","",IF(E62="",Settings!$F$5,E62))</f>
        <v/>
      </c>
      <c r="BK62" s="76" t="str">
        <f aca="false">IF(B62="","",IFERROR(INDEX(Settings!$G$5:$G$10,MATCH(BJ62,Settings!$F$5:$F$10,0)),Settings!$G$5))</f>
        <v/>
      </c>
      <c r="BL62" s="82" t="str">
        <f aca="false">IF(I62="","",IFERROR(1/(1/INDEX(Lists!$C$6:$C$17,MATCH(I62,Lists!$B$6:$B$17,0))),""))</f>
        <v/>
      </c>
      <c r="BM62" s="81" t="str">
        <f aca="false">IF(I62="","",IFERROR(1/(1/INDEX(Lists!$D$6:$D$17,MATCH(I62,Lists!$B$6:$B$17,0))),""))</f>
        <v/>
      </c>
      <c r="BN62" s="76" t="str">
        <f aca="false">IF(AN62="","",MAX(BK62,_xlfn.MAXIFS(AN$6:AN62,BJ$6:BJ62,BJ62)))</f>
        <v/>
      </c>
      <c r="BO62" s="83" t="str">
        <f aca="false">IF(AN62="","",(AN62-BN62)/BN62)</f>
        <v/>
      </c>
      <c r="BP62" s="66" t="n">
        <f aca="false">IF(OR(B62="",AL62=""),0,IF(OR(Settings!$C$28="All Accounts",BJ62=Settings!$C$28),1,0))</f>
        <v>0</v>
      </c>
      <c r="BQ62" s="66" t="str">
        <f aca="false">IF(BP62=1,SUM(BP$6:BP62),"")</f>
        <v/>
      </c>
      <c r="BR62" s="76" t="str">
        <f aca="false">IF(BP62=1,ROUND(Settings!$C$29+SUMIFS(AM$6:AM62,BP$6:BP62,1),2),"")</f>
        <v/>
      </c>
      <c r="BS62" s="76" t="str">
        <f aca="false">IF(BP62=1,MAX(Settings!$C$29,MAX(BR$6:BR62)),"")</f>
        <v/>
      </c>
      <c r="BT62" s="83" t="str">
        <f aca="false">IF(BP62=1,(BR62-BS62)/BS62,"")</f>
        <v/>
      </c>
      <c r="BU62" s="66" t="str">
        <f aca="false">IF(BP62=1,IF(AL62="Win",1+IF(BQ62=1,0,INDEX(BU$5:BU61,MATCH(BQ62-1,BQ$5:BQ61,0))),0),"")</f>
        <v/>
      </c>
      <c r="BV62" s="66" t="str">
        <f aca="false">IF(BP62=1,IF(AL62="Loss",1+IF(BQ62=1,0,INDEX(BV$5:BV61,MATCH(BQ62-1,BQ$5:BQ61,0))),0),"")</f>
        <v/>
      </c>
    </row>
    <row r="63" customFormat="false" ht="15" hidden="false" customHeight="false" outlineLevel="0" collapsed="false">
      <c r="A63" s="66" t="str">
        <f aca="false">IF(B63="","",ROW()-5)</f>
        <v/>
      </c>
      <c r="B63" s="67"/>
      <c r="C63" s="68" t="str">
        <f aca="false">IF(B63="","",CHOOSE(WEEKDAY(B63,2),"Mon","Tue","Wed","Thu","Fri","Sat","Sun"))</f>
        <v/>
      </c>
      <c r="D63" s="66" t="str">
        <f aca="false">IF(B63="","",WEEKNUM(B63,2))</f>
        <v/>
      </c>
      <c r="E63" s="69"/>
      <c r="F63" s="69"/>
      <c r="G63" s="70"/>
      <c r="H63" s="70"/>
      <c r="I63" s="69"/>
      <c r="J63" s="69"/>
      <c r="K63" s="69"/>
      <c r="L63" s="71"/>
      <c r="M63" s="69"/>
      <c r="N63" s="69"/>
      <c r="O63" s="69"/>
      <c r="P63" s="71"/>
      <c r="Q63" s="69"/>
      <c r="R63" s="69"/>
      <c r="S63" s="69"/>
      <c r="T63" s="69"/>
      <c r="U63" s="69"/>
      <c r="V63" s="69"/>
      <c r="W63" s="69"/>
      <c r="X63" s="66" t="str">
        <f aca="false">IF(B63="","",COUNTIF(Q63:W63,"Yes"))</f>
        <v/>
      </c>
      <c r="Y63" s="68" t="str">
        <f aca="false">IF(B63="","",IF(X63&gt;=Settings!$C$16,"A+",IF(X63&gt;=Settings!$C$17,"A",IF(X63&gt;=Settings!$C$18,"B","C"))))</f>
        <v/>
      </c>
      <c r="Z63" s="72"/>
      <c r="AA63" s="72"/>
      <c r="AB63" s="72"/>
      <c r="AC63" s="72"/>
      <c r="AD63" s="72"/>
      <c r="AE63" s="72"/>
      <c r="AF63" s="73"/>
      <c r="AG63" s="74"/>
      <c r="AH63" s="75"/>
      <c r="AI63" s="76" t="str">
        <f aca="false">IF(B63="","",ROUND(IF(AG63="",Settings!$C$5,AG63)*AW63,2))</f>
        <v/>
      </c>
      <c r="AJ63" s="77" t="str">
        <f aca="false">IF(OR(B63="",AB63="",AC63="",AD63=""),"",IFERROR(ROUND(ABS(AD63-AB63)/ABS(AB63-AC63),2),""))</f>
        <v/>
      </c>
      <c r="AK63" s="78" t="str">
        <f aca="false">IF(OR(B63="",AB63="",AC63="",AE63=""),"",IFERROR(ROUND(IF(J63="Short",AB63-AE63,AE63-AB63)/ABS(AB63-AC63),2),""))</f>
        <v/>
      </c>
      <c r="AL63" s="68" t="str">
        <f aca="false">IF(AK63="","",IF(ABS(AK63)&lt;=Settings!$C$6,"BE",IF(AK63&gt;0,"Win","Loss")))</f>
        <v/>
      </c>
      <c r="AM63" s="79" t="str">
        <f aca="false">IF(OR(AK63="",AI63=""),"",ROUND(AK63*AI63-N(AH63),2))</f>
        <v/>
      </c>
      <c r="AN63" s="76" t="str">
        <f aca="false">IF(AM63="","",ROUND(BK63+SUMIFS(AM$6:AM63,BJ$6:BJ63,BJ63),2))</f>
        <v/>
      </c>
      <c r="AO63" s="78" t="str">
        <f aca="false">IF(AK63="","",ROUND(SUMIFS(AK$6:AK63,BJ$6:BJ63,BJ63),2))</f>
        <v/>
      </c>
      <c r="AP63" s="80" t="str">
        <f aca="false">IF(OR(AK63="",BL63=""),"",IFERROR(ROUND(IF(J63="Short",AB63-AE63,AE63-AB63)/BL63,1),""))</f>
        <v/>
      </c>
      <c r="AQ63" s="66" t="str">
        <f aca="false">IF(OR(G63="",H63=""),"",ROUND(MOD(H63-G63,1)*1440,0))</f>
        <v/>
      </c>
      <c r="AR63" s="68" t="str">
        <f aca="false">IF(AQ63="","",IF(AQ63&lt;15,"Under 15m",IF(AQ63&lt;60,"15-60m",IF(AQ63&lt;240,"1-4 hours","4+ hours"))))</f>
        <v/>
      </c>
      <c r="AS63" s="66" t="str">
        <f aca="false">IF(G63="","",HOUR(G63))</f>
        <v/>
      </c>
      <c r="AT63" s="80" t="str">
        <f aca="false">IF(OR(Z63="",AB63="",BL63=""),"",IFERROR(ROUND(IF(J63="Short",Z63-AB63,AB63-Z63)/BL63,1),""))</f>
        <v/>
      </c>
      <c r="AU63" s="68" t="str">
        <f aca="false">IF(OR(AA63="",AC63=""),"",IF(AA63=AC63,"No","Yes"))</f>
        <v/>
      </c>
      <c r="AV63" s="81" t="str">
        <f aca="false">IF(OR(B63="",BL63="",BM63="",AB63="",AC63=""),"",IFERROR(ROUND(AI63/(ABS(AB63-AC63)/BL63*BM63),2),""))</f>
        <v/>
      </c>
      <c r="AW63" s="76" t="str">
        <f aca="false">IF(B63="","",ROUND(BK63+SUMIFS(AM$5:AM62,BJ$5:BJ62,BJ63),2))</f>
        <v/>
      </c>
      <c r="AX63" s="66" t="str">
        <f aca="false">IF(B63="","",COUNTIFS(B$6:B63,B63,BJ$6:BJ63,BJ63))</f>
        <v/>
      </c>
      <c r="AY63" s="79" t="str">
        <f aca="false">IF(B63="","",ROUND(SUMIFS(AM$5:AM62,B$5:B62,B63,BJ$5:BJ62,BJ63),2))</f>
        <v/>
      </c>
      <c r="AZ63" s="79" t="str">
        <f aca="false">IF(AM63="","",ROUND(AY63+AM63,2))</f>
        <v/>
      </c>
      <c r="BA63" s="79" t="str">
        <f aca="false">IF(B63="","",ROUND(SUMIFS(AM$5:AM62,B$5:B62,"&gt;="&amp;(B63-WEEKDAY(B63,2)+1),B$5:B62,"&lt;="&amp;B63,BJ$5:BJ62,BJ63),2))</f>
        <v/>
      </c>
      <c r="BB63" s="68" t="str">
        <f aca="false">IF(B63="","",IF(AND(AF63&lt;&gt;"",AV63&lt;&gt;"",N(AF63)&gt;N(AV63)*(1+Settings!$C$13)),"Oversized",IF(AX63&gt;Settings!$C$10,"Overtraded",IF(AY63&lt;=-Settings!$C$11*(AW63-AY63),"Daily loss hit",IF(BA63&lt;=-Settings!$C$12*(AW63-BA63),"Weekly loss hit","OK")))))</f>
        <v/>
      </c>
      <c r="BC63" s="69"/>
      <c r="BD63" s="69"/>
      <c r="BE63" s="69"/>
      <c r="BF63" s="73"/>
      <c r="BG63" s="73"/>
      <c r="BH63" s="71"/>
      <c r="BI63" s="71"/>
      <c r="BJ63" s="68" t="str">
        <f aca="false">IF(B63="","",IF(E63="",Settings!$F$5,E63))</f>
        <v/>
      </c>
      <c r="BK63" s="76" t="str">
        <f aca="false">IF(B63="","",IFERROR(INDEX(Settings!$G$5:$G$10,MATCH(BJ63,Settings!$F$5:$F$10,0)),Settings!$G$5))</f>
        <v/>
      </c>
      <c r="BL63" s="82" t="str">
        <f aca="false">IF(I63="","",IFERROR(1/(1/INDEX(Lists!$C$6:$C$17,MATCH(I63,Lists!$B$6:$B$17,0))),""))</f>
        <v/>
      </c>
      <c r="BM63" s="81" t="str">
        <f aca="false">IF(I63="","",IFERROR(1/(1/INDEX(Lists!$D$6:$D$17,MATCH(I63,Lists!$B$6:$B$17,0))),""))</f>
        <v/>
      </c>
      <c r="BN63" s="76" t="str">
        <f aca="false">IF(AN63="","",MAX(BK63,_xlfn.MAXIFS(AN$6:AN63,BJ$6:BJ63,BJ63)))</f>
        <v/>
      </c>
      <c r="BO63" s="83" t="str">
        <f aca="false">IF(AN63="","",(AN63-BN63)/BN63)</f>
        <v/>
      </c>
      <c r="BP63" s="66" t="n">
        <f aca="false">IF(OR(B63="",AL63=""),0,IF(OR(Settings!$C$28="All Accounts",BJ63=Settings!$C$28),1,0))</f>
        <v>0</v>
      </c>
      <c r="BQ63" s="66" t="str">
        <f aca="false">IF(BP63=1,SUM(BP$6:BP63),"")</f>
        <v/>
      </c>
      <c r="BR63" s="76" t="str">
        <f aca="false">IF(BP63=1,ROUND(Settings!$C$29+SUMIFS(AM$6:AM63,BP$6:BP63,1),2),"")</f>
        <v/>
      </c>
      <c r="BS63" s="76" t="str">
        <f aca="false">IF(BP63=1,MAX(Settings!$C$29,MAX(BR$6:BR63)),"")</f>
        <v/>
      </c>
      <c r="BT63" s="83" t="str">
        <f aca="false">IF(BP63=1,(BR63-BS63)/BS63,"")</f>
        <v/>
      </c>
      <c r="BU63" s="66" t="str">
        <f aca="false">IF(BP63=1,IF(AL63="Win",1+IF(BQ63=1,0,INDEX(BU$5:BU62,MATCH(BQ63-1,BQ$5:BQ62,0))),0),"")</f>
        <v/>
      </c>
      <c r="BV63" s="66" t="str">
        <f aca="false">IF(BP63=1,IF(AL63="Loss",1+IF(BQ63=1,0,INDEX(BV$5:BV62,MATCH(BQ63-1,BQ$5:BQ62,0))),0),"")</f>
        <v/>
      </c>
    </row>
    <row r="64" customFormat="false" ht="15" hidden="false" customHeight="false" outlineLevel="0" collapsed="false">
      <c r="A64" s="66" t="str">
        <f aca="false">IF(B64="","",ROW()-5)</f>
        <v/>
      </c>
      <c r="B64" s="67"/>
      <c r="C64" s="68" t="str">
        <f aca="false">IF(B64="","",CHOOSE(WEEKDAY(B64,2),"Mon","Tue","Wed","Thu","Fri","Sat","Sun"))</f>
        <v/>
      </c>
      <c r="D64" s="66" t="str">
        <f aca="false">IF(B64="","",WEEKNUM(B64,2))</f>
        <v/>
      </c>
      <c r="E64" s="69"/>
      <c r="F64" s="69"/>
      <c r="G64" s="70"/>
      <c r="H64" s="70"/>
      <c r="I64" s="69"/>
      <c r="J64" s="69"/>
      <c r="K64" s="69"/>
      <c r="L64" s="71"/>
      <c r="M64" s="69"/>
      <c r="N64" s="69"/>
      <c r="O64" s="69"/>
      <c r="P64" s="71"/>
      <c r="Q64" s="69"/>
      <c r="R64" s="69"/>
      <c r="S64" s="69"/>
      <c r="T64" s="69"/>
      <c r="U64" s="69"/>
      <c r="V64" s="69"/>
      <c r="W64" s="69"/>
      <c r="X64" s="66" t="str">
        <f aca="false">IF(B64="","",COUNTIF(Q64:W64,"Yes"))</f>
        <v/>
      </c>
      <c r="Y64" s="68" t="str">
        <f aca="false">IF(B64="","",IF(X64&gt;=Settings!$C$16,"A+",IF(X64&gt;=Settings!$C$17,"A",IF(X64&gt;=Settings!$C$18,"B","C"))))</f>
        <v/>
      </c>
      <c r="Z64" s="72"/>
      <c r="AA64" s="72"/>
      <c r="AB64" s="72"/>
      <c r="AC64" s="72"/>
      <c r="AD64" s="72"/>
      <c r="AE64" s="72"/>
      <c r="AF64" s="73"/>
      <c r="AG64" s="74"/>
      <c r="AH64" s="75"/>
      <c r="AI64" s="76" t="str">
        <f aca="false">IF(B64="","",ROUND(IF(AG64="",Settings!$C$5,AG64)*AW64,2))</f>
        <v/>
      </c>
      <c r="AJ64" s="77" t="str">
        <f aca="false">IF(OR(B64="",AB64="",AC64="",AD64=""),"",IFERROR(ROUND(ABS(AD64-AB64)/ABS(AB64-AC64),2),""))</f>
        <v/>
      </c>
      <c r="AK64" s="78" t="str">
        <f aca="false">IF(OR(B64="",AB64="",AC64="",AE64=""),"",IFERROR(ROUND(IF(J64="Short",AB64-AE64,AE64-AB64)/ABS(AB64-AC64),2),""))</f>
        <v/>
      </c>
      <c r="AL64" s="68" t="str">
        <f aca="false">IF(AK64="","",IF(ABS(AK64)&lt;=Settings!$C$6,"BE",IF(AK64&gt;0,"Win","Loss")))</f>
        <v/>
      </c>
      <c r="AM64" s="79" t="str">
        <f aca="false">IF(OR(AK64="",AI64=""),"",ROUND(AK64*AI64-N(AH64),2))</f>
        <v/>
      </c>
      <c r="AN64" s="76" t="str">
        <f aca="false">IF(AM64="","",ROUND(BK64+SUMIFS(AM$6:AM64,BJ$6:BJ64,BJ64),2))</f>
        <v/>
      </c>
      <c r="AO64" s="78" t="str">
        <f aca="false">IF(AK64="","",ROUND(SUMIFS(AK$6:AK64,BJ$6:BJ64,BJ64),2))</f>
        <v/>
      </c>
      <c r="AP64" s="80" t="str">
        <f aca="false">IF(OR(AK64="",BL64=""),"",IFERROR(ROUND(IF(J64="Short",AB64-AE64,AE64-AB64)/BL64,1),""))</f>
        <v/>
      </c>
      <c r="AQ64" s="66" t="str">
        <f aca="false">IF(OR(G64="",H64=""),"",ROUND(MOD(H64-G64,1)*1440,0))</f>
        <v/>
      </c>
      <c r="AR64" s="68" t="str">
        <f aca="false">IF(AQ64="","",IF(AQ64&lt;15,"Under 15m",IF(AQ64&lt;60,"15-60m",IF(AQ64&lt;240,"1-4 hours","4+ hours"))))</f>
        <v/>
      </c>
      <c r="AS64" s="66" t="str">
        <f aca="false">IF(G64="","",HOUR(G64))</f>
        <v/>
      </c>
      <c r="AT64" s="80" t="str">
        <f aca="false">IF(OR(Z64="",AB64="",BL64=""),"",IFERROR(ROUND(IF(J64="Short",Z64-AB64,AB64-Z64)/BL64,1),""))</f>
        <v/>
      </c>
      <c r="AU64" s="68" t="str">
        <f aca="false">IF(OR(AA64="",AC64=""),"",IF(AA64=AC64,"No","Yes"))</f>
        <v/>
      </c>
      <c r="AV64" s="81" t="str">
        <f aca="false">IF(OR(B64="",BL64="",BM64="",AB64="",AC64=""),"",IFERROR(ROUND(AI64/(ABS(AB64-AC64)/BL64*BM64),2),""))</f>
        <v/>
      </c>
      <c r="AW64" s="76" t="str">
        <f aca="false">IF(B64="","",ROUND(BK64+SUMIFS(AM$5:AM63,BJ$5:BJ63,BJ64),2))</f>
        <v/>
      </c>
      <c r="AX64" s="66" t="str">
        <f aca="false">IF(B64="","",COUNTIFS(B$6:B64,B64,BJ$6:BJ64,BJ64))</f>
        <v/>
      </c>
      <c r="AY64" s="79" t="str">
        <f aca="false">IF(B64="","",ROUND(SUMIFS(AM$5:AM63,B$5:B63,B64,BJ$5:BJ63,BJ64),2))</f>
        <v/>
      </c>
      <c r="AZ64" s="79" t="str">
        <f aca="false">IF(AM64="","",ROUND(AY64+AM64,2))</f>
        <v/>
      </c>
      <c r="BA64" s="79" t="str">
        <f aca="false">IF(B64="","",ROUND(SUMIFS(AM$5:AM63,B$5:B63,"&gt;="&amp;(B64-WEEKDAY(B64,2)+1),B$5:B63,"&lt;="&amp;B64,BJ$5:BJ63,BJ64),2))</f>
        <v/>
      </c>
      <c r="BB64" s="68" t="str">
        <f aca="false">IF(B64="","",IF(AND(AF64&lt;&gt;"",AV64&lt;&gt;"",N(AF64)&gt;N(AV64)*(1+Settings!$C$13)),"Oversized",IF(AX64&gt;Settings!$C$10,"Overtraded",IF(AY64&lt;=-Settings!$C$11*(AW64-AY64),"Daily loss hit",IF(BA64&lt;=-Settings!$C$12*(AW64-BA64),"Weekly loss hit","OK")))))</f>
        <v/>
      </c>
      <c r="BC64" s="69"/>
      <c r="BD64" s="69"/>
      <c r="BE64" s="69"/>
      <c r="BF64" s="73"/>
      <c r="BG64" s="73"/>
      <c r="BH64" s="71"/>
      <c r="BI64" s="71"/>
      <c r="BJ64" s="68" t="str">
        <f aca="false">IF(B64="","",IF(E64="",Settings!$F$5,E64))</f>
        <v/>
      </c>
      <c r="BK64" s="76" t="str">
        <f aca="false">IF(B64="","",IFERROR(INDEX(Settings!$G$5:$G$10,MATCH(BJ64,Settings!$F$5:$F$10,0)),Settings!$G$5))</f>
        <v/>
      </c>
      <c r="BL64" s="82" t="str">
        <f aca="false">IF(I64="","",IFERROR(1/(1/INDEX(Lists!$C$6:$C$17,MATCH(I64,Lists!$B$6:$B$17,0))),""))</f>
        <v/>
      </c>
      <c r="BM64" s="81" t="str">
        <f aca="false">IF(I64="","",IFERROR(1/(1/INDEX(Lists!$D$6:$D$17,MATCH(I64,Lists!$B$6:$B$17,0))),""))</f>
        <v/>
      </c>
      <c r="BN64" s="76" t="str">
        <f aca="false">IF(AN64="","",MAX(BK64,_xlfn.MAXIFS(AN$6:AN64,BJ$6:BJ64,BJ64)))</f>
        <v/>
      </c>
      <c r="BO64" s="83" t="str">
        <f aca="false">IF(AN64="","",(AN64-BN64)/BN64)</f>
        <v/>
      </c>
      <c r="BP64" s="66" t="n">
        <f aca="false">IF(OR(B64="",AL64=""),0,IF(OR(Settings!$C$28="All Accounts",BJ64=Settings!$C$28),1,0))</f>
        <v>0</v>
      </c>
      <c r="BQ64" s="66" t="str">
        <f aca="false">IF(BP64=1,SUM(BP$6:BP64),"")</f>
        <v/>
      </c>
      <c r="BR64" s="76" t="str">
        <f aca="false">IF(BP64=1,ROUND(Settings!$C$29+SUMIFS(AM$6:AM64,BP$6:BP64,1),2),"")</f>
        <v/>
      </c>
      <c r="BS64" s="76" t="str">
        <f aca="false">IF(BP64=1,MAX(Settings!$C$29,MAX(BR$6:BR64)),"")</f>
        <v/>
      </c>
      <c r="BT64" s="83" t="str">
        <f aca="false">IF(BP64=1,(BR64-BS64)/BS64,"")</f>
        <v/>
      </c>
      <c r="BU64" s="66" t="str">
        <f aca="false">IF(BP64=1,IF(AL64="Win",1+IF(BQ64=1,0,INDEX(BU$5:BU63,MATCH(BQ64-1,BQ$5:BQ63,0))),0),"")</f>
        <v/>
      </c>
      <c r="BV64" s="66" t="str">
        <f aca="false">IF(BP64=1,IF(AL64="Loss",1+IF(BQ64=1,0,INDEX(BV$5:BV63,MATCH(BQ64-1,BQ$5:BQ63,0))),0),"")</f>
        <v/>
      </c>
    </row>
    <row r="65" customFormat="false" ht="15" hidden="false" customHeight="false" outlineLevel="0" collapsed="false">
      <c r="A65" s="66" t="str">
        <f aca="false">IF(B65="","",ROW()-5)</f>
        <v/>
      </c>
      <c r="B65" s="67"/>
      <c r="C65" s="68" t="str">
        <f aca="false">IF(B65="","",CHOOSE(WEEKDAY(B65,2),"Mon","Tue","Wed","Thu","Fri","Sat","Sun"))</f>
        <v/>
      </c>
      <c r="D65" s="66" t="str">
        <f aca="false">IF(B65="","",WEEKNUM(B65,2))</f>
        <v/>
      </c>
      <c r="E65" s="69"/>
      <c r="F65" s="69"/>
      <c r="G65" s="70"/>
      <c r="H65" s="70"/>
      <c r="I65" s="69"/>
      <c r="J65" s="69"/>
      <c r="K65" s="69"/>
      <c r="L65" s="71"/>
      <c r="M65" s="69"/>
      <c r="N65" s="69"/>
      <c r="O65" s="69"/>
      <c r="P65" s="71"/>
      <c r="Q65" s="69"/>
      <c r="R65" s="69"/>
      <c r="S65" s="69"/>
      <c r="T65" s="69"/>
      <c r="U65" s="69"/>
      <c r="V65" s="69"/>
      <c r="W65" s="69"/>
      <c r="X65" s="66" t="str">
        <f aca="false">IF(B65="","",COUNTIF(Q65:W65,"Yes"))</f>
        <v/>
      </c>
      <c r="Y65" s="68" t="str">
        <f aca="false">IF(B65="","",IF(X65&gt;=Settings!$C$16,"A+",IF(X65&gt;=Settings!$C$17,"A",IF(X65&gt;=Settings!$C$18,"B","C"))))</f>
        <v/>
      </c>
      <c r="Z65" s="72"/>
      <c r="AA65" s="72"/>
      <c r="AB65" s="72"/>
      <c r="AC65" s="72"/>
      <c r="AD65" s="72"/>
      <c r="AE65" s="72"/>
      <c r="AF65" s="73"/>
      <c r="AG65" s="74"/>
      <c r="AH65" s="75"/>
      <c r="AI65" s="76" t="str">
        <f aca="false">IF(B65="","",ROUND(IF(AG65="",Settings!$C$5,AG65)*AW65,2))</f>
        <v/>
      </c>
      <c r="AJ65" s="77" t="str">
        <f aca="false">IF(OR(B65="",AB65="",AC65="",AD65=""),"",IFERROR(ROUND(ABS(AD65-AB65)/ABS(AB65-AC65),2),""))</f>
        <v/>
      </c>
      <c r="AK65" s="78" t="str">
        <f aca="false">IF(OR(B65="",AB65="",AC65="",AE65=""),"",IFERROR(ROUND(IF(J65="Short",AB65-AE65,AE65-AB65)/ABS(AB65-AC65),2),""))</f>
        <v/>
      </c>
      <c r="AL65" s="68" t="str">
        <f aca="false">IF(AK65="","",IF(ABS(AK65)&lt;=Settings!$C$6,"BE",IF(AK65&gt;0,"Win","Loss")))</f>
        <v/>
      </c>
      <c r="AM65" s="79" t="str">
        <f aca="false">IF(OR(AK65="",AI65=""),"",ROUND(AK65*AI65-N(AH65),2))</f>
        <v/>
      </c>
      <c r="AN65" s="76" t="str">
        <f aca="false">IF(AM65="","",ROUND(BK65+SUMIFS(AM$6:AM65,BJ$6:BJ65,BJ65),2))</f>
        <v/>
      </c>
      <c r="AO65" s="78" t="str">
        <f aca="false">IF(AK65="","",ROUND(SUMIFS(AK$6:AK65,BJ$6:BJ65,BJ65),2))</f>
        <v/>
      </c>
      <c r="AP65" s="80" t="str">
        <f aca="false">IF(OR(AK65="",BL65=""),"",IFERROR(ROUND(IF(J65="Short",AB65-AE65,AE65-AB65)/BL65,1),""))</f>
        <v/>
      </c>
      <c r="AQ65" s="66" t="str">
        <f aca="false">IF(OR(G65="",H65=""),"",ROUND(MOD(H65-G65,1)*1440,0))</f>
        <v/>
      </c>
      <c r="AR65" s="68" t="str">
        <f aca="false">IF(AQ65="","",IF(AQ65&lt;15,"Under 15m",IF(AQ65&lt;60,"15-60m",IF(AQ65&lt;240,"1-4 hours","4+ hours"))))</f>
        <v/>
      </c>
      <c r="AS65" s="66" t="str">
        <f aca="false">IF(G65="","",HOUR(G65))</f>
        <v/>
      </c>
      <c r="AT65" s="80" t="str">
        <f aca="false">IF(OR(Z65="",AB65="",BL65=""),"",IFERROR(ROUND(IF(J65="Short",Z65-AB65,AB65-Z65)/BL65,1),""))</f>
        <v/>
      </c>
      <c r="AU65" s="68" t="str">
        <f aca="false">IF(OR(AA65="",AC65=""),"",IF(AA65=AC65,"No","Yes"))</f>
        <v/>
      </c>
      <c r="AV65" s="81" t="str">
        <f aca="false">IF(OR(B65="",BL65="",BM65="",AB65="",AC65=""),"",IFERROR(ROUND(AI65/(ABS(AB65-AC65)/BL65*BM65),2),""))</f>
        <v/>
      </c>
      <c r="AW65" s="76" t="str">
        <f aca="false">IF(B65="","",ROUND(BK65+SUMIFS(AM$5:AM64,BJ$5:BJ64,BJ65),2))</f>
        <v/>
      </c>
      <c r="AX65" s="66" t="str">
        <f aca="false">IF(B65="","",COUNTIFS(B$6:B65,B65,BJ$6:BJ65,BJ65))</f>
        <v/>
      </c>
      <c r="AY65" s="79" t="str">
        <f aca="false">IF(B65="","",ROUND(SUMIFS(AM$5:AM64,B$5:B64,B65,BJ$5:BJ64,BJ65),2))</f>
        <v/>
      </c>
      <c r="AZ65" s="79" t="str">
        <f aca="false">IF(AM65="","",ROUND(AY65+AM65,2))</f>
        <v/>
      </c>
      <c r="BA65" s="79" t="str">
        <f aca="false">IF(B65="","",ROUND(SUMIFS(AM$5:AM64,B$5:B64,"&gt;="&amp;(B65-WEEKDAY(B65,2)+1),B$5:B64,"&lt;="&amp;B65,BJ$5:BJ64,BJ65),2))</f>
        <v/>
      </c>
      <c r="BB65" s="68" t="str">
        <f aca="false">IF(B65="","",IF(AND(AF65&lt;&gt;"",AV65&lt;&gt;"",N(AF65)&gt;N(AV65)*(1+Settings!$C$13)),"Oversized",IF(AX65&gt;Settings!$C$10,"Overtraded",IF(AY65&lt;=-Settings!$C$11*(AW65-AY65),"Daily loss hit",IF(BA65&lt;=-Settings!$C$12*(AW65-BA65),"Weekly loss hit","OK")))))</f>
        <v/>
      </c>
      <c r="BC65" s="69"/>
      <c r="BD65" s="69"/>
      <c r="BE65" s="69"/>
      <c r="BF65" s="73"/>
      <c r="BG65" s="73"/>
      <c r="BH65" s="71"/>
      <c r="BI65" s="71"/>
      <c r="BJ65" s="68" t="str">
        <f aca="false">IF(B65="","",IF(E65="",Settings!$F$5,E65))</f>
        <v/>
      </c>
      <c r="BK65" s="76" t="str">
        <f aca="false">IF(B65="","",IFERROR(INDEX(Settings!$G$5:$G$10,MATCH(BJ65,Settings!$F$5:$F$10,0)),Settings!$G$5))</f>
        <v/>
      </c>
      <c r="BL65" s="82" t="str">
        <f aca="false">IF(I65="","",IFERROR(1/(1/INDEX(Lists!$C$6:$C$17,MATCH(I65,Lists!$B$6:$B$17,0))),""))</f>
        <v/>
      </c>
      <c r="BM65" s="81" t="str">
        <f aca="false">IF(I65="","",IFERROR(1/(1/INDEX(Lists!$D$6:$D$17,MATCH(I65,Lists!$B$6:$B$17,0))),""))</f>
        <v/>
      </c>
      <c r="BN65" s="76" t="str">
        <f aca="false">IF(AN65="","",MAX(BK65,_xlfn.MAXIFS(AN$6:AN65,BJ$6:BJ65,BJ65)))</f>
        <v/>
      </c>
      <c r="BO65" s="83" t="str">
        <f aca="false">IF(AN65="","",(AN65-BN65)/BN65)</f>
        <v/>
      </c>
      <c r="BP65" s="66" t="n">
        <f aca="false">IF(OR(B65="",AL65=""),0,IF(OR(Settings!$C$28="All Accounts",BJ65=Settings!$C$28),1,0))</f>
        <v>0</v>
      </c>
      <c r="BQ65" s="66" t="str">
        <f aca="false">IF(BP65=1,SUM(BP$6:BP65),"")</f>
        <v/>
      </c>
      <c r="BR65" s="76" t="str">
        <f aca="false">IF(BP65=1,ROUND(Settings!$C$29+SUMIFS(AM$6:AM65,BP$6:BP65,1),2),"")</f>
        <v/>
      </c>
      <c r="BS65" s="76" t="str">
        <f aca="false">IF(BP65=1,MAX(Settings!$C$29,MAX(BR$6:BR65)),"")</f>
        <v/>
      </c>
      <c r="BT65" s="83" t="str">
        <f aca="false">IF(BP65=1,(BR65-BS65)/BS65,"")</f>
        <v/>
      </c>
      <c r="BU65" s="66" t="str">
        <f aca="false">IF(BP65=1,IF(AL65="Win",1+IF(BQ65=1,0,INDEX(BU$5:BU64,MATCH(BQ65-1,BQ$5:BQ64,0))),0),"")</f>
        <v/>
      </c>
      <c r="BV65" s="66" t="str">
        <f aca="false">IF(BP65=1,IF(AL65="Loss",1+IF(BQ65=1,0,INDEX(BV$5:BV64,MATCH(BQ65-1,BQ$5:BQ64,0))),0),"")</f>
        <v/>
      </c>
    </row>
    <row r="66" customFormat="false" ht="15" hidden="false" customHeight="false" outlineLevel="0" collapsed="false">
      <c r="A66" s="66" t="str">
        <f aca="false">IF(B66="","",ROW()-5)</f>
        <v/>
      </c>
      <c r="B66" s="67"/>
      <c r="C66" s="68" t="str">
        <f aca="false">IF(B66="","",CHOOSE(WEEKDAY(B66,2),"Mon","Tue","Wed","Thu","Fri","Sat","Sun"))</f>
        <v/>
      </c>
      <c r="D66" s="66" t="str">
        <f aca="false">IF(B66="","",WEEKNUM(B66,2))</f>
        <v/>
      </c>
      <c r="E66" s="69"/>
      <c r="F66" s="69"/>
      <c r="G66" s="70"/>
      <c r="H66" s="70"/>
      <c r="I66" s="69"/>
      <c r="J66" s="69"/>
      <c r="K66" s="69"/>
      <c r="L66" s="71"/>
      <c r="M66" s="69"/>
      <c r="N66" s="69"/>
      <c r="O66" s="69"/>
      <c r="P66" s="71"/>
      <c r="Q66" s="69"/>
      <c r="R66" s="69"/>
      <c r="S66" s="69"/>
      <c r="T66" s="69"/>
      <c r="U66" s="69"/>
      <c r="V66" s="69"/>
      <c r="W66" s="69"/>
      <c r="X66" s="66" t="str">
        <f aca="false">IF(B66="","",COUNTIF(Q66:W66,"Yes"))</f>
        <v/>
      </c>
      <c r="Y66" s="68" t="str">
        <f aca="false">IF(B66="","",IF(X66&gt;=Settings!$C$16,"A+",IF(X66&gt;=Settings!$C$17,"A",IF(X66&gt;=Settings!$C$18,"B","C"))))</f>
        <v/>
      </c>
      <c r="Z66" s="72"/>
      <c r="AA66" s="72"/>
      <c r="AB66" s="72"/>
      <c r="AC66" s="72"/>
      <c r="AD66" s="72"/>
      <c r="AE66" s="72"/>
      <c r="AF66" s="73"/>
      <c r="AG66" s="74"/>
      <c r="AH66" s="75"/>
      <c r="AI66" s="76" t="str">
        <f aca="false">IF(B66="","",ROUND(IF(AG66="",Settings!$C$5,AG66)*AW66,2))</f>
        <v/>
      </c>
      <c r="AJ66" s="77" t="str">
        <f aca="false">IF(OR(B66="",AB66="",AC66="",AD66=""),"",IFERROR(ROUND(ABS(AD66-AB66)/ABS(AB66-AC66),2),""))</f>
        <v/>
      </c>
      <c r="AK66" s="78" t="str">
        <f aca="false">IF(OR(B66="",AB66="",AC66="",AE66=""),"",IFERROR(ROUND(IF(J66="Short",AB66-AE66,AE66-AB66)/ABS(AB66-AC66),2),""))</f>
        <v/>
      </c>
      <c r="AL66" s="68" t="str">
        <f aca="false">IF(AK66="","",IF(ABS(AK66)&lt;=Settings!$C$6,"BE",IF(AK66&gt;0,"Win","Loss")))</f>
        <v/>
      </c>
      <c r="AM66" s="79" t="str">
        <f aca="false">IF(OR(AK66="",AI66=""),"",ROUND(AK66*AI66-N(AH66),2))</f>
        <v/>
      </c>
      <c r="AN66" s="76" t="str">
        <f aca="false">IF(AM66="","",ROUND(BK66+SUMIFS(AM$6:AM66,BJ$6:BJ66,BJ66),2))</f>
        <v/>
      </c>
      <c r="AO66" s="78" t="str">
        <f aca="false">IF(AK66="","",ROUND(SUMIFS(AK$6:AK66,BJ$6:BJ66,BJ66),2))</f>
        <v/>
      </c>
      <c r="AP66" s="80" t="str">
        <f aca="false">IF(OR(AK66="",BL66=""),"",IFERROR(ROUND(IF(J66="Short",AB66-AE66,AE66-AB66)/BL66,1),""))</f>
        <v/>
      </c>
      <c r="AQ66" s="66" t="str">
        <f aca="false">IF(OR(G66="",H66=""),"",ROUND(MOD(H66-G66,1)*1440,0))</f>
        <v/>
      </c>
      <c r="AR66" s="68" t="str">
        <f aca="false">IF(AQ66="","",IF(AQ66&lt;15,"Under 15m",IF(AQ66&lt;60,"15-60m",IF(AQ66&lt;240,"1-4 hours","4+ hours"))))</f>
        <v/>
      </c>
      <c r="AS66" s="66" t="str">
        <f aca="false">IF(G66="","",HOUR(G66))</f>
        <v/>
      </c>
      <c r="AT66" s="80" t="str">
        <f aca="false">IF(OR(Z66="",AB66="",BL66=""),"",IFERROR(ROUND(IF(J66="Short",Z66-AB66,AB66-Z66)/BL66,1),""))</f>
        <v/>
      </c>
      <c r="AU66" s="68" t="str">
        <f aca="false">IF(OR(AA66="",AC66=""),"",IF(AA66=AC66,"No","Yes"))</f>
        <v/>
      </c>
      <c r="AV66" s="81" t="str">
        <f aca="false">IF(OR(B66="",BL66="",BM66="",AB66="",AC66=""),"",IFERROR(ROUND(AI66/(ABS(AB66-AC66)/BL66*BM66),2),""))</f>
        <v/>
      </c>
      <c r="AW66" s="76" t="str">
        <f aca="false">IF(B66="","",ROUND(BK66+SUMIFS(AM$5:AM65,BJ$5:BJ65,BJ66),2))</f>
        <v/>
      </c>
      <c r="AX66" s="66" t="str">
        <f aca="false">IF(B66="","",COUNTIFS(B$6:B66,B66,BJ$6:BJ66,BJ66))</f>
        <v/>
      </c>
      <c r="AY66" s="79" t="str">
        <f aca="false">IF(B66="","",ROUND(SUMIFS(AM$5:AM65,B$5:B65,B66,BJ$5:BJ65,BJ66),2))</f>
        <v/>
      </c>
      <c r="AZ66" s="79" t="str">
        <f aca="false">IF(AM66="","",ROUND(AY66+AM66,2))</f>
        <v/>
      </c>
      <c r="BA66" s="79" t="str">
        <f aca="false">IF(B66="","",ROUND(SUMIFS(AM$5:AM65,B$5:B65,"&gt;="&amp;(B66-WEEKDAY(B66,2)+1),B$5:B65,"&lt;="&amp;B66,BJ$5:BJ65,BJ66),2))</f>
        <v/>
      </c>
      <c r="BB66" s="68" t="str">
        <f aca="false">IF(B66="","",IF(AND(AF66&lt;&gt;"",AV66&lt;&gt;"",N(AF66)&gt;N(AV66)*(1+Settings!$C$13)),"Oversized",IF(AX66&gt;Settings!$C$10,"Overtraded",IF(AY66&lt;=-Settings!$C$11*(AW66-AY66),"Daily loss hit",IF(BA66&lt;=-Settings!$C$12*(AW66-BA66),"Weekly loss hit","OK")))))</f>
        <v/>
      </c>
      <c r="BC66" s="69"/>
      <c r="BD66" s="69"/>
      <c r="BE66" s="69"/>
      <c r="BF66" s="73"/>
      <c r="BG66" s="73"/>
      <c r="BH66" s="71"/>
      <c r="BI66" s="71"/>
      <c r="BJ66" s="68" t="str">
        <f aca="false">IF(B66="","",IF(E66="",Settings!$F$5,E66))</f>
        <v/>
      </c>
      <c r="BK66" s="76" t="str">
        <f aca="false">IF(B66="","",IFERROR(INDEX(Settings!$G$5:$G$10,MATCH(BJ66,Settings!$F$5:$F$10,0)),Settings!$G$5))</f>
        <v/>
      </c>
      <c r="BL66" s="82" t="str">
        <f aca="false">IF(I66="","",IFERROR(1/(1/INDEX(Lists!$C$6:$C$17,MATCH(I66,Lists!$B$6:$B$17,0))),""))</f>
        <v/>
      </c>
      <c r="BM66" s="81" t="str">
        <f aca="false">IF(I66="","",IFERROR(1/(1/INDEX(Lists!$D$6:$D$17,MATCH(I66,Lists!$B$6:$B$17,0))),""))</f>
        <v/>
      </c>
      <c r="BN66" s="76" t="str">
        <f aca="false">IF(AN66="","",MAX(BK66,_xlfn.MAXIFS(AN$6:AN66,BJ$6:BJ66,BJ66)))</f>
        <v/>
      </c>
      <c r="BO66" s="83" t="str">
        <f aca="false">IF(AN66="","",(AN66-BN66)/BN66)</f>
        <v/>
      </c>
      <c r="BP66" s="66" t="n">
        <f aca="false">IF(OR(B66="",AL66=""),0,IF(OR(Settings!$C$28="All Accounts",BJ66=Settings!$C$28),1,0))</f>
        <v>0</v>
      </c>
      <c r="BQ66" s="66" t="str">
        <f aca="false">IF(BP66=1,SUM(BP$6:BP66),"")</f>
        <v/>
      </c>
      <c r="BR66" s="76" t="str">
        <f aca="false">IF(BP66=1,ROUND(Settings!$C$29+SUMIFS(AM$6:AM66,BP$6:BP66,1),2),"")</f>
        <v/>
      </c>
      <c r="BS66" s="76" t="str">
        <f aca="false">IF(BP66=1,MAX(Settings!$C$29,MAX(BR$6:BR66)),"")</f>
        <v/>
      </c>
      <c r="BT66" s="83" t="str">
        <f aca="false">IF(BP66=1,(BR66-BS66)/BS66,"")</f>
        <v/>
      </c>
      <c r="BU66" s="66" t="str">
        <f aca="false">IF(BP66=1,IF(AL66="Win",1+IF(BQ66=1,0,INDEX(BU$5:BU65,MATCH(BQ66-1,BQ$5:BQ65,0))),0),"")</f>
        <v/>
      </c>
      <c r="BV66" s="66" t="str">
        <f aca="false">IF(BP66=1,IF(AL66="Loss",1+IF(BQ66=1,0,INDEX(BV$5:BV65,MATCH(BQ66-1,BQ$5:BQ65,0))),0),"")</f>
        <v/>
      </c>
    </row>
    <row r="67" customFormat="false" ht="15" hidden="false" customHeight="false" outlineLevel="0" collapsed="false">
      <c r="A67" s="66" t="str">
        <f aca="false">IF(B67="","",ROW()-5)</f>
        <v/>
      </c>
      <c r="B67" s="67"/>
      <c r="C67" s="68" t="str">
        <f aca="false">IF(B67="","",CHOOSE(WEEKDAY(B67,2),"Mon","Tue","Wed","Thu","Fri","Sat","Sun"))</f>
        <v/>
      </c>
      <c r="D67" s="66" t="str">
        <f aca="false">IF(B67="","",WEEKNUM(B67,2))</f>
        <v/>
      </c>
      <c r="E67" s="69"/>
      <c r="F67" s="69"/>
      <c r="G67" s="70"/>
      <c r="H67" s="70"/>
      <c r="I67" s="69"/>
      <c r="J67" s="69"/>
      <c r="K67" s="69"/>
      <c r="L67" s="71"/>
      <c r="M67" s="69"/>
      <c r="N67" s="69"/>
      <c r="O67" s="69"/>
      <c r="P67" s="71"/>
      <c r="Q67" s="69"/>
      <c r="R67" s="69"/>
      <c r="S67" s="69"/>
      <c r="T67" s="69"/>
      <c r="U67" s="69"/>
      <c r="V67" s="69"/>
      <c r="W67" s="69"/>
      <c r="X67" s="66" t="str">
        <f aca="false">IF(B67="","",COUNTIF(Q67:W67,"Yes"))</f>
        <v/>
      </c>
      <c r="Y67" s="68" t="str">
        <f aca="false">IF(B67="","",IF(X67&gt;=Settings!$C$16,"A+",IF(X67&gt;=Settings!$C$17,"A",IF(X67&gt;=Settings!$C$18,"B","C"))))</f>
        <v/>
      </c>
      <c r="Z67" s="72"/>
      <c r="AA67" s="72"/>
      <c r="AB67" s="72"/>
      <c r="AC67" s="72"/>
      <c r="AD67" s="72"/>
      <c r="AE67" s="72"/>
      <c r="AF67" s="73"/>
      <c r="AG67" s="74"/>
      <c r="AH67" s="75"/>
      <c r="AI67" s="76" t="str">
        <f aca="false">IF(B67="","",ROUND(IF(AG67="",Settings!$C$5,AG67)*AW67,2))</f>
        <v/>
      </c>
      <c r="AJ67" s="77" t="str">
        <f aca="false">IF(OR(B67="",AB67="",AC67="",AD67=""),"",IFERROR(ROUND(ABS(AD67-AB67)/ABS(AB67-AC67),2),""))</f>
        <v/>
      </c>
      <c r="AK67" s="78" t="str">
        <f aca="false">IF(OR(B67="",AB67="",AC67="",AE67=""),"",IFERROR(ROUND(IF(J67="Short",AB67-AE67,AE67-AB67)/ABS(AB67-AC67),2),""))</f>
        <v/>
      </c>
      <c r="AL67" s="68" t="str">
        <f aca="false">IF(AK67="","",IF(ABS(AK67)&lt;=Settings!$C$6,"BE",IF(AK67&gt;0,"Win","Loss")))</f>
        <v/>
      </c>
      <c r="AM67" s="79" t="str">
        <f aca="false">IF(OR(AK67="",AI67=""),"",ROUND(AK67*AI67-N(AH67),2))</f>
        <v/>
      </c>
      <c r="AN67" s="76" t="str">
        <f aca="false">IF(AM67="","",ROUND(BK67+SUMIFS(AM$6:AM67,BJ$6:BJ67,BJ67),2))</f>
        <v/>
      </c>
      <c r="AO67" s="78" t="str">
        <f aca="false">IF(AK67="","",ROUND(SUMIFS(AK$6:AK67,BJ$6:BJ67,BJ67),2))</f>
        <v/>
      </c>
      <c r="AP67" s="80" t="str">
        <f aca="false">IF(OR(AK67="",BL67=""),"",IFERROR(ROUND(IF(J67="Short",AB67-AE67,AE67-AB67)/BL67,1),""))</f>
        <v/>
      </c>
      <c r="AQ67" s="66" t="str">
        <f aca="false">IF(OR(G67="",H67=""),"",ROUND(MOD(H67-G67,1)*1440,0))</f>
        <v/>
      </c>
      <c r="AR67" s="68" t="str">
        <f aca="false">IF(AQ67="","",IF(AQ67&lt;15,"Under 15m",IF(AQ67&lt;60,"15-60m",IF(AQ67&lt;240,"1-4 hours","4+ hours"))))</f>
        <v/>
      </c>
      <c r="AS67" s="66" t="str">
        <f aca="false">IF(G67="","",HOUR(G67))</f>
        <v/>
      </c>
      <c r="AT67" s="80" t="str">
        <f aca="false">IF(OR(Z67="",AB67="",BL67=""),"",IFERROR(ROUND(IF(J67="Short",Z67-AB67,AB67-Z67)/BL67,1),""))</f>
        <v/>
      </c>
      <c r="AU67" s="68" t="str">
        <f aca="false">IF(OR(AA67="",AC67=""),"",IF(AA67=AC67,"No","Yes"))</f>
        <v/>
      </c>
      <c r="AV67" s="81" t="str">
        <f aca="false">IF(OR(B67="",BL67="",BM67="",AB67="",AC67=""),"",IFERROR(ROUND(AI67/(ABS(AB67-AC67)/BL67*BM67),2),""))</f>
        <v/>
      </c>
      <c r="AW67" s="76" t="str">
        <f aca="false">IF(B67="","",ROUND(BK67+SUMIFS(AM$5:AM66,BJ$5:BJ66,BJ67),2))</f>
        <v/>
      </c>
      <c r="AX67" s="66" t="str">
        <f aca="false">IF(B67="","",COUNTIFS(B$6:B67,B67,BJ$6:BJ67,BJ67))</f>
        <v/>
      </c>
      <c r="AY67" s="79" t="str">
        <f aca="false">IF(B67="","",ROUND(SUMIFS(AM$5:AM66,B$5:B66,B67,BJ$5:BJ66,BJ67),2))</f>
        <v/>
      </c>
      <c r="AZ67" s="79" t="str">
        <f aca="false">IF(AM67="","",ROUND(AY67+AM67,2))</f>
        <v/>
      </c>
      <c r="BA67" s="79" t="str">
        <f aca="false">IF(B67="","",ROUND(SUMIFS(AM$5:AM66,B$5:B66,"&gt;="&amp;(B67-WEEKDAY(B67,2)+1),B$5:B66,"&lt;="&amp;B67,BJ$5:BJ66,BJ67),2))</f>
        <v/>
      </c>
      <c r="BB67" s="68" t="str">
        <f aca="false">IF(B67="","",IF(AND(AF67&lt;&gt;"",AV67&lt;&gt;"",N(AF67)&gt;N(AV67)*(1+Settings!$C$13)),"Oversized",IF(AX67&gt;Settings!$C$10,"Overtraded",IF(AY67&lt;=-Settings!$C$11*(AW67-AY67),"Daily loss hit",IF(BA67&lt;=-Settings!$C$12*(AW67-BA67),"Weekly loss hit","OK")))))</f>
        <v/>
      </c>
      <c r="BC67" s="69"/>
      <c r="BD67" s="69"/>
      <c r="BE67" s="69"/>
      <c r="BF67" s="73"/>
      <c r="BG67" s="73"/>
      <c r="BH67" s="71"/>
      <c r="BI67" s="71"/>
      <c r="BJ67" s="68" t="str">
        <f aca="false">IF(B67="","",IF(E67="",Settings!$F$5,E67))</f>
        <v/>
      </c>
      <c r="BK67" s="76" t="str">
        <f aca="false">IF(B67="","",IFERROR(INDEX(Settings!$G$5:$G$10,MATCH(BJ67,Settings!$F$5:$F$10,0)),Settings!$G$5))</f>
        <v/>
      </c>
      <c r="BL67" s="82" t="str">
        <f aca="false">IF(I67="","",IFERROR(1/(1/INDEX(Lists!$C$6:$C$17,MATCH(I67,Lists!$B$6:$B$17,0))),""))</f>
        <v/>
      </c>
      <c r="BM67" s="81" t="str">
        <f aca="false">IF(I67="","",IFERROR(1/(1/INDEX(Lists!$D$6:$D$17,MATCH(I67,Lists!$B$6:$B$17,0))),""))</f>
        <v/>
      </c>
      <c r="BN67" s="76" t="str">
        <f aca="false">IF(AN67="","",MAX(BK67,_xlfn.MAXIFS(AN$6:AN67,BJ$6:BJ67,BJ67)))</f>
        <v/>
      </c>
      <c r="BO67" s="83" t="str">
        <f aca="false">IF(AN67="","",(AN67-BN67)/BN67)</f>
        <v/>
      </c>
      <c r="BP67" s="66" t="n">
        <f aca="false">IF(OR(B67="",AL67=""),0,IF(OR(Settings!$C$28="All Accounts",BJ67=Settings!$C$28),1,0))</f>
        <v>0</v>
      </c>
      <c r="BQ67" s="66" t="str">
        <f aca="false">IF(BP67=1,SUM(BP$6:BP67),"")</f>
        <v/>
      </c>
      <c r="BR67" s="76" t="str">
        <f aca="false">IF(BP67=1,ROUND(Settings!$C$29+SUMIFS(AM$6:AM67,BP$6:BP67,1),2),"")</f>
        <v/>
      </c>
      <c r="BS67" s="76" t="str">
        <f aca="false">IF(BP67=1,MAX(Settings!$C$29,MAX(BR$6:BR67)),"")</f>
        <v/>
      </c>
      <c r="BT67" s="83" t="str">
        <f aca="false">IF(BP67=1,(BR67-BS67)/BS67,"")</f>
        <v/>
      </c>
      <c r="BU67" s="66" t="str">
        <f aca="false">IF(BP67=1,IF(AL67="Win",1+IF(BQ67=1,0,INDEX(BU$5:BU66,MATCH(BQ67-1,BQ$5:BQ66,0))),0),"")</f>
        <v/>
      </c>
      <c r="BV67" s="66" t="str">
        <f aca="false">IF(BP67=1,IF(AL67="Loss",1+IF(BQ67=1,0,INDEX(BV$5:BV66,MATCH(BQ67-1,BQ$5:BQ66,0))),0),"")</f>
        <v/>
      </c>
    </row>
    <row r="68" customFormat="false" ht="15" hidden="false" customHeight="false" outlineLevel="0" collapsed="false">
      <c r="A68" s="66" t="str">
        <f aca="false">IF(B68="","",ROW()-5)</f>
        <v/>
      </c>
      <c r="B68" s="67"/>
      <c r="C68" s="68" t="str">
        <f aca="false">IF(B68="","",CHOOSE(WEEKDAY(B68,2),"Mon","Tue","Wed","Thu","Fri","Sat","Sun"))</f>
        <v/>
      </c>
      <c r="D68" s="66" t="str">
        <f aca="false">IF(B68="","",WEEKNUM(B68,2))</f>
        <v/>
      </c>
      <c r="E68" s="69"/>
      <c r="F68" s="69"/>
      <c r="G68" s="70"/>
      <c r="H68" s="70"/>
      <c r="I68" s="69"/>
      <c r="J68" s="69"/>
      <c r="K68" s="69"/>
      <c r="L68" s="71"/>
      <c r="M68" s="69"/>
      <c r="N68" s="69"/>
      <c r="O68" s="69"/>
      <c r="P68" s="71"/>
      <c r="Q68" s="69"/>
      <c r="R68" s="69"/>
      <c r="S68" s="69"/>
      <c r="T68" s="69"/>
      <c r="U68" s="69"/>
      <c r="V68" s="69"/>
      <c r="W68" s="69"/>
      <c r="X68" s="66" t="str">
        <f aca="false">IF(B68="","",COUNTIF(Q68:W68,"Yes"))</f>
        <v/>
      </c>
      <c r="Y68" s="68" t="str">
        <f aca="false">IF(B68="","",IF(X68&gt;=Settings!$C$16,"A+",IF(X68&gt;=Settings!$C$17,"A",IF(X68&gt;=Settings!$C$18,"B","C"))))</f>
        <v/>
      </c>
      <c r="Z68" s="72"/>
      <c r="AA68" s="72"/>
      <c r="AB68" s="72"/>
      <c r="AC68" s="72"/>
      <c r="AD68" s="72"/>
      <c r="AE68" s="72"/>
      <c r="AF68" s="73"/>
      <c r="AG68" s="74"/>
      <c r="AH68" s="75"/>
      <c r="AI68" s="76" t="str">
        <f aca="false">IF(B68="","",ROUND(IF(AG68="",Settings!$C$5,AG68)*AW68,2))</f>
        <v/>
      </c>
      <c r="AJ68" s="77" t="str">
        <f aca="false">IF(OR(B68="",AB68="",AC68="",AD68=""),"",IFERROR(ROUND(ABS(AD68-AB68)/ABS(AB68-AC68),2),""))</f>
        <v/>
      </c>
      <c r="AK68" s="78" t="str">
        <f aca="false">IF(OR(B68="",AB68="",AC68="",AE68=""),"",IFERROR(ROUND(IF(J68="Short",AB68-AE68,AE68-AB68)/ABS(AB68-AC68),2),""))</f>
        <v/>
      </c>
      <c r="AL68" s="68" t="str">
        <f aca="false">IF(AK68="","",IF(ABS(AK68)&lt;=Settings!$C$6,"BE",IF(AK68&gt;0,"Win","Loss")))</f>
        <v/>
      </c>
      <c r="AM68" s="79" t="str">
        <f aca="false">IF(OR(AK68="",AI68=""),"",ROUND(AK68*AI68-N(AH68),2))</f>
        <v/>
      </c>
      <c r="AN68" s="76" t="str">
        <f aca="false">IF(AM68="","",ROUND(BK68+SUMIFS(AM$6:AM68,BJ$6:BJ68,BJ68),2))</f>
        <v/>
      </c>
      <c r="AO68" s="78" t="str">
        <f aca="false">IF(AK68="","",ROUND(SUMIFS(AK$6:AK68,BJ$6:BJ68,BJ68),2))</f>
        <v/>
      </c>
      <c r="AP68" s="80" t="str">
        <f aca="false">IF(OR(AK68="",BL68=""),"",IFERROR(ROUND(IF(J68="Short",AB68-AE68,AE68-AB68)/BL68,1),""))</f>
        <v/>
      </c>
      <c r="AQ68" s="66" t="str">
        <f aca="false">IF(OR(G68="",H68=""),"",ROUND(MOD(H68-G68,1)*1440,0))</f>
        <v/>
      </c>
      <c r="AR68" s="68" t="str">
        <f aca="false">IF(AQ68="","",IF(AQ68&lt;15,"Under 15m",IF(AQ68&lt;60,"15-60m",IF(AQ68&lt;240,"1-4 hours","4+ hours"))))</f>
        <v/>
      </c>
      <c r="AS68" s="66" t="str">
        <f aca="false">IF(G68="","",HOUR(G68))</f>
        <v/>
      </c>
      <c r="AT68" s="80" t="str">
        <f aca="false">IF(OR(Z68="",AB68="",BL68=""),"",IFERROR(ROUND(IF(J68="Short",Z68-AB68,AB68-Z68)/BL68,1),""))</f>
        <v/>
      </c>
      <c r="AU68" s="68" t="str">
        <f aca="false">IF(OR(AA68="",AC68=""),"",IF(AA68=AC68,"No","Yes"))</f>
        <v/>
      </c>
      <c r="AV68" s="81" t="str">
        <f aca="false">IF(OR(B68="",BL68="",BM68="",AB68="",AC68=""),"",IFERROR(ROUND(AI68/(ABS(AB68-AC68)/BL68*BM68),2),""))</f>
        <v/>
      </c>
      <c r="AW68" s="76" t="str">
        <f aca="false">IF(B68="","",ROUND(BK68+SUMIFS(AM$5:AM67,BJ$5:BJ67,BJ68),2))</f>
        <v/>
      </c>
      <c r="AX68" s="66" t="str">
        <f aca="false">IF(B68="","",COUNTIFS(B$6:B68,B68,BJ$6:BJ68,BJ68))</f>
        <v/>
      </c>
      <c r="AY68" s="79" t="str">
        <f aca="false">IF(B68="","",ROUND(SUMIFS(AM$5:AM67,B$5:B67,B68,BJ$5:BJ67,BJ68),2))</f>
        <v/>
      </c>
      <c r="AZ68" s="79" t="str">
        <f aca="false">IF(AM68="","",ROUND(AY68+AM68,2))</f>
        <v/>
      </c>
      <c r="BA68" s="79" t="str">
        <f aca="false">IF(B68="","",ROUND(SUMIFS(AM$5:AM67,B$5:B67,"&gt;="&amp;(B68-WEEKDAY(B68,2)+1),B$5:B67,"&lt;="&amp;B68,BJ$5:BJ67,BJ68),2))</f>
        <v/>
      </c>
      <c r="BB68" s="68" t="str">
        <f aca="false">IF(B68="","",IF(AND(AF68&lt;&gt;"",AV68&lt;&gt;"",N(AF68)&gt;N(AV68)*(1+Settings!$C$13)),"Oversized",IF(AX68&gt;Settings!$C$10,"Overtraded",IF(AY68&lt;=-Settings!$C$11*(AW68-AY68),"Daily loss hit",IF(BA68&lt;=-Settings!$C$12*(AW68-BA68),"Weekly loss hit","OK")))))</f>
        <v/>
      </c>
      <c r="BC68" s="69"/>
      <c r="BD68" s="69"/>
      <c r="BE68" s="69"/>
      <c r="BF68" s="73"/>
      <c r="BG68" s="73"/>
      <c r="BH68" s="71"/>
      <c r="BI68" s="71"/>
      <c r="BJ68" s="68" t="str">
        <f aca="false">IF(B68="","",IF(E68="",Settings!$F$5,E68))</f>
        <v/>
      </c>
      <c r="BK68" s="76" t="str">
        <f aca="false">IF(B68="","",IFERROR(INDEX(Settings!$G$5:$G$10,MATCH(BJ68,Settings!$F$5:$F$10,0)),Settings!$G$5))</f>
        <v/>
      </c>
      <c r="BL68" s="82" t="str">
        <f aca="false">IF(I68="","",IFERROR(1/(1/INDEX(Lists!$C$6:$C$17,MATCH(I68,Lists!$B$6:$B$17,0))),""))</f>
        <v/>
      </c>
      <c r="BM68" s="81" t="str">
        <f aca="false">IF(I68="","",IFERROR(1/(1/INDEX(Lists!$D$6:$D$17,MATCH(I68,Lists!$B$6:$B$17,0))),""))</f>
        <v/>
      </c>
      <c r="BN68" s="76" t="str">
        <f aca="false">IF(AN68="","",MAX(BK68,_xlfn.MAXIFS(AN$6:AN68,BJ$6:BJ68,BJ68)))</f>
        <v/>
      </c>
      <c r="BO68" s="83" t="str">
        <f aca="false">IF(AN68="","",(AN68-BN68)/BN68)</f>
        <v/>
      </c>
      <c r="BP68" s="66" t="n">
        <f aca="false">IF(OR(B68="",AL68=""),0,IF(OR(Settings!$C$28="All Accounts",BJ68=Settings!$C$28),1,0))</f>
        <v>0</v>
      </c>
      <c r="BQ68" s="66" t="str">
        <f aca="false">IF(BP68=1,SUM(BP$6:BP68),"")</f>
        <v/>
      </c>
      <c r="BR68" s="76" t="str">
        <f aca="false">IF(BP68=1,ROUND(Settings!$C$29+SUMIFS(AM$6:AM68,BP$6:BP68,1),2),"")</f>
        <v/>
      </c>
      <c r="BS68" s="76" t="str">
        <f aca="false">IF(BP68=1,MAX(Settings!$C$29,MAX(BR$6:BR68)),"")</f>
        <v/>
      </c>
      <c r="BT68" s="83" t="str">
        <f aca="false">IF(BP68=1,(BR68-BS68)/BS68,"")</f>
        <v/>
      </c>
      <c r="BU68" s="66" t="str">
        <f aca="false">IF(BP68=1,IF(AL68="Win",1+IF(BQ68=1,0,INDEX(BU$5:BU67,MATCH(BQ68-1,BQ$5:BQ67,0))),0),"")</f>
        <v/>
      </c>
      <c r="BV68" s="66" t="str">
        <f aca="false">IF(BP68=1,IF(AL68="Loss",1+IF(BQ68=1,0,INDEX(BV$5:BV67,MATCH(BQ68-1,BQ$5:BQ67,0))),0),"")</f>
        <v/>
      </c>
    </row>
    <row r="69" customFormat="false" ht="15" hidden="false" customHeight="false" outlineLevel="0" collapsed="false">
      <c r="A69" s="66" t="str">
        <f aca="false">IF(B69="","",ROW()-5)</f>
        <v/>
      </c>
      <c r="B69" s="67"/>
      <c r="C69" s="68" t="str">
        <f aca="false">IF(B69="","",CHOOSE(WEEKDAY(B69,2),"Mon","Tue","Wed","Thu","Fri","Sat","Sun"))</f>
        <v/>
      </c>
      <c r="D69" s="66" t="str">
        <f aca="false">IF(B69="","",WEEKNUM(B69,2))</f>
        <v/>
      </c>
      <c r="E69" s="69"/>
      <c r="F69" s="69"/>
      <c r="G69" s="70"/>
      <c r="H69" s="70"/>
      <c r="I69" s="69"/>
      <c r="J69" s="69"/>
      <c r="K69" s="69"/>
      <c r="L69" s="71"/>
      <c r="M69" s="69"/>
      <c r="N69" s="69"/>
      <c r="O69" s="69"/>
      <c r="P69" s="71"/>
      <c r="Q69" s="69"/>
      <c r="R69" s="69"/>
      <c r="S69" s="69"/>
      <c r="T69" s="69"/>
      <c r="U69" s="69"/>
      <c r="V69" s="69"/>
      <c r="W69" s="69"/>
      <c r="X69" s="66" t="str">
        <f aca="false">IF(B69="","",COUNTIF(Q69:W69,"Yes"))</f>
        <v/>
      </c>
      <c r="Y69" s="68" t="str">
        <f aca="false">IF(B69="","",IF(X69&gt;=Settings!$C$16,"A+",IF(X69&gt;=Settings!$C$17,"A",IF(X69&gt;=Settings!$C$18,"B","C"))))</f>
        <v/>
      </c>
      <c r="Z69" s="72"/>
      <c r="AA69" s="72"/>
      <c r="AB69" s="72"/>
      <c r="AC69" s="72"/>
      <c r="AD69" s="72"/>
      <c r="AE69" s="72"/>
      <c r="AF69" s="73"/>
      <c r="AG69" s="74"/>
      <c r="AH69" s="75"/>
      <c r="AI69" s="76" t="str">
        <f aca="false">IF(B69="","",ROUND(IF(AG69="",Settings!$C$5,AG69)*AW69,2))</f>
        <v/>
      </c>
      <c r="AJ69" s="77" t="str">
        <f aca="false">IF(OR(B69="",AB69="",AC69="",AD69=""),"",IFERROR(ROUND(ABS(AD69-AB69)/ABS(AB69-AC69),2),""))</f>
        <v/>
      </c>
      <c r="AK69" s="78" t="str">
        <f aca="false">IF(OR(B69="",AB69="",AC69="",AE69=""),"",IFERROR(ROUND(IF(J69="Short",AB69-AE69,AE69-AB69)/ABS(AB69-AC69),2),""))</f>
        <v/>
      </c>
      <c r="AL69" s="68" t="str">
        <f aca="false">IF(AK69="","",IF(ABS(AK69)&lt;=Settings!$C$6,"BE",IF(AK69&gt;0,"Win","Loss")))</f>
        <v/>
      </c>
      <c r="AM69" s="79" t="str">
        <f aca="false">IF(OR(AK69="",AI69=""),"",ROUND(AK69*AI69-N(AH69),2))</f>
        <v/>
      </c>
      <c r="AN69" s="76" t="str">
        <f aca="false">IF(AM69="","",ROUND(BK69+SUMIFS(AM$6:AM69,BJ$6:BJ69,BJ69),2))</f>
        <v/>
      </c>
      <c r="AO69" s="78" t="str">
        <f aca="false">IF(AK69="","",ROUND(SUMIFS(AK$6:AK69,BJ$6:BJ69,BJ69),2))</f>
        <v/>
      </c>
      <c r="AP69" s="80" t="str">
        <f aca="false">IF(OR(AK69="",BL69=""),"",IFERROR(ROUND(IF(J69="Short",AB69-AE69,AE69-AB69)/BL69,1),""))</f>
        <v/>
      </c>
      <c r="AQ69" s="66" t="str">
        <f aca="false">IF(OR(G69="",H69=""),"",ROUND(MOD(H69-G69,1)*1440,0))</f>
        <v/>
      </c>
      <c r="AR69" s="68" t="str">
        <f aca="false">IF(AQ69="","",IF(AQ69&lt;15,"Under 15m",IF(AQ69&lt;60,"15-60m",IF(AQ69&lt;240,"1-4 hours","4+ hours"))))</f>
        <v/>
      </c>
      <c r="AS69" s="66" t="str">
        <f aca="false">IF(G69="","",HOUR(G69))</f>
        <v/>
      </c>
      <c r="AT69" s="80" t="str">
        <f aca="false">IF(OR(Z69="",AB69="",BL69=""),"",IFERROR(ROUND(IF(J69="Short",Z69-AB69,AB69-Z69)/BL69,1),""))</f>
        <v/>
      </c>
      <c r="AU69" s="68" t="str">
        <f aca="false">IF(OR(AA69="",AC69=""),"",IF(AA69=AC69,"No","Yes"))</f>
        <v/>
      </c>
      <c r="AV69" s="81" t="str">
        <f aca="false">IF(OR(B69="",BL69="",BM69="",AB69="",AC69=""),"",IFERROR(ROUND(AI69/(ABS(AB69-AC69)/BL69*BM69),2),""))</f>
        <v/>
      </c>
      <c r="AW69" s="76" t="str">
        <f aca="false">IF(B69="","",ROUND(BK69+SUMIFS(AM$5:AM68,BJ$5:BJ68,BJ69),2))</f>
        <v/>
      </c>
      <c r="AX69" s="66" t="str">
        <f aca="false">IF(B69="","",COUNTIFS(B$6:B69,B69,BJ$6:BJ69,BJ69))</f>
        <v/>
      </c>
      <c r="AY69" s="79" t="str">
        <f aca="false">IF(B69="","",ROUND(SUMIFS(AM$5:AM68,B$5:B68,B69,BJ$5:BJ68,BJ69),2))</f>
        <v/>
      </c>
      <c r="AZ69" s="79" t="str">
        <f aca="false">IF(AM69="","",ROUND(AY69+AM69,2))</f>
        <v/>
      </c>
      <c r="BA69" s="79" t="str">
        <f aca="false">IF(B69="","",ROUND(SUMIFS(AM$5:AM68,B$5:B68,"&gt;="&amp;(B69-WEEKDAY(B69,2)+1),B$5:B68,"&lt;="&amp;B69,BJ$5:BJ68,BJ69),2))</f>
        <v/>
      </c>
      <c r="BB69" s="68" t="str">
        <f aca="false">IF(B69="","",IF(AND(AF69&lt;&gt;"",AV69&lt;&gt;"",N(AF69)&gt;N(AV69)*(1+Settings!$C$13)),"Oversized",IF(AX69&gt;Settings!$C$10,"Overtraded",IF(AY69&lt;=-Settings!$C$11*(AW69-AY69),"Daily loss hit",IF(BA69&lt;=-Settings!$C$12*(AW69-BA69),"Weekly loss hit","OK")))))</f>
        <v/>
      </c>
      <c r="BC69" s="69"/>
      <c r="BD69" s="69"/>
      <c r="BE69" s="69"/>
      <c r="BF69" s="73"/>
      <c r="BG69" s="73"/>
      <c r="BH69" s="71"/>
      <c r="BI69" s="71"/>
      <c r="BJ69" s="68" t="str">
        <f aca="false">IF(B69="","",IF(E69="",Settings!$F$5,E69))</f>
        <v/>
      </c>
      <c r="BK69" s="76" t="str">
        <f aca="false">IF(B69="","",IFERROR(INDEX(Settings!$G$5:$G$10,MATCH(BJ69,Settings!$F$5:$F$10,0)),Settings!$G$5))</f>
        <v/>
      </c>
      <c r="BL69" s="82" t="str">
        <f aca="false">IF(I69="","",IFERROR(1/(1/INDEX(Lists!$C$6:$C$17,MATCH(I69,Lists!$B$6:$B$17,0))),""))</f>
        <v/>
      </c>
      <c r="BM69" s="81" t="str">
        <f aca="false">IF(I69="","",IFERROR(1/(1/INDEX(Lists!$D$6:$D$17,MATCH(I69,Lists!$B$6:$B$17,0))),""))</f>
        <v/>
      </c>
      <c r="BN69" s="76" t="str">
        <f aca="false">IF(AN69="","",MAX(BK69,_xlfn.MAXIFS(AN$6:AN69,BJ$6:BJ69,BJ69)))</f>
        <v/>
      </c>
      <c r="BO69" s="83" t="str">
        <f aca="false">IF(AN69="","",(AN69-BN69)/BN69)</f>
        <v/>
      </c>
      <c r="BP69" s="66" t="n">
        <f aca="false">IF(OR(B69="",AL69=""),0,IF(OR(Settings!$C$28="All Accounts",BJ69=Settings!$C$28),1,0))</f>
        <v>0</v>
      </c>
      <c r="BQ69" s="66" t="str">
        <f aca="false">IF(BP69=1,SUM(BP$6:BP69),"")</f>
        <v/>
      </c>
      <c r="BR69" s="76" t="str">
        <f aca="false">IF(BP69=1,ROUND(Settings!$C$29+SUMIFS(AM$6:AM69,BP$6:BP69,1),2),"")</f>
        <v/>
      </c>
      <c r="BS69" s="76" t="str">
        <f aca="false">IF(BP69=1,MAX(Settings!$C$29,MAX(BR$6:BR69)),"")</f>
        <v/>
      </c>
      <c r="BT69" s="83" t="str">
        <f aca="false">IF(BP69=1,(BR69-BS69)/BS69,"")</f>
        <v/>
      </c>
      <c r="BU69" s="66" t="str">
        <f aca="false">IF(BP69=1,IF(AL69="Win",1+IF(BQ69=1,0,INDEX(BU$5:BU68,MATCH(BQ69-1,BQ$5:BQ68,0))),0),"")</f>
        <v/>
      </c>
      <c r="BV69" s="66" t="str">
        <f aca="false">IF(BP69=1,IF(AL69="Loss",1+IF(BQ69=1,0,INDEX(BV$5:BV68,MATCH(BQ69-1,BQ$5:BQ68,0))),0),"")</f>
        <v/>
      </c>
    </row>
    <row r="70" customFormat="false" ht="15" hidden="false" customHeight="false" outlineLevel="0" collapsed="false">
      <c r="A70" s="66" t="str">
        <f aca="false">IF(B70="","",ROW()-5)</f>
        <v/>
      </c>
      <c r="B70" s="67"/>
      <c r="C70" s="68" t="str">
        <f aca="false">IF(B70="","",CHOOSE(WEEKDAY(B70,2),"Mon","Tue","Wed","Thu","Fri","Sat","Sun"))</f>
        <v/>
      </c>
      <c r="D70" s="66" t="str">
        <f aca="false">IF(B70="","",WEEKNUM(B70,2))</f>
        <v/>
      </c>
      <c r="E70" s="69"/>
      <c r="F70" s="69"/>
      <c r="G70" s="70"/>
      <c r="H70" s="70"/>
      <c r="I70" s="69"/>
      <c r="J70" s="69"/>
      <c r="K70" s="69"/>
      <c r="L70" s="71"/>
      <c r="M70" s="69"/>
      <c r="N70" s="69"/>
      <c r="O70" s="69"/>
      <c r="P70" s="71"/>
      <c r="Q70" s="69"/>
      <c r="R70" s="69"/>
      <c r="S70" s="69"/>
      <c r="T70" s="69"/>
      <c r="U70" s="69"/>
      <c r="V70" s="69"/>
      <c r="W70" s="69"/>
      <c r="X70" s="66" t="str">
        <f aca="false">IF(B70="","",COUNTIF(Q70:W70,"Yes"))</f>
        <v/>
      </c>
      <c r="Y70" s="68" t="str">
        <f aca="false">IF(B70="","",IF(X70&gt;=Settings!$C$16,"A+",IF(X70&gt;=Settings!$C$17,"A",IF(X70&gt;=Settings!$C$18,"B","C"))))</f>
        <v/>
      </c>
      <c r="Z70" s="72"/>
      <c r="AA70" s="72"/>
      <c r="AB70" s="72"/>
      <c r="AC70" s="72"/>
      <c r="AD70" s="72"/>
      <c r="AE70" s="72"/>
      <c r="AF70" s="73"/>
      <c r="AG70" s="74"/>
      <c r="AH70" s="75"/>
      <c r="AI70" s="76" t="str">
        <f aca="false">IF(B70="","",ROUND(IF(AG70="",Settings!$C$5,AG70)*AW70,2))</f>
        <v/>
      </c>
      <c r="AJ70" s="77" t="str">
        <f aca="false">IF(OR(B70="",AB70="",AC70="",AD70=""),"",IFERROR(ROUND(ABS(AD70-AB70)/ABS(AB70-AC70),2),""))</f>
        <v/>
      </c>
      <c r="AK70" s="78" t="str">
        <f aca="false">IF(OR(B70="",AB70="",AC70="",AE70=""),"",IFERROR(ROUND(IF(J70="Short",AB70-AE70,AE70-AB70)/ABS(AB70-AC70),2),""))</f>
        <v/>
      </c>
      <c r="AL70" s="68" t="str">
        <f aca="false">IF(AK70="","",IF(ABS(AK70)&lt;=Settings!$C$6,"BE",IF(AK70&gt;0,"Win","Loss")))</f>
        <v/>
      </c>
      <c r="AM70" s="79" t="str">
        <f aca="false">IF(OR(AK70="",AI70=""),"",ROUND(AK70*AI70-N(AH70),2))</f>
        <v/>
      </c>
      <c r="AN70" s="76" t="str">
        <f aca="false">IF(AM70="","",ROUND(BK70+SUMIFS(AM$6:AM70,BJ$6:BJ70,BJ70),2))</f>
        <v/>
      </c>
      <c r="AO70" s="78" t="str">
        <f aca="false">IF(AK70="","",ROUND(SUMIFS(AK$6:AK70,BJ$6:BJ70,BJ70),2))</f>
        <v/>
      </c>
      <c r="AP70" s="80" t="str">
        <f aca="false">IF(OR(AK70="",BL70=""),"",IFERROR(ROUND(IF(J70="Short",AB70-AE70,AE70-AB70)/BL70,1),""))</f>
        <v/>
      </c>
      <c r="AQ70" s="66" t="str">
        <f aca="false">IF(OR(G70="",H70=""),"",ROUND(MOD(H70-G70,1)*1440,0))</f>
        <v/>
      </c>
      <c r="AR70" s="68" t="str">
        <f aca="false">IF(AQ70="","",IF(AQ70&lt;15,"Under 15m",IF(AQ70&lt;60,"15-60m",IF(AQ70&lt;240,"1-4 hours","4+ hours"))))</f>
        <v/>
      </c>
      <c r="AS70" s="66" t="str">
        <f aca="false">IF(G70="","",HOUR(G70))</f>
        <v/>
      </c>
      <c r="AT70" s="80" t="str">
        <f aca="false">IF(OR(Z70="",AB70="",BL70=""),"",IFERROR(ROUND(IF(J70="Short",Z70-AB70,AB70-Z70)/BL70,1),""))</f>
        <v/>
      </c>
      <c r="AU70" s="68" t="str">
        <f aca="false">IF(OR(AA70="",AC70=""),"",IF(AA70=AC70,"No","Yes"))</f>
        <v/>
      </c>
      <c r="AV70" s="81" t="str">
        <f aca="false">IF(OR(B70="",BL70="",BM70="",AB70="",AC70=""),"",IFERROR(ROUND(AI70/(ABS(AB70-AC70)/BL70*BM70),2),""))</f>
        <v/>
      </c>
      <c r="AW70" s="76" t="str">
        <f aca="false">IF(B70="","",ROUND(BK70+SUMIFS(AM$5:AM69,BJ$5:BJ69,BJ70),2))</f>
        <v/>
      </c>
      <c r="AX70" s="66" t="str">
        <f aca="false">IF(B70="","",COUNTIFS(B$6:B70,B70,BJ$6:BJ70,BJ70))</f>
        <v/>
      </c>
      <c r="AY70" s="79" t="str">
        <f aca="false">IF(B70="","",ROUND(SUMIFS(AM$5:AM69,B$5:B69,B70,BJ$5:BJ69,BJ70),2))</f>
        <v/>
      </c>
      <c r="AZ70" s="79" t="str">
        <f aca="false">IF(AM70="","",ROUND(AY70+AM70,2))</f>
        <v/>
      </c>
      <c r="BA70" s="79" t="str">
        <f aca="false">IF(B70="","",ROUND(SUMIFS(AM$5:AM69,B$5:B69,"&gt;="&amp;(B70-WEEKDAY(B70,2)+1),B$5:B69,"&lt;="&amp;B70,BJ$5:BJ69,BJ70),2))</f>
        <v/>
      </c>
      <c r="BB70" s="68" t="str">
        <f aca="false">IF(B70="","",IF(AND(AF70&lt;&gt;"",AV70&lt;&gt;"",N(AF70)&gt;N(AV70)*(1+Settings!$C$13)),"Oversized",IF(AX70&gt;Settings!$C$10,"Overtraded",IF(AY70&lt;=-Settings!$C$11*(AW70-AY70),"Daily loss hit",IF(BA70&lt;=-Settings!$C$12*(AW70-BA70),"Weekly loss hit","OK")))))</f>
        <v/>
      </c>
      <c r="BC70" s="69"/>
      <c r="BD70" s="69"/>
      <c r="BE70" s="69"/>
      <c r="BF70" s="73"/>
      <c r="BG70" s="73"/>
      <c r="BH70" s="71"/>
      <c r="BI70" s="71"/>
      <c r="BJ70" s="68" t="str">
        <f aca="false">IF(B70="","",IF(E70="",Settings!$F$5,E70))</f>
        <v/>
      </c>
      <c r="BK70" s="76" t="str">
        <f aca="false">IF(B70="","",IFERROR(INDEX(Settings!$G$5:$G$10,MATCH(BJ70,Settings!$F$5:$F$10,0)),Settings!$G$5))</f>
        <v/>
      </c>
      <c r="BL70" s="82" t="str">
        <f aca="false">IF(I70="","",IFERROR(1/(1/INDEX(Lists!$C$6:$C$17,MATCH(I70,Lists!$B$6:$B$17,0))),""))</f>
        <v/>
      </c>
      <c r="BM70" s="81" t="str">
        <f aca="false">IF(I70="","",IFERROR(1/(1/INDEX(Lists!$D$6:$D$17,MATCH(I70,Lists!$B$6:$B$17,0))),""))</f>
        <v/>
      </c>
      <c r="BN70" s="76" t="str">
        <f aca="false">IF(AN70="","",MAX(BK70,_xlfn.MAXIFS(AN$6:AN70,BJ$6:BJ70,BJ70)))</f>
        <v/>
      </c>
      <c r="BO70" s="83" t="str">
        <f aca="false">IF(AN70="","",(AN70-BN70)/BN70)</f>
        <v/>
      </c>
      <c r="BP70" s="66" t="n">
        <f aca="false">IF(OR(B70="",AL70=""),0,IF(OR(Settings!$C$28="All Accounts",BJ70=Settings!$C$28),1,0))</f>
        <v>0</v>
      </c>
      <c r="BQ70" s="66" t="str">
        <f aca="false">IF(BP70=1,SUM(BP$6:BP70),"")</f>
        <v/>
      </c>
      <c r="BR70" s="76" t="str">
        <f aca="false">IF(BP70=1,ROUND(Settings!$C$29+SUMIFS(AM$6:AM70,BP$6:BP70,1),2),"")</f>
        <v/>
      </c>
      <c r="BS70" s="76" t="str">
        <f aca="false">IF(BP70=1,MAX(Settings!$C$29,MAX(BR$6:BR70)),"")</f>
        <v/>
      </c>
      <c r="BT70" s="83" t="str">
        <f aca="false">IF(BP70=1,(BR70-BS70)/BS70,"")</f>
        <v/>
      </c>
      <c r="BU70" s="66" t="str">
        <f aca="false">IF(BP70=1,IF(AL70="Win",1+IF(BQ70=1,0,INDEX(BU$5:BU69,MATCH(BQ70-1,BQ$5:BQ69,0))),0),"")</f>
        <v/>
      </c>
      <c r="BV70" s="66" t="str">
        <f aca="false">IF(BP70=1,IF(AL70="Loss",1+IF(BQ70=1,0,INDEX(BV$5:BV69,MATCH(BQ70-1,BQ$5:BQ69,0))),0),"")</f>
        <v/>
      </c>
    </row>
    <row r="71" customFormat="false" ht="15" hidden="false" customHeight="false" outlineLevel="0" collapsed="false">
      <c r="A71" s="66" t="str">
        <f aca="false">IF(B71="","",ROW()-5)</f>
        <v/>
      </c>
      <c r="B71" s="67"/>
      <c r="C71" s="68" t="str">
        <f aca="false">IF(B71="","",CHOOSE(WEEKDAY(B71,2),"Mon","Tue","Wed","Thu","Fri","Sat","Sun"))</f>
        <v/>
      </c>
      <c r="D71" s="66" t="str">
        <f aca="false">IF(B71="","",WEEKNUM(B71,2))</f>
        <v/>
      </c>
      <c r="E71" s="69"/>
      <c r="F71" s="69"/>
      <c r="G71" s="70"/>
      <c r="H71" s="70"/>
      <c r="I71" s="69"/>
      <c r="J71" s="69"/>
      <c r="K71" s="69"/>
      <c r="L71" s="71"/>
      <c r="M71" s="69"/>
      <c r="N71" s="69"/>
      <c r="O71" s="69"/>
      <c r="P71" s="71"/>
      <c r="Q71" s="69"/>
      <c r="R71" s="69"/>
      <c r="S71" s="69"/>
      <c r="T71" s="69"/>
      <c r="U71" s="69"/>
      <c r="V71" s="69"/>
      <c r="W71" s="69"/>
      <c r="X71" s="66" t="str">
        <f aca="false">IF(B71="","",COUNTIF(Q71:W71,"Yes"))</f>
        <v/>
      </c>
      <c r="Y71" s="68" t="str">
        <f aca="false">IF(B71="","",IF(X71&gt;=Settings!$C$16,"A+",IF(X71&gt;=Settings!$C$17,"A",IF(X71&gt;=Settings!$C$18,"B","C"))))</f>
        <v/>
      </c>
      <c r="Z71" s="72"/>
      <c r="AA71" s="72"/>
      <c r="AB71" s="72"/>
      <c r="AC71" s="72"/>
      <c r="AD71" s="72"/>
      <c r="AE71" s="72"/>
      <c r="AF71" s="73"/>
      <c r="AG71" s="74"/>
      <c r="AH71" s="75"/>
      <c r="AI71" s="76" t="str">
        <f aca="false">IF(B71="","",ROUND(IF(AG71="",Settings!$C$5,AG71)*AW71,2))</f>
        <v/>
      </c>
      <c r="AJ71" s="77" t="str">
        <f aca="false">IF(OR(B71="",AB71="",AC71="",AD71=""),"",IFERROR(ROUND(ABS(AD71-AB71)/ABS(AB71-AC71),2),""))</f>
        <v/>
      </c>
      <c r="AK71" s="78" t="str">
        <f aca="false">IF(OR(B71="",AB71="",AC71="",AE71=""),"",IFERROR(ROUND(IF(J71="Short",AB71-AE71,AE71-AB71)/ABS(AB71-AC71),2),""))</f>
        <v/>
      </c>
      <c r="AL71" s="68" t="str">
        <f aca="false">IF(AK71="","",IF(ABS(AK71)&lt;=Settings!$C$6,"BE",IF(AK71&gt;0,"Win","Loss")))</f>
        <v/>
      </c>
      <c r="AM71" s="79" t="str">
        <f aca="false">IF(OR(AK71="",AI71=""),"",ROUND(AK71*AI71-N(AH71),2))</f>
        <v/>
      </c>
      <c r="AN71" s="76" t="str">
        <f aca="false">IF(AM71="","",ROUND(BK71+SUMIFS(AM$6:AM71,BJ$6:BJ71,BJ71),2))</f>
        <v/>
      </c>
      <c r="AO71" s="78" t="str">
        <f aca="false">IF(AK71="","",ROUND(SUMIFS(AK$6:AK71,BJ$6:BJ71,BJ71),2))</f>
        <v/>
      </c>
      <c r="AP71" s="80" t="str">
        <f aca="false">IF(OR(AK71="",BL71=""),"",IFERROR(ROUND(IF(J71="Short",AB71-AE71,AE71-AB71)/BL71,1),""))</f>
        <v/>
      </c>
      <c r="AQ71" s="66" t="str">
        <f aca="false">IF(OR(G71="",H71=""),"",ROUND(MOD(H71-G71,1)*1440,0))</f>
        <v/>
      </c>
      <c r="AR71" s="68" t="str">
        <f aca="false">IF(AQ71="","",IF(AQ71&lt;15,"Under 15m",IF(AQ71&lt;60,"15-60m",IF(AQ71&lt;240,"1-4 hours","4+ hours"))))</f>
        <v/>
      </c>
      <c r="AS71" s="66" t="str">
        <f aca="false">IF(G71="","",HOUR(G71))</f>
        <v/>
      </c>
      <c r="AT71" s="80" t="str">
        <f aca="false">IF(OR(Z71="",AB71="",BL71=""),"",IFERROR(ROUND(IF(J71="Short",Z71-AB71,AB71-Z71)/BL71,1),""))</f>
        <v/>
      </c>
      <c r="AU71" s="68" t="str">
        <f aca="false">IF(OR(AA71="",AC71=""),"",IF(AA71=AC71,"No","Yes"))</f>
        <v/>
      </c>
      <c r="AV71" s="81" t="str">
        <f aca="false">IF(OR(B71="",BL71="",BM71="",AB71="",AC71=""),"",IFERROR(ROUND(AI71/(ABS(AB71-AC71)/BL71*BM71),2),""))</f>
        <v/>
      </c>
      <c r="AW71" s="76" t="str">
        <f aca="false">IF(B71="","",ROUND(BK71+SUMIFS(AM$5:AM70,BJ$5:BJ70,BJ71),2))</f>
        <v/>
      </c>
      <c r="AX71" s="66" t="str">
        <f aca="false">IF(B71="","",COUNTIFS(B$6:B71,B71,BJ$6:BJ71,BJ71))</f>
        <v/>
      </c>
      <c r="AY71" s="79" t="str">
        <f aca="false">IF(B71="","",ROUND(SUMIFS(AM$5:AM70,B$5:B70,B71,BJ$5:BJ70,BJ71),2))</f>
        <v/>
      </c>
      <c r="AZ71" s="79" t="str">
        <f aca="false">IF(AM71="","",ROUND(AY71+AM71,2))</f>
        <v/>
      </c>
      <c r="BA71" s="79" t="str">
        <f aca="false">IF(B71="","",ROUND(SUMIFS(AM$5:AM70,B$5:B70,"&gt;="&amp;(B71-WEEKDAY(B71,2)+1),B$5:B70,"&lt;="&amp;B71,BJ$5:BJ70,BJ71),2))</f>
        <v/>
      </c>
      <c r="BB71" s="68" t="str">
        <f aca="false">IF(B71="","",IF(AND(AF71&lt;&gt;"",AV71&lt;&gt;"",N(AF71)&gt;N(AV71)*(1+Settings!$C$13)),"Oversized",IF(AX71&gt;Settings!$C$10,"Overtraded",IF(AY71&lt;=-Settings!$C$11*(AW71-AY71),"Daily loss hit",IF(BA71&lt;=-Settings!$C$12*(AW71-BA71),"Weekly loss hit","OK")))))</f>
        <v/>
      </c>
      <c r="BC71" s="69"/>
      <c r="BD71" s="69"/>
      <c r="BE71" s="69"/>
      <c r="BF71" s="73"/>
      <c r="BG71" s="73"/>
      <c r="BH71" s="71"/>
      <c r="BI71" s="71"/>
      <c r="BJ71" s="68" t="str">
        <f aca="false">IF(B71="","",IF(E71="",Settings!$F$5,E71))</f>
        <v/>
      </c>
      <c r="BK71" s="76" t="str">
        <f aca="false">IF(B71="","",IFERROR(INDEX(Settings!$G$5:$G$10,MATCH(BJ71,Settings!$F$5:$F$10,0)),Settings!$G$5))</f>
        <v/>
      </c>
      <c r="BL71" s="82" t="str">
        <f aca="false">IF(I71="","",IFERROR(1/(1/INDEX(Lists!$C$6:$C$17,MATCH(I71,Lists!$B$6:$B$17,0))),""))</f>
        <v/>
      </c>
      <c r="BM71" s="81" t="str">
        <f aca="false">IF(I71="","",IFERROR(1/(1/INDEX(Lists!$D$6:$D$17,MATCH(I71,Lists!$B$6:$B$17,0))),""))</f>
        <v/>
      </c>
      <c r="BN71" s="76" t="str">
        <f aca="false">IF(AN71="","",MAX(BK71,_xlfn.MAXIFS(AN$6:AN71,BJ$6:BJ71,BJ71)))</f>
        <v/>
      </c>
      <c r="BO71" s="83" t="str">
        <f aca="false">IF(AN71="","",(AN71-BN71)/BN71)</f>
        <v/>
      </c>
      <c r="BP71" s="66" t="n">
        <f aca="false">IF(OR(B71="",AL71=""),0,IF(OR(Settings!$C$28="All Accounts",BJ71=Settings!$C$28),1,0))</f>
        <v>0</v>
      </c>
      <c r="BQ71" s="66" t="str">
        <f aca="false">IF(BP71=1,SUM(BP$6:BP71),"")</f>
        <v/>
      </c>
      <c r="BR71" s="76" t="str">
        <f aca="false">IF(BP71=1,ROUND(Settings!$C$29+SUMIFS(AM$6:AM71,BP$6:BP71,1),2),"")</f>
        <v/>
      </c>
      <c r="BS71" s="76" t="str">
        <f aca="false">IF(BP71=1,MAX(Settings!$C$29,MAX(BR$6:BR71)),"")</f>
        <v/>
      </c>
      <c r="BT71" s="83" t="str">
        <f aca="false">IF(BP71=1,(BR71-BS71)/BS71,"")</f>
        <v/>
      </c>
      <c r="BU71" s="66" t="str">
        <f aca="false">IF(BP71=1,IF(AL71="Win",1+IF(BQ71=1,0,INDEX(BU$5:BU70,MATCH(BQ71-1,BQ$5:BQ70,0))),0),"")</f>
        <v/>
      </c>
      <c r="BV71" s="66" t="str">
        <f aca="false">IF(BP71=1,IF(AL71="Loss",1+IF(BQ71=1,0,INDEX(BV$5:BV70,MATCH(BQ71-1,BQ$5:BQ70,0))),0),"")</f>
        <v/>
      </c>
    </row>
    <row r="72" customFormat="false" ht="15" hidden="false" customHeight="false" outlineLevel="0" collapsed="false">
      <c r="A72" s="66" t="str">
        <f aca="false">IF(B72="","",ROW()-5)</f>
        <v/>
      </c>
      <c r="B72" s="67"/>
      <c r="C72" s="68" t="str">
        <f aca="false">IF(B72="","",CHOOSE(WEEKDAY(B72,2),"Mon","Tue","Wed","Thu","Fri","Sat","Sun"))</f>
        <v/>
      </c>
      <c r="D72" s="66" t="str">
        <f aca="false">IF(B72="","",WEEKNUM(B72,2))</f>
        <v/>
      </c>
      <c r="E72" s="69"/>
      <c r="F72" s="69"/>
      <c r="G72" s="70"/>
      <c r="H72" s="70"/>
      <c r="I72" s="69"/>
      <c r="J72" s="69"/>
      <c r="K72" s="69"/>
      <c r="L72" s="71"/>
      <c r="M72" s="69"/>
      <c r="N72" s="69"/>
      <c r="O72" s="69"/>
      <c r="P72" s="71"/>
      <c r="Q72" s="69"/>
      <c r="R72" s="69"/>
      <c r="S72" s="69"/>
      <c r="T72" s="69"/>
      <c r="U72" s="69"/>
      <c r="V72" s="69"/>
      <c r="W72" s="69"/>
      <c r="X72" s="66" t="str">
        <f aca="false">IF(B72="","",COUNTIF(Q72:W72,"Yes"))</f>
        <v/>
      </c>
      <c r="Y72" s="68" t="str">
        <f aca="false">IF(B72="","",IF(X72&gt;=Settings!$C$16,"A+",IF(X72&gt;=Settings!$C$17,"A",IF(X72&gt;=Settings!$C$18,"B","C"))))</f>
        <v/>
      </c>
      <c r="Z72" s="72"/>
      <c r="AA72" s="72"/>
      <c r="AB72" s="72"/>
      <c r="AC72" s="72"/>
      <c r="AD72" s="72"/>
      <c r="AE72" s="72"/>
      <c r="AF72" s="73"/>
      <c r="AG72" s="74"/>
      <c r="AH72" s="75"/>
      <c r="AI72" s="76" t="str">
        <f aca="false">IF(B72="","",ROUND(IF(AG72="",Settings!$C$5,AG72)*AW72,2))</f>
        <v/>
      </c>
      <c r="AJ72" s="77" t="str">
        <f aca="false">IF(OR(B72="",AB72="",AC72="",AD72=""),"",IFERROR(ROUND(ABS(AD72-AB72)/ABS(AB72-AC72),2),""))</f>
        <v/>
      </c>
      <c r="AK72" s="78" t="str">
        <f aca="false">IF(OR(B72="",AB72="",AC72="",AE72=""),"",IFERROR(ROUND(IF(J72="Short",AB72-AE72,AE72-AB72)/ABS(AB72-AC72),2),""))</f>
        <v/>
      </c>
      <c r="AL72" s="68" t="str">
        <f aca="false">IF(AK72="","",IF(ABS(AK72)&lt;=Settings!$C$6,"BE",IF(AK72&gt;0,"Win","Loss")))</f>
        <v/>
      </c>
      <c r="AM72" s="79" t="str">
        <f aca="false">IF(OR(AK72="",AI72=""),"",ROUND(AK72*AI72-N(AH72),2))</f>
        <v/>
      </c>
      <c r="AN72" s="76" t="str">
        <f aca="false">IF(AM72="","",ROUND(BK72+SUMIFS(AM$6:AM72,BJ$6:BJ72,BJ72),2))</f>
        <v/>
      </c>
      <c r="AO72" s="78" t="str">
        <f aca="false">IF(AK72="","",ROUND(SUMIFS(AK$6:AK72,BJ$6:BJ72,BJ72),2))</f>
        <v/>
      </c>
      <c r="AP72" s="80" t="str">
        <f aca="false">IF(OR(AK72="",BL72=""),"",IFERROR(ROUND(IF(J72="Short",AB72-AE72,AE72-AB72)/BL72,1),""))</f>
        <v/>
      </c>
      <c r="AQ72" s="66" t="str">
        <f aca="false">IF(OR(G72="",H72=""),"",ROUND(MOD(H72-G72,1)*1440,0))</f>
        <v/>
      </c>
      <c r="AR72" s="68" t="str">
        <f aca="false">IF(AQ72="","",IF(AQ72&lt;15,"Under 15m",IF(AQ72&lt;60,"15-60m",IF(AQ72&lt;240,"1-4 hours","4+ hours"))))</f>
        <v/>
      </c>
      <c r="AS72" s="66" t="str">
        <f aca="false">IF(G72="","",HOUR(G72))</f>
        <v/>
      </c>
      <c r="AT72" s="80" t="str">
        <f aca="false">IF(OR(Z72="",AB72="",BL72=""),"",IFERROR(ROUND(IF(J72="Short",Z72-AB72,AB72-Z72)/BL72,1),""))</f>
        <v/>
      </c>
      <c r="AU72" s="68" t="str">
        <f aca="false">IF(OR(AA72="",AC72=""),"",IF(AA72=AC72,"No","Yes"))</f>
        <v/>
      </c>
      <c r="AV72" s="81" t="str">
        <f aca="false">IF(OR(B72="",BL72="",BM72="",AB72="",AC72=""),"",IFERROR(ROUND(AI72/(ABS(AB72-AC72)/BL72*BM72),2),""))</f>
        <v/>
      </c>
      <c r="AW72" s="76" t="str">
        <f aca="false">IF(B72="","",ROUND(BK72+SUMIFS(AM$5:AM71,BJ$5:BJ71,BJ72),2))</f>
        <v/>
      </c>
      <c r="AX72" s="66" t="str">
        <f aca="false">IF(B72="","",COUNTIFS(B$6:B72,B72,BJ$6:BJ72,BJ72))</f>
        <v/>
      </c>
      <c r="AY72" s="79" t="str">
        <f aca="false">IF(B72="","",ROUND(SUMIFS(AM$5:AM71,B$5:B71,B72,BJ$5:BJ71,BJ72),2))</f>
        <v/>
      </c>
      <c r="AZ72" s="79" t="str">
        <f aca="false">IF(AM72="","",ROUND(AY72+AM72,2))</f>
        <v/>
      </c>
      <c r="BA72" s="79" t="str">
        <f aca="false">IF(B72="","",ROUND(SUMIFS(AM$5:AM71,B$5:B71,"&gt;="&amp;(B72-WEEKDAY(B72,2)+1),B$5:B71,"&lt;="&amp;B72,BJ$5:BJ71,BJ72),2))</f>
        <v/>
      </c>
      <c r="BB72" s="68" t="str">
        <f aca="false">IF(B72="","",IF(AND(AF72&lt;&gt;"",AV72&lt;&gt;"",N(AF72)&gt;N(AV72)*(1+Settings!$C$13)),"Oversized",IF(AX72&gt;Settings!$C$10,"Overtraded",IF(AY72&lt;=-Settings!$C$11*(AW72-AY72),"Daily loss hit",IF(BA72&lt;=-Settings!$C$12*(AW72-BA72),"Weekly loss hit","OK")))))</f>
        <v/>
      </c>
      <c r="BC72" s="69"/>
      <c r="BD72" s="69"/>
      <c r="BE72" s="69"/>
      <c r="BF72" s="73"/>
      <c r="BG72" s="73"/>
      <c r="BH72" s="71"/>
      <c r="BI72" s="71"/>
      <c r="BJ72" s="68" t="str">
        <f aca="false">IF(B72="","",IF(E72="",Settings!$F$5,E72))</f>
        <v/>
      </c>
      <c r="BK72" s="76" t="str">
        <f aca="false">IF(B72="","",IFERROR(INDEX(Settings!$G$5:$G$10,MATCH(BJ72,Settings!$F$5:$F$10,0)),Settings!$G$5))</f>
        <v/>
      </c>
      <c r="BL72" s="82" t="str">
        <f aca="false">IF(I72="","",IFERROR(1/(1/INDEX(Lists!$C$6:$C$17,MATCH(I72,Lists!$B$6:$B$17,0))),""))</f>
        <v/>
      </c>
      <c r="BM72" s="81" t="str">
        <f aca="false">IF(I72="","",IFERROR(1/(1/INDEX(Lists!$D$6:$D$17,MATCH(I72,Lists!$B$6:$B$17,0))),""))</f>
        <v/>
      </c>
      <c r="BN72" s="76" t="str">
        <f aca="false">IF(AN72="","",MAX(BK72,_xlfn.MAXIFS(AN$6:AN72,BJ$6:BJ72,BJ72)))</f>
        <v/>
      </c>
      <c r="BO72" s="83" t="str">
        <f aca="false">IF(AN72="","",(AN72-BN72)/BN72)</f>
        <v/>
      </c>
      <c r="BP72" s="66" t="n">
        <f aca="false">IF(OR(B72="",AL72=""),0,IF(OR(Settings!$C$28="All Accounts",BJ72=Settings!$C$28),1,0))</f>
        <v>0</v>
      </c>
      <c r="BQ72" s="66" t="str">
        <f aca="false">IF(BP72=1,SUM(BP$6:BP72),"")</f>
        <v/>
      </c>
      <c r="BR72" s="76" t="str">
        <f aca="false">IF(BP72=1,ROUND(Settings!$C$29+SUMIFS(AM$6:AM72,BP$6:BP72,1),2),"")</f>
        <v/>
      </c>
      <c r="BS72" s="76" t="str">
        <f aca="false">IF(BP72=1,MAX(Settings!$C$29,MAX(BR$6:BR72)),"")</f>
        <v/>
      </c>
      <c r="BT72" s="83" t="str">
        <f aca="false">IF(BP72=1,(BR72-BS72)/BS72,"")</f>
        <v/>
      </c>
      <c r="BU72" s="66" t="str">
        <f aca="false">IF(BP72=1,IF(AL72="Win",1+IF(BQ72=1,0,INDEX(BU$5:BU71,MATCH(BQ72-1,BQ$5:BQ71,0))),0),"")</f>
        <v/>
      </c>
      <c r="BV72" s="66" t="str">
        <f aca="false">IF(BP72=1,IF(AL72="Loss",1+IF(BQ72=1,0,INDEX(BV$5:BV71,MATCH(BQ72-1,BQ$5:BQ71,0))),0),"")</f>
        <v/>
      </c>
    </row>
    <row r="73" customFormat="false" ht="15" hidden="false" customHeight="false" outlineLevel="0" collapsed="false">
      <c r="A73" s="66" t="str">
        <f aca="false">IF(B73="","",ROW()-5)</f>
        <v/>
      </c>
      <c r="B73" s="67"/>
      <c r="C73" s="68" t="str">
        <f aca="false">IF(B73="","",CHOOSE(WEEKDAY(B73,2),"Mon","Tue","Wed","Thu","Fri","Sat","Sun"))</f>
        <v/>
      </c>
      <c r="D73" s="66" t="str">
        <f aca="false">IF(B73="","",WEEKNUM(B73,2))</f>
        <v/>
      </c>
      <c r="E73" s="69"/>
      <c r="F73" s="69"/>
      <c r="G73" s="70"/>
      <c r="H73" s="70"/>
      <c r="I73" s="69"/>
      <c r="J73" s="69"/>
      <c r="K73" s="69"/>
      <c r="L73" s="71"/>
      <c r="M73" s="69"/>
      <c r="N73" s="69"/>
      <c r="O73" s="69"/>
      <c r="P73" s="71"/>
      <c r="Q73" s="69"/>
      <c r="R73" s="69"/>
      <c r="S73" s="69"/>
      <c r="T73" s="69"/>
      <c r="U73" s="69"/>
      <c r="V73" s="69"/>
      <c r="W73" s="69"/>
      <c r="X73" s="66" t="str">
        <f aca="false">IF(B73="","",COUNTIF(Q73:W73,"Yes"))</f>
        <v/>
      </c>
      <c r="Y73" s="68" t="str">
        <f aca="false">IF(B73="","",IF(X73&gt;=Settings!$C$16,"A+",IF(X73&gt;=Settings!$C$17,"A",IF(X73&gt;=Settings!$C$18,"B","C"))))</f>
        <v/>
      </c>
      <c r="Z73" s="72"/>
      <c r="AA73" s="72"/>
      <c r="AB73" s="72"/>
      <c r="AC73" s="72"/>
      <c r="AD73" s="72"/>
      <c r="AE73" s="72"/>
      <c r="AF73" s="73"/>
      <c r="AG73" s="74"/>
      <c r="AH73" s="75"/>
      <c r="AI73" s="76" t="str">
        <f aca="false">IF(B73="","",ROUND(IF(AG73="",Settings!$C$5,AG73)*AW73,2))</f>
        <v/>
      </c>
      <c r="AJ73" s="77" t="str">
        <f aca="false">IF(OR(B73="",AB73="",AC73="",AD73=""),"",IFERROR(ROUND(ABS(AD73-AB73)/ABS(AB73-AC73),2),""))</f>
        <v/>
      </c>
      <c r="AK73" s="78" t="str">
        <f aca="false">IF(OR(B73="",AB73="",AC73="",AE73=""),"",IFERROR(ROUND(IF(J73="Short",AB73-AE73,AE73-AB73)/ABS(AB73-AC73),2),""))</f>
        <v/>
      </c>
      <c r="AL73" s="68" t="str">
        <f aca="false">IF(AK73="","",IF(ABS(AK73)&lt;=Settings!$C$6,"BE",IF(AK73&gt;0,"Win","Loss")))</f>
        <v/>
      </c>
      <c r="AM73" s="79" t="str">
        <f aca="false">IF(OR(AK73="",AI73=""),"",ROUND(AK73*AI73-N(AH73),2))</f>
        <v/>
      </c>
      <c r="AN73" s="76" t="str">
        <f aca="false">IF(AM73="","",ROUND(BK73+SUMIFS(AM$6:AM73,BJ$6:BJ73,BJ73),2))</f>
        <v/>
      </c>
      <c r="AO73" s="78" t="str">
        <f aca="false">IF(AK73="","",ROUND(SUMIFS(AK$6:AK73,BJ$6:BJ73,BJ73),2))</f>
        <v/>
      </c>
      <c r="AP73" s="80" t="str">
        <f aca="false">IF(OR(AK73="",BL73=""),"",IFERROR(ROUND(IF(J73="Short",AB73-AE73,AE73-AB73)/BL73,1),""))</f>
        <v/>
      </c>
      <c r="AQ73" s="66" t="str">
        <f aca="false">IF(OR(G73="",H73=""),"",ROUND(MOD(H73-G73,1)*1440,0))</f>
        <v/>
      </c>
      <c r="AR73" s="68" t="str">
        <f aca="false">IF(AQ73="","",IF(AQ73&lt;15,"Under 15m",IF(AQ73&lt;60,"15-60m",IF(AQ73&lt;240,"1-4 hours","4+ hours"))))</f>
        <v/>
      </c>
      <c r="AS73" s="66" t="str">
        <f aca="false">IF(G73="","",HOUR(G73))</f>
        <v/>
      </c>
      <c r="AT73" s="80" t="str">
        <f aca="false">IF(OR(Z73="",AB73="",BL73=""),"",IFERROR(ROUND(IF(J73="Short",Z73-AB73,AB73-Z73)/BL73,1),""))</f>
        <v/>
      </c>
      <c r="AU73" s="68" t="str">
        <f aca="false">IF(OR(AA73="",AC73=""),"",IF(AA73=AC73,"No","Yes"))</f>
        <v/>
      </c>
      <c r="AV73" s="81" t="str">
        <f aca="false">IF(OR(B73="",BL73="",BM73="",AB73="",AC73=""),"",IFERROR(ROUND(AI73/(ABS(AB73-AC73)/BL73*BM73),2),""))</f>
        <v/>
      </c>
      <c r="AW73" s="76" t="str">
        <f aca="false">IF(B73="","",ROUND(BK73+SUMIFS(AM$5:AM72,BJ$5:BJ72,BJ73),2))</f>
        <v/>
      </c>
      <c r="AX73" s="66" t="str">
        <f aca="false">IF(B73="","",COUNTIFS(B$6:B73,B73,BJ$6:BJ73,BJ73))</f>
        <v/>
      </c>
      <c r="AY73" s="79" t="str">
        <f aca="false">IF(B73="","",ROUND(SUMIFS(AM$5:AM72,B$5:B72,B73,BJ$5:BJ72,BJ73),2))</f>
        <v/>
      </c>
      <c r="AZ73" s="79" t="str">
        <f aca="false">IF(AM73="","",ROUND(AY73+AM73,2))</f>
        <v/>
      </c>
      <c r="BA73" s="79" t="str">
        <f aca="false">IF(B73="","",ROUND(SUMIFS(AM$5:AM72,B$5:B72,"&gt;="&amp;(B73-WEEKDAY(B73,2)+1),B$5:B72,"&lt;="&amp;B73,BJ$5:BJ72,BJ73),2))</f>
        <v/>
      </c>
      <c r="BB73" s="68" t="str">
        <f aca="false">IF(B73="","",IF(AND(AF73&lt;&gt;"",AV73&lt;&gt;"",N(AF73)&gt;N(AV73)*(1+Settings!$C$13)),"Oversized",IF(AX73&gt;Settings!$C$10,"Overtraded",IF(AY73&lt;=-Settings!$C$11*(AW73-AY73),"Daily loss hit",IF(BA73&lt;=-Settings!$C$12*(AW73-BA73),"Weekly loss hit","OK")))))</f>
        <v/>
      </c>
      <c r="BC73" s="69"/>
      <c r="BD73" s="69"/>
      <c r="BE73" s="69"/>
      <c r="BF73" s="73"/>
      <c r="BG73" s="73"/>
      <c r="BH73" s="71"/>
      <c r="BI73" s="71"/>
      <c r="BJ73" s="68" t="str">
        <f aca="false">IF(B73="","",IF(E73="",Settings!$F$5,E73))</f>
        <v/>
      </c>
      <c r="BK73" s="76" t="str">
        <f aca="false">IF(B73="","",IFERROR(INDEX(Settings!$G$5:$G$10,MATCH(BJ73,Settings!$F$5:$F$10,0)),Settings!$G$5))</f>
        <v/>
      </c>
      <c r="BL73" s="82" t="str">
        <f aca="false">IF(I73="","",IFERROR(1/(1/INDEX(Lists!$C$6:$C$17,MATCH(I73,Lists!$B$6:$B$17,0))),""))</f>
        <v/>
      </c>
      <c r="BM73" s="81" t="str">
        <f aca="false">IF(I73="","",IFERROR(1/(1/INDEX(Lists!$D$6:$D$17,MATCH(I73,Lists!$B$6:$B$17,0))),""))</f>
        <v/>
      </c>
      <c r="BN73" s="76" t="str">
        <f aca="false">IF(AN73="","",MAX(BK73,_xlfn.MAXIFS(AN$6:AN73,BJ$6:BJ73,BJ73)))</f>
        <v/>
      </c>
      <c r="BO73" s="83" t="str">
        <f aca="false">IF(AN73="","",(AN73-BN73)/BN73)</f>
        <v/>
      </c>
      <c r="BP73" s="66" t="n">
        <f aca="false">IF(OR(B73="",AL73=""),0,IF(OR(Settings!$C$28="All Accounts",BJ73=Settings!$C$28),1,0))</f>
        <v>0</v>
      </c>
      <c r="BQ73" s="66" t="str">
        <f aca="false">IF(BP73=1,SUM(BP$6:BP73),"")</f>
        <v/>
      </c>
      <c r="BR73" s="76" t="str">
        <f aca="false">IF(BP73=1,ROUND(Settings!$C$29+SUMIFS(AM$6:AM73,BP$6:BP73,1),2),"")</f>
        <v/>
      </c>
      <c r="BS73" s="76" t="str">
        <f aca="false">IF(BP73=1,MAX(Settings!$C$29,MAX(BR$6:BR73)),"")</f>
        <v/>
      </c>
      <c r="BT73" s="83" t="str">
        <f aca="false">IF(BP73=1,(BR73-BS73)/BS73,"")</f>
        <v/>
      </c>
      <c r="BU73" s="66" t="str">
        <f aca="false">IF(BP73=1,IF(AL73="Win",1+IF(BQ73=1,0,INDEX(BU$5:BU72,MATCH(BQ73-1,BQ$5:BQ72,0))),0),"")</f>
        <v/>
      </c>
      <c r="BV73" s="66" t="str">
        <f aca="false">IF(BP73=1,IF(AL73="Loss",1+IF(BQ73=1,0,INDEX(BV$5:BV72,MATCH(BQ73-1,BQ$5:BQ72,0))),0),"")</f>
        <v/>
      </c>
    </row>
    <row r="74" customFormat="false" ht="15" hidden="false" customHeight="false" outlineLevel="0" collapsed="false">
      <c r="A74" s="66" t="str">
        <f aca="false">IF(B74="","",ROW()-5)</f>
        <v/>
      </c>
      <c r="B74" s="67"/>
      <c r="C74" s="68" t="str">
        <f aca="false">IF(B74="","",CHOOSE(WEEKDAY(B74,2),"Mon","Tue","Wed","Thu","Fri","Sat","Sun"))</f>
        <v/>
      </c>
      <c r="D74" s="66" t="str">
        <f aca="false">IF(B74="","",WEEKNUM(B74,2))</f>
        <v/>
      </c>
      <c r="E74" s="69"/>
      <c r="F74" s="69"/>
      <c r="G74" s="70"/>
      <c r="H74" s="70"/>
      <c r="I74" s="69"/>
      <c r="J74" s="69"/>
      <c r="K74" s="69"/>
      <c r="L74" s="71"/>
      <c r="M74" s="69"/>
      <c r="N74" s="69"/>
      <c r="O74" s="69"/>
      <c r="P74" s="71"/>
      <c r="Q74" s="69"/>
      <c r="R74" s="69"/>
      <c r="S74" s="69"/>
      <c r="T74" s="69"/>
      <c r="U74" s="69"/>
      <c r="V74" s="69"/>
      <c r="W74" s="69"/>
      <c r="X74" s="66" t="str">
        <f aca="false">IF(B74="","",COUNTIF(Q74:W74,"Yes"))</f>
        <v/>
      </c>
      <c r="Y74" s="68" t="str">
        <f aca="false">IF(B74="","",IF(X74&gt;=Settings!$C$16,"A+",IF(X74&gt;=Settings!$C$17,"A",IF(X74&gt;=Settings!$C$18,"B","C"))))</f>
        <v/>
      </c>
      <c r="Z74" s="72"/>
      <c r="AA74" s="72"/>
      <c r="AB74" s="72"/>
      <c r="AC74" s="72"/>
      <c r="AD74" s="72"/>
      <c r="AE74" s="72"/>
      <c r="AF74" s="73"/>
      <c r="AG74" s="74"/>
      <c r="AH74" s="75"/>
      <c r="AI74" s="76" t="str">
        <f aca="false">IF(B74="","",ROUND(IF(AG74="",Settings!$C$5,AG74)*AW74,2))</f>
        <v/>
      </c>
      <c r="AJ74" s="77" t="str">
        <f aca="false">IF(OR(B74="",AB74="",AC74="",AD74=""),"",IFERROR(ROUND(ABS(AD74-AB74)/ABS(AB74-AC74),2),""))</f>
        <v/>
      </c>
      <c r="AK74" s="78" t="str">
        <f aca="false">IF(OR(B74="",AB74="",AC74="",AE74=""),"",IFERROR(ROUND(IF(J74="Short",AB74-AE74,AE74-AB74)/ABS(AB74-AC74),2),""))</f>
        <v/>
      </c>
      <c r="AL74" s="68" t="str">
        <f aca="false">IF(AK74="","",IF(ABS(AK74)&lt;=Settings!$C$6,"BE",IF(AK74&gt;0,"Win","Loss")))</f>
        <v/>
      </c>
      <c r="AM74" s="79" t="str">
        <f aca="false">IF(OR(AK74="",AI74=""),"",ROUND(AK74*AI74-N(AH74),2))</f>
        <v/>
      </c>
      <c r="AN74" s="76" t="str">
        <f aca="false">IF(AM74="","",ROUND(BK74+SUMIFS(AM$6:AM74,BJ$6:BJ74,BJ74),2))</f>
        <v/>
      </c>
      <c r="AO74" s="78" t="str">
        <f aca="false">IF(AK74="","",ROUND(SUMIFS(AK$6:AK74,BJ$6:BJ74,BJ74),2))</f>
        <v/>
      </c>
      <c r="AP74" s="80" t="str">
        <f aca="false">IF(OR(AK74="",BL74=""),"",IFERROR(ROUND(IF(J74="Short",AB74-AE74,AE74-AB74)/BL74,1),""))</f>
        <v/>
      </c>
      <c r="AQ74" s="66" t="str">
        <f aca="false">IF(OR(G74="",H74=""),"",ROUND(MOD(H74-G74,1)*1440,0))</f>
        <v/>
      </c>
      <c r="AR74" s="68" t="str">
        <f aca="false">IF(AQ74="","",IF(AQ74&lt;15,"Under 15m",IF(AQ74&lt;60,"15-60m",IF(AQ74&lt;240,"1-4 hours","4+ hours"))))</f>
        <v/>
      </c>
      <c r="AS74" s="66" t="str">
        <f aca="false">IF(G74="","",HOUR(G74))</f>
        <v/>
      </c>
      <c r="AT74" s="80" t="str">
        <f aca="false">IF(OR(Z74="",AB74="",BL74=""),"",IFERROR(ROUND(IF(J74="Short",Z74-AB74,AB74-Z74)/BL74,1),""))</f>
        <v/>
      </c>
      <c r="AU74" s="68" t="str">
        <f aca="false">IF(OR(AA74="",AC74=""),"",IF(AA74=AC74,"No","Yes"))</f>
        <v/>
      </c>
      <c r="AV74" s="81" t="str">
        <f aca="false">IF(OR(B74="",BL74="",BM74="",AB74="",AC74=""),"",IFERROR(ROUND(AI74/(ABS(AB74-AC74)/BL74*BM74),2),""))</f>
        <v/>
      </c>
      <c r="AW74" s="76" t="str">
        <f aca="false">IF(B74="","",ROUND(BK74+SUMIFS(AM$5:AM73,BJ$5:BJ73,BJ74),2))</f>
        <v/>
      </c>
      <c r="AX74" s="66" t="str">
        <f aca="false">IF(B74="","",COUNTIFS(B$6:B74,B74,BJ$6:BJ74,BJ74))</f>
        <v/>
      </c>
      <c r="AY74" s="79" t="str">
        <f aca="false">IF(B74="","",ROUND(SUMIFS(AM$5:AM73,B$5:B73,B74,BJ$5:BJ73,BJ74),2))</f>
        <v/>
      </c>
      <c r="AZ74" s="79" t="str">
        <f aca="false">IF(AM74="","",ROUND(AY74+AM74,2))</f>
        <v/>
      </c>
      <c r="BA74" s="79" t="str">
        <f aca="false">IF(B74="","",ROUND(SUMIFS(AM$5:AM73,B$5:B73,"&gt;="&amp;(B74-WEEKDAY(B74,2)+1),B$5:B73,"&lt;="&amp;B74,BJ$5:BJ73,BJ74),2))</f>
        <v/>
      </c>
      <c r="BB74" s="68" t="str">
        <f aca="false">IF(B74="","",IF(AND(AF74&lt;&gt;"",AV74&lt;&gt;"",N(AF74)&gt;N(AV74)*(1+Settings!$C$13)),"Oversized",IF(AX74&gt;Settings!$C$10,"Overtraded",IF(AY74&lt;=-Settings!$C$11*(AW74-AY74),"Daily loss hit",IF(BA74&lt;=-Settings!$C$12*(AW74-BA74),"Weekly loss hit","OK")))))</f>
        <v/>
      </c>
      <c r="BC74" s="69"/>
      <c r="BD74" s="69"/>
      <c r="BE74" s="69"/>
      <c r="BF74" s="73"/>
      <c r="BG74" s="73"/>
      <c r="BH74" s="71"/>
      <c r="BI74" s="71"/>
      <c r="BJ74" s="68" t="str">
        <f aca="false">IF(B74="","",IF(E74="",Settings!$F$5,E74))</f>
        <v/>
      </c>
      <c r="BK74" s="76" t="str">
        <f aca="false">IF(B74="","",IFERROR(INDEX(Settings!$G$5:$G$10,MATCH(BJ74,Settings!$F$5:$F$10,0)),Settings!$G$5))</f>
        <v/>
      </c>
      <c r="BL74" s="82" t="str">
        <f aca="false">IF(I74="","",IFERROR(1/(1/INDEX(Lists!$C$6:$C$17,MATCH(I74,Lists!$B$6:$B$17,0))),""))</f>
        <v/>
      </c>
      <c r="BM74" s="81" t="str">
        <f aca="false">IF(I74="","",IFERROR(1/(1/INDEX(Lists!$D$6:$D$17,MATCH(I74,Lists!$B$6:$B$17,0))),""))</f>
        <v/>
      </c>
      <c r="BN74" s="76" t="str">
        <f aca="false">IF(AN74="","",MAX(BK74,_xlfn.MAXIFS(AN$6:AN74,BJ$6:BJ74,BJ74)))</f>
        <v/>
      </c>
      <c r="BO74" s="83" t="str">
        <f aca="false">IF(AN74="","",(AN74-BN74)/BN74)</f>
        <v/>
      </c>
      <c r="BP74" s="66" t="n">
        <f aca="false">IF(OR(B74="",AL74=""),0,IF(OR(Settings!$C$28="All Accounts",BJ74=Settings!$C$28),1,0))</f>
        <v>0</v>
      </c>
      <c r="BQ74" s="66" t="str">
        <f aca="false">IF(BP74=1,SUM(BP$6:BP74),"")</f>
        <v/>
      </c>
      <c r="BR74" s="76" t="str">
        <f aca="false">IF(BP74=1,ROUND(Settings!$C$29+SUMIFS(AM$6:AM74,BP$6:BP74,1),2),"")</f>
        <v/>
      </c>
      <c r="BS74" s="76" t="str">
        <f aca="false">IF(BP74=1,MAX(Settings!$C$29,MAX(BR$6:BR74)),"")</f>
        <v/>
      </c>
      <c r="BT74" s="83" t="str">
        <f aca="false">IF(BP74=1,(BR74-BS74)/BS74,"")</f>
        <v/>
      </c>
      <c r="BU74" s="66" t="str">
        <f aca="false">IF(BP74=1,IF(AL74="Win",1+IF(BQ74=1,0,INDEX(BU$5:BU73,MATCH(BQ74-1,BQ$5:BQ73,0))),0),"")</f>
        <v/>
      </c>
      <c r="BV74" s="66" t="str">
        <f aca="false">IF(BP74=1,IF(AL74="Loss",1+IF(BQ74=1,0,INDEX(BV$5:BV73,MATCH(BQ74-1,BQ$5:BQ73,0))),0),"")</f>
        <v/>
      </c>
    </row>
    <row r="75" customFormat="false" ht="15" hidden="false" customHeight="false" outlineLevel="0" collapsed="false">
      <c r="A75" s="66" t="str">
        <f aca="false">IF(B75="","",ROW()-5)</f>
        <v/>
      </c>
      <c r="B75" s="67"/>
      <c r="C75" s="68" t="str">
        <f aca="false">IF(B75="","",CHOOSE(WEEKDAY(B75,2),"Mon","Tue","Wed","Thu","Fri","Sat","Sun"))</f>
        <v/>
      </c>
      <c r="D75" s="66" t="str">
        <f aca="false">IF(B75="","",WEEKNUM(B75,2))</f>
        <v/>
      </c>
      <c r="E75" s="69"/>
      <c r="F75" s="69"/>
      <c r="G75" s="70"/>
      <c r="H75" s="70"/>
      <c r="I75" s="69"/>
      <c r="J75" s="69"/>
      <c r="K75" s="69"/>
      <c r="L75" s="71"/>
      <c r="M75" s="69"/>
      <c r="N75" s="69"/>
      <c r="O75" s="69"/>
      <c r="P75" s="71"/>
      <c r="Q75" s="69"/>
      <c r="R75" s="69"/>
      <c r="S75" s="69"/>
      <c r="T75" s="69"/>
      <c r="U75" s="69"/>
      <c r="V75" s="69"/>
      <c r="W75" s="69"/>
      <c r="X75" s="66" t="str">
        <f aca="false">IF(B75="","",COUNTIF(Q75:W75,"Yes"))</f>
        <v/>
      </c>
      <c r="Y75" s="68" t="str">
        <f aca="false">IF(B75="","",IF(X75&gt;=Settings!$C$16,"A+",IF(X75&gt;=Settings!$C$17,"A",IF(X75&gt;=Settings!$C$18,"B","C"))))</f>
        <v/>
      </c>
      <c r="Z75" s="72"/>
      <c r="AA75" s="72"/>
      <c r="AB75" s="72"/>
      <c r="AC75" s="72"/>
      <c r="AD75" s="72"/>
      <c r="AE75" s="72"/>
      <c r="AF75" s="73"/>
      <c r="AG75" s="74"/>
      <c r="AH75" s="75"/>
      <c r="AI75" s="76" t="str">
        <f aca="false">IF(B75="","",ROUND(IF(AG75="",Settings!$C$5,AG75)*AW75,2))</f>
        <v/>
      </c>
      <c r="AJ75" s="77" t="str">
        <f aca="false">IF(OR(B75="",AB75="",AC75="",AD75=""),"",IFERROR(ROUND(ABS(AD75-AB75)/ABS(AB75-AC75),2),""))</f>
        <v/>
      </c>
      <c r="AK75" s="78" t="str">
        <f aca="false">IF(OR(B75="",AB75="",AC75="",AE75=""),"",IFERROR(ROUND(IF(J75="Short",AB75-AE75,AE75-AB75)/ABS(AB75-AC75),2),""))</f>
        <v/>
      </c>
      <c r="AL75" s="68" t="str">
        <f aca="false">IF(AK75="","",IF(ABS(AK75)&lt;=Settings!$C$6,"BE",IF(AK75&gt;0,"Win","Loss")))</f>
        <v/>
      </c>
      <c r="AM75" s="79" t="str">
        <f aca="false">IF(OR(AK75="",AI75=""),"",ROUND(AK75*AI75-N(AH75),2))</f>
        <v/>
      </c>
      <c r="AN75" s="76" t="str">
        <f aca="false">IF(AM75="","",ROUND(BK75+SUMIFS(AM$6:AM75,BJ$6:BJ75,BJ75),2))</f>
        <v/>
      </c>
      <c r="AO75" s="78" t="str">
        <f aca="false">IF(AK75="","",ROUND(SUMIFS(AK$6:AK75,BJ$6:BJ75,BJ75),2))</f>
        <v/>
      </c>
      <c r="AP75" s="80" t="str">
        <f aca="false">IF(OR(AK75="",BL75=""),"",IFERROR(ROUND(IF(J75="Short",AB75-AE75,AE75-AB75)/BL75,1),""))</f>
        <v/>
      </c>
      <c r="AQ75" s="66" t="str">
        <f aca="false">IF(OR(G75="",H75=""),"",ROUND(MOD(H75-G75,1)*1440,0))</f>
        <v/>
      </c>
      <c r="AR75" s="68" t="str">
        <f aca="false">IF(AQ75="","",IF(AQ75&lt;15,"Under 15m",IF(AQ75&lt;60,"15-60m",IF(AQ75&lt;240,"1-4 hours","4+ hours"))))</f>
        <v/>
      </c>
      <c r="AS75" s="66" t="str">
        <f aca="false">IF(G75="","",HOUR(G75))</f>
        <v/>
      </c>
      <c r="AT75" s="80" t="str">
        <f aca="false">IF(OR(Z75="",AB75="",BL75=""),"",IFERROR(ROUND(IF(J75="Short",Z75-AB75,AB75-Z75)/BL75,1),""))</f>
        <v/>
      </c>
      <c r="AU75" s="68" t="str">
        <f aca="false">IF(OR(AA75="",AC75=""),"",IF(AA75=AC75,"No","Yes"))</f>
        <v/>
      </c>
      <c r="AV75" s="81" t="str">
        <f aca="false">IF(OR(B75="",BL75="",BM75="",AB75="",AC75=""),"",IFERROR(ROUND(AI75/(ABS(AB75-AC75)/BL75*BM75),2),""))</f>
        <v/>
      </c>
      <c r="AW75" s="76" t="str">
        <f aca="false">IF(B75="","",ROUND(BK75+SUMIFS(AM$5:AM74,BJ$5:BJ74,BJ75),2))</f>
        <v/>
      </c>
      <c r="AX75" s="66" t="str">
        <f aca="false">IF(B75="","",COUNTIFS(B$6:B75,B75,BJ$6:BJ75,BJ75))</f>
        <v/>
      </c>
      <c r="AY75" s="79" t="str">
        <f aca="false">IF(B75="","",ROUND(SUMIFS(AM$5:AM74,B$5:B74,B75,BJ$5:BJ74,BJ75),2))</f>
        <v/>
      </c>
      <c r="AZ75" s="79" t="str">
        <f aca="false">IF(AM75="","",ROUND(AY75+AM75,2))</f>
        <v/>
      </c>
      <c r="BA75" s="79" t="str">
        <f aca="false">IF(B75="","",ROUND(SUMIFS(AM$5:AM74,B$5:B74,"&gt;="&amp;(B75-WEEKDAY(B75,2)+1),B$5:B74,"&lt;="&amp;B75,BJ$5:BJ74,BJ75),2))</f>
        <v/>
      </c>
      <c r="BB75" s="68" t="str">
        <f aca="false">IF(B75="","",IF(AND(AF75&lt;&gt;"",AV75&lt;&gt;"",N(AF75)&gt;N(AV75)*(1+Settings!$C$13)),"Oversized",IF(AX75&gt;Settings!$C$10,"Overtraded",IF(AY75&lt;=-Settings!$C$11*(AW75-AY75),"Daily loss hit",IF(BA75&lt;=-Settings!$C$12*(AW75-BA75),"Weekly loss hit","OK")))))</f>
        <v/>
      </c>
      <c r="BC75" s="69"/>
      <c r="BD75" s="69"/>
      <c r="BE75" s="69"/>
      <c r="BF75" s="73"/>
      <c r="BG75" s="73"/>
      <c r="BH75" s="71"/>
      <c r="BI75" s="71"/>
      <c r="BJ75" s="68" t="str">
        <f aca="false">IF(B75="","",IF(E75="",Settings!$F$5,E75))</f>
        <v/>
      </c>
      <c r="BK75" s="76" t="str">
        <f aca="false">IF(B75="","",IFERROR(INDEX(Settings!$G$5:$G$10,MATCH(BJ75,Settings!$F$5:$F$10,0)),Settings!$G$5))</f>
        <v/>
      </c>
      <c r="BL75" s="82" t="str">
        <f aca="false">IF(I75="","",IFERROR(1/(1/INDEX(Lists!$C$6:$C$17,MATCH(I75,Lists!$B$6:$B$17,0))),""))</f>
        <v/>
      </c>
      <c r="BM75" s="81" t="str">
        <f aca="false">IF(I75="","",IFERROR(1/(1/INDEX(Lists!$D$6:$D$17,MATCH(I75,Lists!$B$6:$B$17,0))),""))</f>
        <v/>
      </c>
      <c r="BN75" s="76" t="str">
        <f aca="false">IF(AN75="","",MAX(BK75,_xlfn.MAXIFS(AN$6:AN75,BJ$6:BJ75,BJ75)))</f>
        <v/>
      </c>
      <c r="BO75" s="83" t="str">
        <f aca="false">IF(AN75="","",(AN75-BN75)/BN75)</f>
        <v/>
      </c>
      <c r="BP75" s="66" t="n">
        <f aca="false">IF(OR(B75="",AL75=""),0,IF(OR(Settings!$C$28="All Accounts",BJ75=Settings!$C$28),1,0))</f>
        <v>0</v>
      </c>
      <c r="BQ75" s="66" t="str">
        <f aca="false">IF(BP75=1,SUM(BP$6:BP75),"")</f>
        <v/>
      </c>
      <c r="BR75" s="76" t="str">
        <f aca="false">IF(BP75=1,ROUND(Settings!$C$29+SUMIFS(AM$6:AM75,BP$6:BP75,1),2),"")</f>
        <v/>
      </c>
      <c r="BS75" s="76" t="str">
        <f aca="false">IF(BP75=1,MAX(Settings!$C$29,MAX(BR$6:BR75)),"")</f>
        <v/>
      </c>
      <c r="BT75" s="83" t="str">
        <f aca="false">IF(BP75=1,(BR75-BS75)/BS75,"")</f>
        <v/>
      </c>
      <c r="BU75" s="66" t="str">
        <f aca="false">IF(BP75=1,IF(AL75="Win",1+IF(BQ75=1,0,INDEX(BU$5:BU74,MATCH(BQ75-1,BQ$5:BQ74,0))),0),"")</f>
        <v/>
      </c>
      <c r="BV75" s="66" t="str">
        <f aca="false">IF(BP75=1,IF(AL75="Loss",1+IF(BQ75=1,0,INDEX(BV$5:BV74,MATCH(BQ75-1,BQ$5:BQ74,0))),0),"")</f>
        <v/>
      </c>
    </row>
    <row r="76" customFormat="false" ht="15" hidden="false" customHeight="false" outlineLevel="0" collapsed="false">
      <c r="A76" s="66" t="str">
        <f aca="false">IF(B76="","",ROW()-5)</f>
        <v/>
      </c>
      <c r="B76" s="67"/>
      <c r="C76" s="68" t="str">
        <f aca="false">IF(B76="","",CHOOSE(WEEKDAY(B76,2),"Mon","Tue","Wed","Thu","Fri","Sat","Sun"))</f>
        <v/>
      </c>
      <c r="D76" s="66" t="str">
        <f aca="false">IF(B76="","",WEEKNUM(B76,2))</f>
        <v/>
      </c>
      <c r="E76" s="69"/>
      <c r="F76" s="69"/>
      <c r="G76" s="70"/>
      <c r="H76" s="70"/>
      <c r="I76" s="69"/>
      <c r="J76" s="69"/>
      <c r="K76" s="69"/>
      <c r="L76" s="71"/>
      <c r="M76" s="69"/>
      <c r="N76" s="69"/>
      <c r="O76" s="69"/>
      <c r="P76" s="71"/>
      <c r="Q76" s="69"/>
      <c r="R76" s="69"/>
      <c r="S76" s="69"/>
      <c r="T76" s="69"/>
      <c r="U76" s="69"/>
      <c r="V76" s="69"/>
      <c r="W76" s="69"/>
      <c r="X76" s="66" t="str">
        <f aca="false">IF(B76="","",COUNTIF(Q76:W76,"Yes"))</f>
        <v/>
      </c>
      <c r="Y76" s="68" t="str">
        <f aca="false">IF(B76="","",IF(X76&gt;=Settings!$C$16,"A+",IF(X76&gt;=Settings!$C$17,"A",IF(X76&gt;=Settings!$C$18,"B","C"))))</f>
        <v/>
      </c>
      <c r="Z76" s="72"/>
      <c r="AA76" s="72"/>
      <c r="AB76" s="72"/>
      <c r="AC76" s="72"/>
      <c r="AD76" s="72"/>
      <c r="AE76" s="72"/>
      <c r="AF76" s="73"/>
      <c r="AG76" s="74"/>
      <c r="AH76" s="75"/>
      <c r="AI76" s="76" t="str">
        <f aca="false">IF(B76="","",ROUND(IF(AG76="",Settings!$C$5,AG76)*AW76,2))</f>
        <v/>
      </c>
      <c r="AJ76" s="77" t="str">
        <f aca="false">IF(OR(B76="",AB76="",AC76="",AD76=""),"",IFERROR(ROUND(ABS(AD76-AB76)/ABS(AB76-AC76),2),""))</f>
        <v/>
      </c>
      <c r="AK76" s="78" t="str">
        <f aca="false">IF(OR(B76="",AB76="",AC76="",AE76=""),"",IFERROR(ROUND(IF(J76="Short",AB76-AE76,AE76-AB76)/ABS(AB76-AC76),2),""))</f>
        <v/>
      </c>
      <c r="AL76" s="68" t="str">
        <f aca="false">IF(AK76="","",IF(ABS(AK76)&lt;=Settings!$C$6,"BE",IF(AK76&gt;0,"Win","Loss")))</f>
        <v/>
      </c>
      <c r="AM76" s="79" t="str">
        <f aca="false">IF(OR(AK76="",AI76=""),"",ROUND(AK76*AI76-N(AH76),2))</f>
        <v/>
      </c>
      <c r="AN76" s="76" t="str">
        <f aca="false">IF(AM76="","",ROUND(BK76+SUMIFS(AM$6:AM76,BJ$6:BJ76,BJ76),2))</f>
        <v/>
      </c>
      <c r="AO76" s="78" t="str">
        <f aca="false">IF(AK76="","",ROUND(SUMIFS(AK$6:AK76,BJ$6:BJ76,BJ76),2))</f>
        <v/>
      </c>
      <c r="AP76" s="80" t="str">
        <f aca="false">IF(OR(AK76="",BL76=""),"",IFERROR(ROUND(IF(J76="Short",AB76-AE76,AE76-AB76)/BL76,1),""))</f>
        <v/>
      </c>
      <c r="AQ76" s="66" t="str">
        <f aca="false">IF(OR(G76="",H76=""),"",ROUND(MOD(H76-G76,1)*1440,0))</f>
        <v/>
      </c>
      <c r="AR76" s="68" t="str">
        <f aca="false">IF(AQ76="","",IF(AQ76&lt;15,"Under 15m",IF(AQ76&lt;60,"15-60m",IF(AQ76&lt;240,"1-4 hours","4+ hours"))))</f>
        <v/>
      </c>
      <c r="AS76" s="66" t="str">
        <f aca="false">IF(G76="","",HOUR(G76))</f>
        <v/>
      </c>
      <c r="AT76" s="80" t="str">
        <f aca="false">IF(OR(Z76="",AB76="",BL76=""),"",IFERROR(ROUND(IF(J76="Short",Z76-AB76,AB76-Z76)/BL76,1),""))</f>
        <v/>
      </c>
      <c r="AU76" s="68" t="str">
        <f aca="false">IF(OR(AA76="",AC76=""),"",IF(AA76=AC76,"No","Yes"))</f>
        <v/>
      </c>
      <c r="AV76" s="81" t="str">
        <f aca="false">IF(OR(B76="",BL76="",BM76="",AB76="",AC76=""),"",IFERROR(ROUND(AI76/(ABS(AB76-AC76)/BL76*BM76),2),""))</f>
        <v/>
      </c>
      <c r="AW76" s="76" t="str">
        <f aca="false">IF(B76="","",ROUND(BK76+SUMIFS(AM$5:AM75,BJ$5:BJ75,BJ76),2))</f>
        <v/>
      </c>
      <c r="AX76" s="66" t="str">
        <f aca="false">IF(B76="","",COUNTIFS(B$6:B76,B76,BJ$6:BJ76,BJ76))</f>
        <v/>
      </c>
      <c r="AY76" s="79" t="str">
        <f aca="false">IF(B76="","",ROUND(SUMIFS(AM$5:AM75,B$5:B75,B76,BJ$5:BJ75,BJ76),2))</f>
        <v/>
      </c>
      <c r="AZ76" s="79" t="str">
        <f aca="false">IF(AM76="","",ROUND(AY76+AM76,2))</f>
        <v/>
      </c>
      <c r="BA76" s="79" t="str">
        <f aca="false">IF(B76="","",ROUND(SUMIFS(AM$5:AM75,B$5:B75,"&gt;="&amp;(B76-WEEKDAY(B76,2)+1),B$5:B75,"&lt;="&amp;B76,BJ$5:BJ75,BJ76),2))</f>
        <v/>
      </c>
      <c r="BB76" s="68" t="str">
        <f aca="false">IF(B76="","",IF(AND(AF76&lt;&gt;"",AV76&lt;&gt;"",N(AF76)&gt;N(AV76)*(1+Settings!$C$13)),"Oversized",IF(AX76&gt;Settings!$C$10,"Overtraded",IF(AY76&lt;=-Settings!$C$11*(AW76-AY76),"Daily loss hit",IF(BA76&lt;=-Settings!$C$12*(AW76-BA76),"Weekly loss hit","OK")))))</f>
        <v/>
      </c>
      <c r="BC76" s="69"/>
      <c r="BD76" s="69"/>
      <c r="BE76" s="69"/>
      <c r="BF76" s="73"/>
      <c r="BG76" s="73"/>
      <c r="BH76" s="71"/>
      <c r="BI76" s="71"/>
      <c r="BJ76" s="68" t="str">
        <f aca="false">IF(B76="","",IF(E76="",Settings!$F$5,E76))</f>
        <v/>
      </c>
      <c r="BK76" s="76" t="str">
        <f aca="false">IF(B76="","",IFERROR(INDEX(Settings!$G$5:$G$10,MATCH(BJ76,Settings!$F$5:$F$10,0)),Settings!$G$5))</f>
        <v/>
      </c>
      <c r="BL76" s="82" t="str">
        <f aca="false">IF(I76="","",IFERROR(1/(1/INDEX(Lists!$C$6:$C$17,MATCH(I76,Lists!$B$6:$B$17,0))),""))</f>
        <v/>
      </c>
      <c r="BM76" s="81" t="str">
        <f aca="false">IF(I76="","",IFERROR(1/(1/INDEX(Lists!$D$6:$D$17,MATCH(I76,Lists!$B$6:$B$17,0))),""))</f>
        <v/>
      </c>
      <c r="BN76" s="76" t="str">
        <f aca="false">IF(AN76="","",MAX(BK76,_xlfn.MAXIFS(AN$6:AN76,BJ$6:BJ76,BJ76)))</f>
        <v/>
      </c>
      <c r="BO76" s="83" t="str">
        <f aca="false">IF(AN76="","",(AN76-BN76)/BN76)</f>
        <v/>
      </c>
      <c r="BP76" s="66" t="n">
        <f aca="false">IF(OR(B76="",AL76=""),0,IF(OR(Settings!$C$28="All Accounts",BJ76=Settings!$C$28),1,0))</f>
        <v>0</v>
      </c>
      <c r="BQ76" s="66" t="str">
        <f aca="false">IF(BP76=1,SUM(BP$6:BP76),"")</f>
        <v/>
      </c>
      <c r="BR76" s="76" t="str">
        <f aca="false">IF(BP76=1,ROUND(Settings!$C$29+SUMIFS(AM$6:AM76,BP$6:BP76,1),2),"")</f>
        <v/>
      </c>
      <c r="BS76" s="76" t="str">
        <f aca="false">IF(BP76=1,MAX(Settings!$C$29,MAX(BR$6:BR76)),"")</f>
        <v/>
      </c>
      <c r="BT76" s="83" t="str">
        <f aca="false">IF(BP76=1,(BR76-BS76)/BS76,"")</f>
        <v/>
      </c>
      <c r="BU76" s="66" t="str">
        <f aca="false">IF(BP76=1,IF(AL76="Win",1+IF(BQ76=1,0,INDEX(BU$5:BU75,MATCH(BQ76-1,BQ$5:BQ75,0))),0),"")</f>
        <v/>
      </c>
      <c r="BV76" s="66" t="str">
        <f aca="false">IF(BP76=1,IF(AL76="Loss",1+IF(BQ76=1,0,INDEX(BV$5:BV75,MATCH(BQ76-1,BQ$5:BQ75,0))),0),"")</f>
        <v/>
      </c>
    </row>
    <row r="77" customFormat="false" ht="15" hidden="false" customHeight="false" outlineLevel="0" collapsed="false">
      <c r="A77" s="66" t="str">
        <f aca="false">IF(B77="","",ROW()-5)</f>
        <v/>
      </c>
      <c r="B77" s="67"/>
      <c r="C77" s="68" t="str">
        <f aca="false">IF(B77="","",CHOOSE(WEEKDAY(B77,2),"Mon","Tue","Wed","Thu","Fri","Sat","Sun"))</f>
        <v/>
      </c>
      <c r="D77" s="66" t="str">
        <f aca="false">IF(B77="","",WEEKNUM(B77,2))</f>
        <v/>
      </c>
      <c r="E77" s="69"/>
      <c r="F77" s="69"/>
      <c r="G77" s="70"/>
      <c r="H77" s="70"/>
      <c r="I77" s="69"/>
      <c r="J77" s="69"/>
      <c r="K77" s="69"/>
      <c r="L77" s="71"/>
      <c r="M77" s="69"/>
      <c r="N77" s="69"/>
      <c r="O77" s="69"/>
      <c r="P77" s="71"/>
      <c r="Q77" s="69"/>
      <c r="R77" s="69"/>
      <c r="S77" s="69"/>
      <c r="T77" s="69"/>
      <c r="U77" s="69"/>
      <c r="V77" s="69"/>
      <c r="W77" s="69"/>
      <c r="X77" s="66" t="str">
        <f aca="false">IF(B77="","",COUNTIF(Q77:W77,"Yes"))</f>
        <v/>
      </c>
      <c r="Y77" s="68" t="str">
        <f aca="false">IF(B77="","",IF(X77&gt;=Settings!$C$16,"A+",IF(X77&gt;=Settings!$C$17,"A",IF(X77&gt;=Settings!$C$18,"B","C"))))</f>
        <v/>
      </c>
      <c r="Z77" s="72"/>
      <c r="AA77" s="72"/>
      <c r="AB77" s="72"/>
      <c r="AC77" s="72"/>
      <c r="AD77" s="72"/>
      <c r="AE77" s="72"/>
      <c r="AF77" s="73"/>
      <c r="AG77" s="74"/>
      <c r="AH77" s="75"/>
      <c r="AI77" s="76" t="str">
        <f aca="false">IF(B77="","",ROUND(IF(AG77="",Settings!$C$5,AG77)*AW77,2))</f>
        <v/>
      </c>
      <c r="AJ77" s="77" t="str">
        <f aca="false">IF(OR(B77="",AB77="",AC77="",AD77=""),"",IFERROR(ROUND(ABS(AD77-AB77)/ABS(AB77-AC77),2),""))</f>
        <v/>
      </c>
      <c r="AK77" s="78" t="str">
        <f aca="false">IF(OR(B77="",AB77="",AC77="",AE77=""),"",IFERROR(ROUND(IF(J77="Short",AB77-AE77,AE77-AB77)/ABS(AB77-AC77),2),""))</f>
        <v/>
      </c>
      <c r="AL77" s="68" t="str">
        <f aca="false">IF(AK77="","",IF(ABS(AK77)&lt;=Settings!$C$6,"BE",IF(AK77&gt;0,"Win","Loss")))</f>
        <v/>
      </c>
      <c r="AM77" s="79" t="str">
        <f aca="false">IF(OR(AK77="",AI77=""),"",ROUND(AK77*AI77-N(AH77),2))</f>
        <v/>
      </c>
      <c r="AN77" s="76" t="str">
        <f aca="false">IF(AM77="","",ROUND(BK77+SUMIFS(AM$6:AM77,BJ$6:BJ77,BJ77),2))</f>
        <v/>
      </c>
      <c r="AO77" s="78" t="str">
        <f aca="false">IF(AK77="","",ROUND(SUMIFS(AK$6:AK77,BJ$6:BJ77,BJ77),2))</f>
        <v/>
      </c>
      <c r="AP77" s="80" t="str">
        <f aca="false">IF(OR(AK77="",BL77=""),"",IFERROR(ROUND(IF(J77="Short",AB77-AE77,AE77-AB77)/BL77,1),""))</f>
        <v/>
      </c>
      <c r="AQ77" s="66" t="str">
        <f aca="false">IF(OR(G77="",H77=""),"",ROUND(MOD(H77-G77,1)*1440,0))</f>
        <v/>
      </c>
      <c r="AR77" s="68" t="str">
        <f aca="false">IF(AQ77="","",IF(AQ77&lt;15,"Under 15m",IF(AQ77&lt;60,"15-60m",IF(AQ77&lt;240,"1-4 hours","4+ hours"))))</f>
        <v/>
      </c>
      <c r="AS77" s="66" t="str">
        <f aca="false">IF(G77="","",HOUR(G77))</f>
        <v/>
      </c>
      <c r="AT77" s="80" t="str">
        <f aca="false">IF(OR(Z77="",AB77="",BL77=""),"",IFERROR(ROUND(IF(J77="Short",Z77-AB77,AB77-Z77)/BL77,1),""))</f>
        <v/>
      </c>
      <c r="AU77" s="68" t="str">
        <f aca="false">IF(OR(AA77="",AC77=""),"",IF(AA77=AC77,"No","Yes"))</f>
        <v/>
      </c>
      <c r="AV77" s="81" t="str">
        <f aca="false">IF(OR(B77="",BL77="",BM77="",AB77="",AC77=""),"",IFERROR(ROUND(AI77/(ABS(AB77-AC77)/BL77*BM77),2),""))</f>
        <v/>
      </c>
      <c r="AW77" s="76" t="str">
        <f aca="false">IF(B77="","",ROUND(BK77+SUMIFS(AM$5:AM76,BJ$5:BJ76,BJ77),2))</f>
        <v/>
      </c>
      <c r="AX77" s="66" t="str">
        <f aca="false">IF(B77="","",COUNTIFS(B$6:B77,B77,BJ$6:BJ77,BJ77))</f>
        <v/>
      </c>
      <c r="AY77" s="79" t="str">
        <f aca="false">IF(B77="","",ROUND(SUMIFS(AM$5:AM76,B$5:B76,B77,BJ$5:BJ76,BJ77),2))</f>
        <v/>
      </c>
      <c r="AZ77" s="79" t="str">
        <f aca="false">IF(AM77="","",ROUND(AY77+AM77,2))</f>
        <v/>
      </c>
      <c r="BA77" s="79" t="str">
        <f aca="false">IF(B77="","",ROUND(SUMIFS(AM$5:AM76,B$5:B76,"&gt;="&amp;(B77-WEEKDAY(B77,2)+1),B$5:B76,"&lt;="&amp;B77,BJ$5:BJ76,BJ77),2))</f>
        <v/>
      </c>
      <c r="BB77" s="68" t="str">
        <f aca="false">IF(B77="","",IF(AND(AF77&lt;&gt;"",AV77&lt;&gt;"",N(AF77)&gt;N(AV77)*(1+Settings!$C$13)),"Oversized",IF(AX77&gt;Settings!$C$10,"Overtraded",IF(AY77&lt;=-Settings!$C$11*(AW77-AY77),"Daily loss hit",IF(BA77&lt;=-Settings!$C$12*(AW77-BA77),"Weekly loss hit","OK")))))</f>
        <v/>
      </c>
      <c r="BC77" s="69"/>
      <c r="BD77" s="69"/>
      <c r="BE77" s="69"/>
      <c r="BF77" s="73"/>
      <c r="BG77" s="73"/>
      <c r="BH77" s="71"/>
      <c r="BI77" s="71"/>
      <c r="BJ77" s="68" t="str">
        <f aca="false">IF(B77="","",IF(E77="",Settings!$F$5,E77))</f>
        <v/>
      </c>
      <c r="BK77" s="76" t="str">
        <f aca="false">IF(B77="","",IFERROR(INDEX(Settings!$G$5:$G$10,MATCH(BJ77,Settings!$F$5:$F$10,0)),Settings!$G$5))</f>
        <v/>
      </c>
      <c r="BL77" s="82" t="str">
        <f aca="false">IF(I77="","",IFERROR(1/(1/INDEX(Lists!$C$6:$C$17,MATCH(I77,Lists!$B$6:$B$17,0))),""))</f>
        <v/>
      </c>
      <c r="BM77" s="81" t="str">
        <f aca="false">IF(I77="","",IFERROR(1/(1/INDEX(Lists!$D$6:$D$17,MATCH(I77,Lists!$B$6:$B$17,0))),""))</f>
        <v/>
      </c>
      <c r="BN77" s="76" t="str">
        <f aca="false">IF(AN77="","",MAX(BK77,_xlfn.MAXIFS(AN$6:AN77,BJ$6:BJ77,BJ77)))</f>
        <v/>
      </c>
      <c r="BO77" s="83" t="str">
        <f aca="false">IF(AN77="","",(AN77-BN77)/BN77)</f>
        <v/>
      </c>
      <c r="BP77" s="66" t="n">
        <f aca="false">IF(OR(B77="",AL77=""),0,IF(OR(Settings!$C$28="All Accounts",BJ77=Settings!$C$28),1,0))</f>
        <v>0</v>
      </c>
      <c r="BQ77" s="66" t="str">
        <f aca="false">IF(BP77=1,SUM(BP$6:BP77),"")</f>
        <v/>
      </c>
      <c r="BR77" s="76" t="str">
        <f aca="false">IF(BP77=1,ROUND(Settings!$C$29+SUMIFS(AM$6:AM77,BP$6:BP77,1),2),"")</f>
        <v/>
      </c>
      <c r="BS77" s="76" t="str">
        <f aca="false">IF(BP77=1,MAX(Settings!$C$29,MAX(BR$6:BR77)),"")</f>
        <v/>
      </c>
      <c r="BT77" s="83" t="str">
        <f aca="false">IF(BP77=1,(BR77-BS77)/BS77,"")</f>
        <v/>
      </c>
      <c r="BU77" s="66" t="str">
        <f aca="false">IF(BP77=1,IF(AL77="Win",1+IF(BQ77=1,0,INDEX(BU$5:BU76,MATCH(BQ77-1,BQ$5:BQ76,0))),0),"")</f>
        <v/>
      </c>
      <c r="BV77" s="66" t="str">
        <f aca="false">IF(BP77=1,IF(AL77="Loss",1+IF(BQ77=1,0,INDEX(BV$5:BV76,MATCH(BQ77-1,BQ$5:BQ76,0))),0),"")</f>
        <v/>
      </c>
    </row>
    <row r="78" customFormat="false" ht="15" hidden="false" customHeight="false" outlineLevel="0" collapsed="false">
      <c r="A78" s="66" t="str">
        <f aca="false">IF(B78="","",ROW()-5)</f>
        <v/>
      </c>
      <c r="B78" s="67"/>
      <c r="C78" s="68" t="str">
        <f aca="false">IF(B78="","",CHOOSE(WEEKDAY(B78,2),"Mon","Tue","Wed","Thu","Fri","Sat","Sun"))</f>
        <v/>
      </c>
      <c r="D78" s="66" t="str">
        <f aca="false">IF(B78="","",WEEKNUM(B78,2))</f>
        <v/>
      </c>
      <c r="E78" s="69"/>
      <c r="F78" s="69"/>
      <c r="G78" s="70"/>
      <c r="H78" s="70"/>
      <c r="I78" s="69"/>
      <c r="J78" s="69"/>
      <c r="K78" s="69"/>
      <c r="L78" s="71"/>
      <c r="M78" s="69"/>
      <c r="N78" s="69"/>
      <c r="O78" s="69"/>
      <c r="P78" s="71"/>
      <c r="Q78" s="69"/>
      <c r="R78" s="69"/>
      <c r="S78" s="69"/>
      <c r="T78" s="69"/>
      <c r="U78" s="69"/>
      <c r="V78" s="69"/>
      <c r="W78" s="69"/>
      <c r="X78" s="66" t="str">
        <f aca="false">IF(B78="","",COUNTIF(Q78:W78,"Yes"))</f>
        <v/>
      </c>
      <c r="Y78" s="68" t="str">
        <f aca="false">IF(B78="","",IF(X78&gt;=Settings!$C$16,"A+",IF(X78&gt;=Settings!$C$17,"A",IF(X78&gt;=Settings!$C$18,"B","C"))))</f>
        <v/>
      </c>
      <c r="Z78" s="72"/>
      <c r="AA78" s="72"/>
      <c r="AB78" s="72"/>
      <c r="AC78" s="72"/>
      <c r="AD78" s="72"/>
      <c r="AE78" s="72"/>
      <c r="AF78" s="73"/>
      <c r="AG78" s="74"/>
      <c r="AH78" s="75"/>
      <c r="AI78" s="76" t="str">
        <f aca="false">IF(B78="","",ROUND(IF(AG78="",Settings!$C$5,AG78)*AW78,2))</f>
        <v/>
      </c>
      <c r="AJ78" s="77" t="str">
        <f aca="false">IF(OR(B78="",AB78="",AC78="",AD78=""),"",IFERROR(ROUND(ABS(AD78-AB78)/ABS(AB78-AC78),2),""))</f>
        <v/>
      </c>
      <c r="AK78" s="78" t="str">
        <f aca="false">IF(OR(B78="",AB78="",AC78="",AE78=""),"",IFERROR(ROUND(IF(J78="Short",AB78-AE78,AE78-AB78)/ABS(AB78-AC78),2),""))</f>
        <v/>
      </c>
      <c r="AL78" s="68" t="str">
        <f aca="false">IF(AK78="","",IF(ABS(AK78)&lt;=Settings!$C$6,"BE",IF(AK78&gt;0,"Win","Loss")))</f>
        <v/>
      </c>
      <c r="AM78" s="79" t="str">
        <f aca="false">IF(OR(AK78="",AI78=""),"",ROUND(AK78*AI78-N(AH78),2))</f>
        <v/>
      </c>
      <c r="AN78" s="76" t="str">
        <f aca="false">IF(AM78="","",ROUND(BK78+SUMIFS(AM$6:AM78,BJ$6:BJ78,BJ78),2))</f>
        <v/>
      </c>
      <c r="AO78" s="78" t="str">
        <f aca="false">IF(AK78="","",ROUND(SUMIFS(AK$6:AK78,BJ$6:BJ78,BJ78),2))</f>
        <v/>
      </c>
      <c r="AP78" s="80" t="str">
        <f aca="false">IF(OR(AK78="",BL78=""),"",IFERROR(ROUND(IF(J78="Short",AB78-AE78,AE78-AB78)/BL78,1),""))</f>
        <v/>
      </c>
      <c r="AQ78" s="66" t="str">
        <f aca="false">IF(OR(G78="",H78=""),"",ROUND(MOD(H78-G78,1)*1440,0))</f>
        <v/>
      </c>
      <c r="AR78" s="68" t="str">
        <f aca="false">IF(AQ78="","",IF(AQ78&lt;15,"Under 15m",IF(AQ78&lt;60,"15-60m",IF(AQ78&lt;240,"1-4 hours","4+ hours"))))</f>
        <v/>
      </c>
      <c r="AS78" s="66" t="str">
        <f aca="false">IF(G78="","",HOUR(G78))</f>
        <v/>
      </c>
      <c r="AT78" s="80" t="str">
        <f aca="false">IF(OR(Z78="",AB78="",BL78=""),"",IFERROR(ROUND(IF(J78="Short",Z78-AB78,AB78-Z78)/BL78,1),""))</f>
        <v/>
      </c>
      <c r="AU78" s="68" t="str">
        <f aca="false">IF(OR(AA78="",AC78=""),"",IF(AA78=AC78,"No","Yes"))</f>
        <v/>
      </c>
      <c r="AV78" s="81" t="str">
        <f aca="false">IF(OR(B78="",BL78="",BM78="",AB78="",AC78=""),"",IFERROR(ROUND(AI78/(ABS(AB78-AC78)/BL78*BM78),2),""))</f>
        <v/>
      </c>
      <c r="AW78" s="76" t="str">
        <f aca="false">IF(B78="","",ROUND(BK78+SUMIFS(AM$5:AM77,BJ$5:BJ77,BJ78),2))</f>
        <v/>
      </c>
      <c r="AX78" s="66" t="str">
        <f aca="false">IF(B78="","",COUNTIFS(B$6:B78,B78,BJ$6:BJ78,BJ78))</f>
        <v/>
      </c>
      <c r="AY78" s="79" t="str">
        <f aca="false">IF(B78="","",ROUND(SUMIFS(AM$5:AM77,B$5:B77,B78,BJ$5:BJ77,BJ78),2))</f>
        <v/>
      </c>
      <c r="AZ78" s="79" t="str">
        <f aca="false">IF(AM78="","",ROUND(AY78+AM78,2))</f>
        <v/>
      </c>
      <c r="BA78" s="79" t="str">
        <f aca="false">IF(B78="","",ROUND(SUMIFS(AM$5:AM77,B$5:B77,"&gt;="&amp;(B78-WEEKDAY(B78,2)+1),B$5:B77,"&lt;="&amp;B78,BJ$5:BJ77,BJ78),2))</f>
        <v/>
      </c>
      <c r="BB78" s="68" t="str">
        <f aca="false">IF(B78="","",IF(AND(AF78&lt;&gt;"",AV78&lt;&gt;"",N(AF78)&gt;N(AV78)*(1+Settings!$C$13)),"Oversized",IF(AX78&gt;Settings!$C$10,"Overtraded",IF(AY78&lt;=-Settings!$C$11*(AW78-AY78),"Daily loss hit",IF(BA78&lt;=-Settings!$C$12*(AW78-BA78),"Weekly loss hit","OK")))))</f>
        <v/>
      </c>
      <c r="BC78" s="69"/>
      <c r="BD78" s="69"/>
      <c r="BE78" s="69"/>
      <c r="BF78" s="73"/>
      <c r="BG78" s="73"/>
      <c r="BH78" s="71"/>
      <c r="BI78" s="71"/>
      <c r="BJ78" s="68" t="str">
        <f aca="false">IF(B78="","",IF(E78="",Settings!$F$5,E78))</f>
        <v/>
      </c>
      <c r="BK78" s="76" t="str">
        <f aca="false">IF(B78="","",IFERROR(INDEX(Settings!$G$5:$G$10,MATCH(BJ78,Settings!$F$5:$F$10,0)),Settings!$G$5))</f>
        <v/>
      </c>
      <c r="BL78" s="82" t="str">
        <f aca="false">IF(I78="","",IFERROR(1/(1/INDEX(Lists!$C$6:$C$17,MATCH(I78,Lists!$B$6:$B$17,0))),""))</f>
        <v/>
      </c>
      <c r="BM78" s="81" t="str">
        <f aca="false">IF(I78="","",IFERROR(1/(1/INDEX(Lists!$D$6:$D$17,MATCH(I78,Lists!$B$6:$B$17,0))),""))</f>
        <v/>
      </c>
      <c r="BN78" s="76" t="str">
        <f aca="false">IF(AN78="","",MAX(BK78,_xlfn.MAXIFS(AN$6:AN78,BJ$6:BJ78,BJ78)))</f>
        <v/>
      </c>
      <c r="BO78" s="83" t="str">
        <f aca="false">IF(AN78="","",(AN78-BN78)/BN78)</f>
        <v/>
      </c>
      <c r="BP78" s="66" t="n">
        <f aca="false">IF(OR(B78="",AL78=""),0,IF(OR(Settings!$C$28="All Accounts",BJ78=Settings!$C$28),1,0))</f>
        <v>0</v>
      </c>
      <c r="BQ78" s="66" t="str">
        <f aca="false">IF(BP78=1,SUM(BP$6:BP78),"")</f>
        <v/>
      </c>
      <c r="BR78" s="76" t="str">
        <f aca="false">IF(BP78=1,ROUND(Settings!$C$29+SUMIFS(AM$6:AM78,BP$6:BP78,1),2),"")</f>
        <v/>
      </c>
      <c r="BS78" s="76" t="str">
        <f aca="false">IF(BP78=1,MAX(Settings!$C$29,MAX(BR$6:BR78)),"")</f>
        <v/>
      </c>
      <c r="BT78" s="83" t="str">
        <f aca="false">IF(BP78=1,(BR78-BS78)/BS78,"")</f>
        <v/>
      </c>
      <c r="BU78" s="66" t="str">
        <f aca="false">IF(BP78=1,IF(AL78="Win",1+IF(BQ78=1,0,INDEX(BU$5:BU77,MATCH(BQ78-1,BQ$5:BQ77,0))),0),"")</f>
        <v/>
      </c>
      <c r="BV78" s="66" t="str">
        <f aca="false">IF(BP78=1,IF(AL78="Loss",1+IF(BQ78=1,0,INDEX(BV$5:BV77,MATCH(BQ78-1,BQ$5:BQ77,0))),0),"")</f>
        <v/>
      </c>
    </row>
    <row r="79" customFormat="false" ht="15" hidden="false" customHeight="false" outlineLevel="0" collapsed="false">
      <c r="A79" s="66" t="str">
        <f aca="false">IF(B79="","",ROW()-5)</f>
        <v/>
      </c>
      <c r="B79" s="67"/>
      <c r="C79" s="68" t="str">
        <f aca="false">IF(B79="","",CHOOSE(WEEKDAY(B79,2),"Mon","Tue","Wed","Thu","Fri","Sat","Sun"))</f>
        <v/>
      </c>
      <c r="D79" s="66" t="str">
        <f aca="false">IF(B79="","",WEEKNUM(B79,2))</f>
        <v/>
      </c>
      <c r="E79" s="69"/>
      <c r="F79" s="69"/>
      <c r="G79" s="70"/>
      <c r="H79" s="70"/>
      <c r="I79" s="69"/>
      <c r="J79" s="69"/>
      <c r="K79" s="69"/>
      <c r="L79" s="71"/>
      <c r="M79" s="69"/>
      <c r="N79" s="69"/>
      <c r="O79" s="69"/>
      <c r="P79" s="71"/>
      <c r="Q79" s="69"/>
      <c r="R79" s="69"/>
      <c r="S79" s="69"/>
      <c r="T79" s="69"/>
      <c r="U79" s="69"/>
      <c r="V79" s="69"/>
      <c r="W79" s="69"/>
      <c r="X79" s="66" t="str">
        <f aca="false">IF(B79="","",COUNTIF(Q79:W79,"Yes"))</f>
        <v/>
      </c>
      <c r="Y79" s="68" t="str">
        <f aca="false">IF(B79="","",IF(X79&gt;=Settings!$C$16,"A+",IF(X79&gt;=Settings!$C$17,"A",IF(X79&gt;=Settings!$C$18,"B","C"))))</f>
        <v/>
      </c>
      <c r="Z79" s="72"/>
      <c r="AA79" s="72"/>
      <c r="AB79" s="72"/>
      <c r="AC79" s="72"/>
      <c r="AD79" s="72"/>
      <c r="AE79" s="72"/>
      <c r="AF79" s="73"/>
      <c r="AG79" s="74"/>
      <c r="AH79" s="75"/>
      <c r="AI79" s="76" t="str">
        <f aca="false">IF(B79="","",ROUND(IF(AG79="",Settings!$C$5,AG79)*AW79,2))</f>
        <v/>
      </c>
      <c r="AJ79" s="77" t="str">
        <f aca="false">IF(OR(B79="",AB79="",AC79="",AD79=""),"",IFERROR(ROUND(ABS(AD79-AB79)/ABS(AB79-AC79),2),""))</f>
        <v/>
      </c>
      <c r="AK79" s="78" t="str">
        <f aca="false">IF(OR(B79="",AB79="",AC79="",AE79=""),"",IFERROR(ROUND(IF(J79="Short",AB79-AE79,AE79-AB79)/ABS(AB79-AC79),2),""))</f>
        <v/>
      </c>
      <c r="AL79" s="68" t="str">
        <f aca="false">IF(AK79="","",IF(ABS(AK79)&lt;=Settings!$C$6,"BE",IF(AK79&gt;0,"Win","Loss")))</f>
        <v/>
      </c>
      <c r="AM79" s="79" t="str">
        <f aca="false">IF(OR(AK79="",AI79=""),"",ROUND(AK79*AI79-N(AH79),2))</f>
        <v/>
      </c>
      <c r="AN79" s="76" t="str">
        <f aca="false">IF(AM79="","",ROUND(BK79+SUMIFS(AM$6:AM79,BJ$6:BJ79,BJ79),2))</f>
        <v/>
      </c>
      <c r="AO79" s="78" t="str">
        <f aca="false">IF(AK79="","",ROUND(SUMIFS(AK$6:AK79,BJ$6:BJ79,BJ79),2))</f>
        <v/>
      </c>
      <c r="AP79" s="80" t="str">
        <f aca="false">IF(OR(AK79="",BL79=""),"",IFERROR(ROUND(IF(J79="Short",AB79-AE79,AE79-AB79)/BL79,1),""))</f>
        <v/>
      </c>
      <c r="AQ79" s="66" t="str">
        <f aca="false">IF(OR(G79="",H79=""),"",ROUND(MOD(H79-G79,1)*1440,0))</f>
        <v/>
      </c>
      <c r="AR79" s="68" t="str">
        <f aca="false">IF(AQ79="","",IF(AQ79&lt;15,"Under 15m",IF(AQ79&lt;60,"15-60m",IF(AQ79&lt;240,"1-4 hours","4+ hours"))))</f>
        <v/>
      </c>
      <c r="AS79" s="66" t="str">
        <f aca="false">IF(G79="","",HOUR(G79))</f>
        <v/>
      </c>
      <c r="AT79" s="80" t="str">
        <f aca="false">IF(OR(Z79="",AB79="",BL79=""),"",IFERROR(ROUND(IF(J79="Short",Z79-AB79,AB79-Z79)/BL79,1),""))</f>
        <v/>
      </c>
      <c r="AU79" s="68" t="str">
        <f aca="false">IF(OR(AA79="",AC79=""),"",IF(AA79=AC79,"No","Yes"))</f>
        <v/>
      </c>
      <c r="AV79" s="81" t="str">
        <f aca="false">IF(OR(B79="",BL79="",BM79="",AB79="",AC79=""),"",IFERROR(ROUND(AI79/(ABS(AB79-AC79)/BL79*BM79),2),""))</f>
        <v/>
      </c>
      <c r="AW79" s="76" t="str">
        <f aca="false">IF(B79="","",ROUND(BK79+SUMIFS(AM$5:AM78,BJ$5:BJ78,BJ79),2))</f>
        <v/>
      </c>
      <c r="AX79" s="66" t="str">
        <f aca="false">IF(B79="","",COUNTIFS(B$6:B79,B79,BJ$6:BJ79,BJ79))</f>
        <v/>
      </c>
      <c r="AY79" s="79" t="str">
        <f aca="false">IF(B79="","",ROUND(SUMIFS(AM$5:AM78,B$5:B78,B79,BJ$5:BJ78,BJ79),2))</f>
        <v/>
      </c>
      <c r="AZ79" s="79" t="str">
        <f aca="false">IF(AM79="","",ROUND(AY79+AM79,2))</f>
        <v/>
      </c>
      <c r="BA79" s="79" t="str">
        <f aca="false">IF(B79="","",ROUND(SUMIFS(AM$5:AM78,B$5:B78,"&gt;="&amp;(B79-WEEKDAY(B79,2)+1),B$5:B78,"&lt;="&amp;B79,BJ$5:BJ78,BJ79),2))</f>
        <v/>
      </c>
      <c r="BB79" s="68" t="str">
        <f aca="false">IF(B79="","",IF(AND(AF79&lt;&gt;"",AV79&lt;&gt;"",N(AF79)&gt;N(AV79)*(1+Settings!$C$13)),"Oversized",IF(AX79&gt;Settings!$C$10,"Overtraded",IF(AY79&lt;=-Settings!$C$11*(AW79-AY79),"Daily loss hit",IF(BA79&lt;=-Settings!$C$12*(AW79-BA79),"Weekly loss hit","OK")))))</f>
        <v/>
      </c>
      <c r="BC79" s="69"/>
      <c r="BD79" s="69"/>
      <c r="BE79" s="69"/>
      <c r="BF79" s="73"/>
      <c r="BG79" s="73"/>
      <c r="BH79" s="71"/>
      <c r="BI79" s="71"/>
      <c r="BJ79" s="68" t="str">
        <f aca="false">IF(B79="","",IF(E79="",Settings!$F$5,E79))</f>
        <v/>
      </c>
      <c r="BK79" s="76" t="str">
        <f aca="false">IF(B79="","",IFERROR(INDEX(Settings!$G$5:$G$10,MATCH(BJ79,Settings!$F$5:$F$10,0)),Settings!$G$5))</f>
        <v/>
      </c>
      <c r="BL79" s="82" t="str">
        <f aca="false">IF(I79="","",IFERROR(1/(1/INDEX(Lists!$C$6:$C$17,MATCH(I79,Lists!$B$6:$B$17,0))),""))</f>
        <v/>
      </c>
      <c r="BM79" s="81" t="str">
        <f aca="false">IF(I79="","",IFERROR(1/(1/INDEX(Lists!$D$6:$D$17,MATCH(I79,Lists!$B$6:$B$17,0))),""))</f>
        <v/>
      </c>
      <c r="BN79" s="76" t="str">
        <f aca="false">IF(AN79="","",MAX(BK79,_xlfn.MAXIFS(AN$6:AN79,BJ$6:BJ79,BJ79)))</f>
        <v/>
      </c>
      <c r="BO79" s="83" t="str">
        <f aca="false">IF(AN79="","",(AN79-BN79)/BN79)</f>
        <v/>
      </c>
      <c r="BP79" s="66" t="n">
        <f aca="false">IF(OR(B79="",AL79=""),0,IF(OR(Settings!$C$28="All Accounts",BJ79=Settings!$C$28),1,0))</f>
        <v>0</v>
      </c>
      <c r="BQ79" s="66" t="str">
        <f aca="false">IF(BP79=1,SUM(BP$6:BP79),"")</f>
        <v/>
      </c>
      <c r="BR79" s="76" t="str">
        <f aca="false">IF(BP79=1,ROUND(Settings!$C$29+SUMIFS(AM$6:AM79,BP$6:BP79,1),2),"")</f>
        <v/>
      </c>
      <c r="BS79" s="76" t="str">
        <f aca="false">IF(BP79=1,MAX(Settings!$C$29,MAX(BR$6:BR79)),"")</f>
        <v/>
      </c>
      <c r="BT79" s="83" t="str">
        <f aca="false">IF(BP79=1,(BR79-BS79)/BS79,"")</f>
        <v/>
      </c>
      <c r="BU79" s="66" t="str">
        <f aca="false">IF(BP79=1,IF(AL79="Win",1+IF(BQ79=1,0,INDEX(BU$5:BU78,MATCH(BQ79-1,BQ$5:BQ78,0))),0),"")</f>
        <v/>
      </c>
      <c r="BV79" s="66" t="str">
        <f aca="false">IF(BP79=1,IF(AL79="Loss",1+IF(BQ79=1,0,INDEX(BV$5:BV78,MATCH(BQ79-1,BQ$5:BQ78,0))),0),"")</f>
        <v/>
      </c>
    </row>
    <row r="80" customFormat="false" ht="15" hidden="false" customHeight="false" outlineLevel="0" collapsed="false">
      <c r="A80" s="66" t="str">
        <f aca="false">IF(B80="","",ROW()-5)</f>
        <v/>
      </c>
      <c r="B80" s="67"/>
      <c r="C80" s="68" t="str">
        <f aca="false">IF(B80="","",CHOOSE(WEEKDAY(B80,2),"Mon","Tue","Wed","Thu","Fri","Sat","Sun"))</f>
        <v/>
      </c>
      <c r="D80" s="66" t="str">
        <f aca="false">IF(B80="","",WEEKNUM(B80,2))</f>
        <v/>
      </c>
      <c r="E80" s="69"/>
      <c r="F80" s="69"/>
      <c r="G80" s="70"/>
      <c r="H80" s="70"/>
      <c r="I80" s="69"/>
      <c r="J80" s="69"/>
      <c r="K80" s="69"/>
      <c r="L80" s="71"/>
      <c r="M80" s="69"/>
      <c r="N80" s="69"/>
      <c r="O80" s="69"/>
      <c r="P80" s="71"/>
      <c r="Q80" s="69"/>
      <c r="R80" s="69"/>
      <c r="S80" s="69"/>
      <c r="T80" s="69"/>
      <c r="U80" s="69"/>
      <c r="V80" s="69"/>
      <c r="W80" s="69"/>
      <c r="X80" s="66" t="str">
        <f aca="false">IF(B80="","",COUNTIF(Q80:W80,"Yes"))</f>
        <v/>
      </c>
      <c r="Y80" s="68" t="str">
        <f aca="false">IF(B80="","",IF(X80&gt;=Settings!$C$16,"A+",IF(X80&gt;=Settings!$C$17,"A",IF(X80&gt;=Settings!$C$18,"B","C"))))</f>
        <v/>
      </c>
      <c r="Z80" s="72"/>
      <c r="AA80" s="72"/>
      <c r="AB80" s="72"/>
      <c r="AC80" s="72"/>
      <c r="AD80" s="72"/>
      <c r="AE80" s="72"/>
      <c r="AF80" s="73"/>
      <c r="AG80" s="74"/>
      <c r="AH80" s="75"/>
      <c r="AI80" s="76" t="str">
        <f aca="false">IF(B80="","",ROUND(IF(AG80="",Settings!$C$5,AG80)*AW80,2))</f>
        <v/>
      </c>
      <c r="AJ80" s="77" t="str">
        <f aca="false">IF(OR(B80="",AB80="",AC80="",AD80=""),"",IFERROR(ROUND(ABS(AD80-AB80)/ABS(AB80-AC80),2),""))</f>
        <v/>
      </c>
      <c r="AK80" s="78" t="str">
        <f aca="false">IF(OR(B80="",AB80="",AC80="",AE80=""),"",IFERROR(ROUND(IF(J80="Short",AB80-AE80,AE80-AB80)/ABS(AB80-AC80),2),""))</f>
        <v/>
      </c>
      <c r="AL80" s="68" t="str">
        <f aca="false">IF(AK80="","",IF(ABS(AK80)&lt;=Settings!$C$6,"BE",IF(AK80&gt;0,"Win","Loss")))</f>
        <v/>
      </c>
      <c r="AM80" s="79" t="str">
        <f aca="false">IF(OR(AK80="",AI80=""),"",ROUND(AK80*AI80-N(AH80),2))</f>
        <v/>
      </c>
      <c r="AN80" s="76" t="str">
        <f aca="false">IF(AM80="","",ROUND(BK80+SUMIFS(AM$6:AM80,BJ$6:BJ80,BJ80),2))</f>
        <v/>
      </c>
      <c r="AO80" s="78" t="str">
        <f aca="false">IF(AK80="","",ROUND(SUMIFS(AK$6:AK80,BJ$6:BJ80,BJ80),2))</f>
        <v/>
      </c>
      <c r="AP80" s="80" t="str">
        <f aca="false">IF(OR(AK80="",BL80=""),"",IFERROR(ROUND(IF(J80="Short",AB80-AE80,AE80-AB80)/BL80,1),""))</f>
        <v/>
      </c>
      <c r="AQ80" s="66" t="str">
        <f aca="false">IF(OR(G80="",H80=""),"",ROUND(MOD(H80-G80,1)*1440,0))</f>
        <v/>
      </c>
      <c r="AR80" s="68" t="str">
        <f aca="false">IF(AQ80="","",IF(AQ80&lt;15,"Under 15m",IF(AQ80&lt;60,"15-60m",IF(AQ80&lt;240,"1-4 hours","4+ hours"))))</f>
        <v/>
      </c>
      <c r="AS80" s="66" t="str">
        <f aca="false">IF(G80="","",HOUR(G80))</f>
        <v/>
      </c>
      <c r="AT80" s="80" t="str">
        <f aca="false">IF(OR(Z80="",AB80="",BL80=""),"",IFERROR(ROUND(IF(J80="Short",Z80-AB80,AB80-Z80)/BL80,1),""))</f>
        <v/>
      </c>
      <c r="AU80" s="68" t="str">
        <f aca="false">IF(OR(AA80="",AC80=""),"",IF(AA80=AC80,"No","Yes"))</f>
        <v/>
      </c>
      <c r="AV80" s="81" t="str">
        <f aca="false">IF(OR(B80="",BL80="",BM80="",AB80="",AC80=""),"",IFERROR(ROUND(AI80/(ABS(AB80-AC80)/BL80*BM80),2),""))</f>
        <v/>
      </c>
      <c r="AW80" s="76" t="str">
        <f aca="false">IF(B80="","",ROUND(BK80+SUMIFS(AM$5:AM79,BJ$5:BJ79,BJ80),2))</f>
        <v/>
      </c>
      <c r="AX80" s="66" t="str">
        <f aca="false">IF(B80="","",COUNTIFS(B$6:B80,B80,BJ$6:BJ80,BJ80))</f>
        <v/>
      </c>
      <c r="AY80" s="79" t="str">
        <f aca="false">IF(B80="","",ROUND(SUMIFS(AM$5:AM79,B$5:B79,B80,BJ$5:BJ79,BJ80),2))</f>
        <v/>
      </c>
      <c r="AZ80" s="79" t="str">
        <f aca="false">IF(AM80="","",ROUND(AY80+AM80,2))</f>
        <v/>
      </c>
      <c r="BA80" s="79" t="str">
        <f aca="false">IF(B80="","",ROUND(SUMIFS(AM$5:AM79,B$5:B79,"&gt;="&amp;(B80-WEEKDAY(B80,2)+1),B$5:B79,"&lt;="&amp;B80,BJ$5:BJ79,BJ80),2))</f>
        <v/>
      </c>
      <c r="BB80" s="68" t="str">
        <f aca="false">IF(B80="","",IF(AND(AF80&lt;&gt;"",AV80&lt;&gt;"",N(AF80)&gt;N(AV80)*(1+Settings!$C$13)),"Oversized",IF(AX80&gt;Settings!$C$10,"Overtraded",IF(AY80&lt;=-Settings!$C$11*(AW80-AY80),"Daily loss hit",IF(BA80&lt;=-Settings!$C$12*(AW80-BA80),"Weekly loss hit","OK")))))</f>
        <v/>
      </c>
      <c r="BC80" s="69"/>
      <c r="BD80" s="69"/>
      <c r="BE80" s="69"/>
      <c r="BF80" s="73"/>
      <c r="BG80" s="73"/>
      <c r="BH80" s="71"/>
      <c r="BI80" s="71"/>
      <c r="BJ80" s="68" t="str">
        <f aca="false">IF(B80="","",IF(E80="",Settings!$F$5,E80))</f>
        <v/>
      </c>
      <c r="BK80" s="76" t="str">
        <f aca="false">IF(B80="","",IFERROR(INDEX(Settings!$G$5:$G$10,MATCH(BJ80,Settings!$F$5:$F$10,0)),Settings!$G$5))</f>
        <v/>
      </c>
      <c r="BL80" s="82" t="str">
        <f aca="false">IF(I80="","",IFERROR(1/(1/INDEX(Lists!$C$6:$C$17,MATCH(I80,Lists!$B$6:$B$17,0))),""))</f>
        <v/>
      </c>
      <c r="BM80" s="81" t="str">
        <f aca="false">IF(I80="","",IFERROR(1/(1/INDEX(Lists!$D$6:$D$17,MATCH(I80,Lists!$B$6:$B$17,0))),""))</f>
        <v/>
      </c>
      <c r="BN80" s="76" t="str">
        <f aca="false">IF(AN80="","",MAX(BK80,_xlfn.MAXIFS(AN$6:AN80,BJ$6:BJ80,BJ80)))</f>
        <v/>
      </c>
      <c r="BO80" s="83" t="str">
        <f aca="false">IF(AN80="","",(AN80-BN80)/BN80)</f>
        <v/>
      </c>
      <c r="BP80" s="66" t="n">
        <f aca="false">IF(OR(B80="",AL80=""),0,IF(OR(Settings!$C$28="All Accounts",BJ80=Settings!$C$28),1,0))</f>
        <v>0</v>
      </c>
      <c r="BQ80" s="66" t="str">
        <f aca="false">IF(BP80=1,SUM(BP$6:BP80),"")</f>
        <v/>
      </c>
      <c r="BR80" s="76" t="str">
        <f aca="false">IF(BP80=1,ROUND(Settings!$C$29+SUMIFS(AM$6:AM80,BP$6:BP80,1),2),"")</f>
        <v/>
      </c>
      <c r="BS80" s="76" t="str">
        <f aca="false">IF(BP80=1,MAX(Settings!$C$29,MAX(BR$6:BR80)),"")</f>
        <v/>
      </c>
      <c r="BT80" s="83" t="str">
        <f aca="false">IF(BP80=1,(BR80-BS80)/BS80,"")</f>
        <v/>
      </c>
      <c r="BU80" s="66" t="str">
        <f aca="false">IF(BP80=1,IF(AL80="Win",1+IF(BQ80=1,0,INDEX(BU$5:BU79,MATCH(BQ80-1,BQ$5:BQ79,0))),0),"")</f>
        <v/>
      </c>
      <c r="BV80" s="66" t="str">
        <f aca="false">IF(BP80=1,IF(AL80="Loss",1+IF(BQ80=1,0,INDEX(BV$5:BV79,MATCH(BQ80-1,BQ$5:BQ79,0))),0),"")</f>
        <v/>
      </c>
    </row>
    <row r="81" customFormat="false" ht="15" hidden="false" customHeight="false" outlineLevel="0" collapsed="false">
      <c r="A81" s="66" t="str">
        <f aca="false">IF(B81="","",ROW()-5)</f>
        <v/>
      </c>
      <c r="B81" s="67"/>
      <c r="C81" s="68" t="str">
        <f aca="false">IF(B81="","",CHOOSE(WEEKDAY(B81,2),"Mon","Tue","Wed","Thu","Fri","Sat","Sun"))</f>
        <v/>
      </c>
      <c r="D81" s="66" t="str">
        <f aca="false">IF(B81="","",WEEKNUM(B81,2))</f>
        <v/>
      </c>
      <c r="E81" s="69"/>
      <c r="F81" s="69"/>
      <c r="G81" s="70"/>
      <c r="H81" s="70"/>
      <c r="I81" s="69"/>
      <c r="J81" s="69"/>
      <c r="K81" s="69"/>
      <c r="L81" s="71"/>
      <c r="M81" s="69"/>
      <c r="N81" s="69"/>
      <c r="O81" s="69"/>
      <c r="P81" s="71"/>
      <c r="Q81" s="69"/>
      <c r="R81" s="69"/>
      <c r="S81" s="69"/>
      <c r="T81" s="69"/>
      <c r="U81" s="69"/>
      <c r="V81" s="69"/>
      <c r="W81" s="69"/>
      <c r="X81" s="66" t="str">
        <f aca="false">IF(B81="","",COUNTIF(Q81:W81,"Yes"))</f>
        <v/>
      </c>
      <c r="Y81" s="68" t="str">
        <f aca="false">IF(B81="","",IF(X81&gt;=Settings!$C$16,"A+",IF(X81&gt;=Settings!$C$17,"A",IF(X81&gt;=Settings!$C$18,"B","C"))))</f>
        <v/>
      </c>
      <c r="Z81" s="72"/>
      <c r="AA81" s="72"/>
      <c r="AB81" s="72"/>
      <c r="AC81" s="72"/>
      <c r="AD81" s="72"/>
      <c r="AE81" s="72"/>
      <c r="AF81" s="73"/>
      <c r="AG81" s="74"/>
      <c r="AH81" s="75"/>
      <c r="AI81" s="76" t="str">
        <f aca="false">IF(B81="","",ROUND(IF(AG81="",Settings!$C$5,AG81)*AW81,2))</f>
        <v/>
      </c>
      <c r="AJ81" s="77" t="str">
        <f aca="false">IF(OR(B81="",AB81="",AC81="",AD81=""),"",IFERROR(ROUND(ABS(AD81-AB81)/ABS(AB81-AC81),2),""))</f>
        <v/>
      </c>
      <c r="AK81" s="78" t="str">
        <f aca="false">IF(OR(B81="",AB81="",AC81="",AE81=""),"",IFERROR(ROUND(IF(J81="Short",AB81-AE81,AE81-AB81)/ABS(AB81-AC81),2),""))</f>
        <v/>
      </c>
      <c r="AL81" s="68" t="str">
        <f aca="false">IF(AK81="","",IF(ABS(AK81)&lt;=Settings!$C$6,"BE",IF(AK81&gt;0,"Win","Loss")))</f>
        <v/>
      </c>
      <c r="AM81" s="79" t="str">
        <f aca="false">IF(OR(AK81="",AI81=""),"",ROUND(AK81*AI81-N(AH81),2))</f>
        <v/>
      </c>
      <c r="AN81" s="76" t="str">
        <f aca="false">IF(AM81="","",ROUND(BK81+SUMIFS(AM$6:AM81,BJ$6:BJ81,BJ81),2))</f>
        <v/>
      </c>
      <c r="AO81" s="78" t="str">
        <f aca="false">IF(AK81="","",ROUND(SUMIFS(AK$6:AK81,BJ$6:BJ81,BJ81),2))</f>
        <v/>
      </c>
      <c r="AP81" s="80" t="str">
        <f aca="false">IF(OR(AK81="",BL81=""),"",IFERROR(ROUND(IF(J81="Short",AB81-AE81,AE81-AB81)/BL81,1),""))</f>
        <v/>
      </c>
      <c r="AQ81" s="66" t="str">
        <f aca="false">IF(OR(G81="",H81=""),"",ROUND(MOD(H81-G81,1)*1440,0))</f>
        <v/>
      </c>
      <c r="AR81" s="68" t="str">
        <f aca="false">IF(AQ81="","",IF(AQ81&lt;15,"Under 15m",IF(AQ81&lt;60,"15-60m",IF(AQ81&lt;240,"1-4 hours","4+ hours"))))</f>
        <v/>
      </c>
      <c r="AS81" s="66" t="str">
        <f aca="false">IF(G81="","",HOUR(G81))</f>
        <v/>
      </c>
      <c r="AT81" s="80" t="str">
        <f aca="false">IF(OR(Z81="",AB81="",BL81=""),"",IFERROR(ROUND(IF(J81="Short",Z81-AB81,AB81-Z81)/BL81,1),""))</f>
        <v/>
      </c>
      <c r="AU81" s="68" t="str">
        <f aca="false">IF(OR(AA81="",AC81=""),"",IF(AA81=AC81,"No","Yes"))</f>
        <v/>
      </c>
      <c r="AV81" s="81" t="str">
        <f aca="false">IF(OR(B81="",BL81="",BM81="",AB81="",AC81=""),"",IFERROR(ROUND(AI81/(ABS(AB81-AC81)/BL81*BM81),2),""))</f>
        <v/>
      </c>
      <c r="AW81" s="76" t="str">
        <f aca="false">IF(B81="","",ROUND(BK81+SUMIFS(AM$5:AM80,BJ$5:BJ80,BJ81),2))</f>
        <v/>
      </c>
      <c r="AX81" s="66" t="str">
        <f aca="false">IF(B81="","",COUNTIFS(B$6:B81,B81,BJ$6:BJ81,BJ81))</f>
        <v/>
      </c>
      <c r="AY81" s="79" t="str">
        <f aca="false">IF(B81="","",ROUND(SUMIFS(AM$5:AM80,B$5:B80,B81,BJ$5:BJ80,BJ81),2))</f>
        <v/>
      </c>
      <c r="AZ81" s="79" t="str">
        <f aca="false">IF(AM81="","",ROUND(AY81+AM81,2))</f>
        <v/>
      </c>
      <c r="BA81" s="79" t="str">
        <f aca="false">IF(B81="","",ROUND(SUMIFS(AM$5:AM80,B$5:B80,"&gt;="&amp;(B81-WEEKDAY(B81,2)+1),B$5:B80,"&lt;="&amp;B81,BJ$5:BJ80,BJ81),2))</f>
        <v/>
      </c>
      <c r="BB81" s="68" t="str">
        <f aca="false">IF(B81="","",IF(AND(AF81&lt;&gt;"",AV81&lt;&gt;"",N(AF81)&gt;N(AV81)*(1+Settings!$C$13)),"Oversized",IF(AX81&gt;Settings!$C$10,"Overtraded",IF(AY81&lt;=-Settings!$C$11*(AW81-AY81),"Daily loss hit",IF(BA81&lt;=-Settings!$C$12*(AW81-BA81),"Weekly loss hit","OK")))))</f>
        <v/>
      </c>
      <c r="BC81" s="69"/>
      <c r="BD81" s="69"/>
      <c r="BE81" s="69"/>
      <c r="BF81" s="73"/>
      <c r="BG81" s="73"/>
      <c r="BH81" s="71"/>
      <c r="BI81" s="71"/>
      <c r="BJ81" s="68" t="str">
        <f aca="false">IF(B81="","",IF(E81="",Settings!$F$5,E81))</f>
        <v/>
      </c>
      <c r="BK81" s="76" t="str">
        <f aca="false">IF(B81="","",IFERROR(INDEX(Settings!$G$5:$G$10,MATCH(BJ81,Settings!$F$5:$F$10,0)),Settings!$G$5))</f>
        <v/>
      </c>
      <c r="BL81" s="82" t="str">
        <f aca="false">IF(I81="","",IFERROR(1/(1/INDEX(Lists!$C$6:$C$17,MATCH(I81,Lists!$B$6:$B$17,0))),""))</f>
        <v/>
      </c>
      <c r="BM81" s="81" t="str">
        <f aca="false">IF(I81="","",IFERROR(1/(1/INDEX(Lists!$D$6:$D$17,MATCH(I81,Lists!$B$6:$B$17,0))),""))</f>
        <v/>
      </c>
      <c r="BN81" s="76" t="str">
        <f aca="false">IF(AN81="","",MAX(BK81,_xlfn.MAXIFS(AN$6:AN81,BJ$6:BJ81,BJ81)))</f>
        <v/>
      </c>
      <c r="BO81" s="83" t="str">
        <f aca="false">IF(AN81="","",(AN81-BN81)/BN81)</f>
        <v/>
      </c>
      <c r="BP81" s="66" t="n">
        <f aca="false">IF(OR(B81="",AL81=""),0,IF(OR(Settings!$C$28="All Accounts",BJ81=Settings!$C$28),1,0))</f>
        <v>0</v>
      </c>
      <c r="BQ81" s="66" t="str">
        <f aca="false">IF(BP81=1,SUM(BP$6:BP81),"")</f>
        <v/>
      </c>
      <c r="BR81" s="76" t="str">
        <f aca="false">IF(BP81=1,ROUND(Settings!$C$29+SUMIFS(AM$6:AM81,BP$6:BP81,1),2),"")</f>
        <v/>
      </c>
      <c r="BS81" s="76" t="str">
        <f aca="false">IF(BP81=1,MAX(Settings!$C$29,MAX(BR$6:BR81)),"")</f>
        <v/>
      </c>
      <c r="BT81" s="83" t="str">
        <f aca="false">IF(BP81=1,(BR81-BS81)/BS81,"")</f>
        <v/>
      </c>
      <c r="BU81" s="66" t="str">
        <f aca="false">IF(BP81=1,IF(AL81="Win",1+IF(BQ81=1,0,INDEX(BU$5:BU80,MATCH(BQ81-1,BQ$5:BQ80,0))),0),"")</f>
        <v/>
      </c>
      <c r="BV81" s="66" t="str">
        <f aca="false">IF(BP81=1,IF(AL81="Loss",1+IF(BQ81=1,0,INDEX(BV$5:BV80,MATCH(BQ81-1,BQ$5:BQ80,0))),0),"")</f>
        <v/>
      </c>
    </row>
    <row r="82" customFormat="false" ht="15" hidden="false" customHeight="false" outlineLevel="0" collapsed="false">
      <c r="A82" s="66" t="str">
        <f aca="false">IF(B82="","",ROW()-5)</f>
        <v/>
      </c>
      <c r="B82" s="67"/>
      <c r="C82" s="68" t="str">
        <f aca="false">IF(B82="","",CHOOSE(WEEKDAY(B82,2),"Mon","Tue","Wed","Thu","Fri","Sat","Sun"))</f>
        <v/>
      </c>
      <c r="D82" s="66" t="str">
        <f aca="false">IF(B82="","",WEEKNUM(B82,2))</f>
        <v/>
      </c>
      <c r="E82" s="69"/>
      <c r="F82" s="69"/>
      <c r="G82" s="70"/>
      <c r="H82" s="70"/>
      <c r="I82" s="69"/>
      <c r="J82" s="69"/>
      <c r="K82" s="69"/>
      <c r="L82" s="71"/>
      <c r="M82" s="69"/>
      <c r="N82" s="69"/>
      <c r="O82" s="69"/>
      <c r="P82" s="71"/>
      <c r="Q82" s="69"/>
      <c r="R82" s="69"/>
      <c r="S82" s="69"/>
      <c r="T82" s="69"/>
      <c r="U82" s="69"/>
      <c r="V82" s="69"/>
      <c r="W82" s="69"/>
      <c r="X82" s="66" t="str">
        <f aca="false">IF(B82="","",COUNTIF(Q82:W82,"Yes"))</f>
        <v/>
      </c>
      <c r="Y82" s="68" t="str">
        <f aca="false">IF(B82="","",IF(X82&gt;=Settings!$C$16,"A+",IF(X82&gt;=Settings!$C$17,"A",IF(X82&gt;=Settings!$C$18,"B","C"))))</f>
        <v/>
      </c>
      <c r="Z82" s="72"/>
      <c r="AA82" s="72"/>
      <c r="AB82" s="72"/>
      <c r="AC82" s="72"/>
      <c r="AD82" s="72"/>
      <c r="AE82" s="72"/>
      <c r="AF82" s="73"/>
      <c r="AG82" s="74"/>
      <c r="AH82" s="75"/>
      <c r="AI82" s="76" t="str">
        <f aca="false">IF(B82="","",ROUND(IF(AG82="",Settings!$C$5,AG82)*AW82,2))</f>
        <v/>
      </c>
      <c r="AJ82" s="77" t="str">
        <f aca="false">IF(OR(B82="",AB82="",AC82="",AD82=""),"",IFERROR(ROUND(ABS(AD82-AB82)/ABS(AB82-AC82),2),""))</f>
        <v/>
      </c>
      <c r="AK82" s="78" t="str">
        <f aca="false">IF(OR(B82="",AB82="",AC82="",AE82=""),"",IFERROR(ROUND(IF(J82="Short",AB82-AE82,AE82-AB82)/ABS(AB82-AC82),2),""))</f>
        <v/>
      </c>
      <c r="AL82" s="68" t="str">
        <f aca="false">IF(AK82="","",IF(ABS(AK82)&lt;=Settings!$C$6,"BE",IF(AK82&gt;0,"Win","Loss")))</f>
        <v/>
      </c>
      <c r="AM82" s="79" t="str">
        <f aca="false">IF(OR(AK82="",AI82=""),"",ROUND(AK82*AI82-N(AH82),2))</f>
        <v/>
      </c>
      <c r="AN82" s="76" t="str">
        <f aca="false">IF(AM82="","",ROUND(BK82+SUMIFS(AM$6:AM82,BJ$6:BJ82,BJ82),2))</f>
        <v/>
      </c>
      <c r="AO82" s="78" t="str">
        <f aca="false">IF(AK82="","",ROUND(SUMIFS(AK$6:AK82,BJ$6:BJ82,BJ82),2))</f>
        <v/>
      </c>
      <c r="AP82" s="80" t="str">
        <f aca="false">IF(OR(AK82="",BL82=""),"",IFERROR(ROUND(IF(J82="Short",AB82-AE82,AE82-AB82)/BL82,1),""))</f>
        <v/>
      </c>
      <c r="AQ82" s="66" t="str">
        <f aca="false">IF(OR(G82="",H82=""),"",ROUND(MOD(H82-G82,1)*1440,0))</f>
        <v/>
      </c>
      <c r="AR82" s="68" t="str">
        <f aca="false">IF(AQ82="","",IF(AQ82&lt;15,"Under 15m",IF(AQ82&lt;60,"15-60m",IF(AQ82&lt;240,"1-4 hours","4+ hours"))))</f>
        <v/>
      </c>
      <c r="AS82" s="66" t="str">
        <f aca="false">IF(G82="","",HOUR(G82))</f>
        <v/>
      </c>
      <c r="AT82" s="80" t="str">
        <f aca="false">IF(OR(Z82="",AB82="",BL82=""),"",IFERROR(ROUND(IF(J82="Short",Z82-AB82,AB82-Z82)/BL82,1),""))</f>
        <v/>
      </c>
      <c r="AU82" s="68" t="str">
        <f aca="false">IF(OR(AA82="",AC82=""),"",IF(AA82=AC82,"No","Yes"))</f>
        <v/>
      </c>
      <c r="AV82" s="81" t="str">
        <f aca="false">IF(OR(B82="",BL82="",BM82="",AB82="",AC82=""),"",IFERROR(ROUND(AI82/(ABS(AB82-AC82)/BL82*BM82),2),""))</f>
        <v/>
      </c>
      <c r="AW82" s="76" t="str">
        <f aca="false">IF(B82="","",ROUND(BK82+SUMIFS(AM$5:AM81,BJ$5:BJ81,BJ82),2))</f>
        <v/>
      </c>
      <c r="AX82" s="66" t="str">
        <f aca="false">IF(B82="","",COUNTIFS(B$6:B82,B82,BJ$6:BJ82,BJ82))</f>
        <v/>
      </c>
      <c r="AY82" s="79" t="str">
        <f aca="false">IF(B82="","",ROUND(SUMIFS(AM$5:AM81,B$5:B81,B82,BJ$5:BJ81,BJ82),2))</f>
        <v/>
      </c>
      <c r="AZ82" s="79" t="str">
        <f aca="false">IF(AM82="","",ROUND(AY82+AM82,2))</f>
        <v/>
      </c>
      <c r="BA82" s="79" t="str">
        <f aca="false">IF(B82="","",ROUND(SUMIFS(AM$5:AM81,B$5:B81,"&gt;="&amp;(B82-WEEKDAY(B82,2)+1),B$5:B81,"&lt;="&amp;B82,BJ$5:BJ81,BJ82),2))</f>
        <v/>
      </c>
      <c r="BB82" s="68" t="str">
        <f aca="false">IF(B82="","",IF(AND(AF82&lt;&gt;"",AV82&lt;&gt;"",N(AF82)&gt;N(AV82)*(1+Settings!$C$13)),"Oversized",IF(AX82&gt;Settings!$C$10,"Overtraded",IF(AY82&lt;=-Settings!$C$11*(AW82-AY82),"Daily loss hit",IF(BA82&lt;=-Settings!$C$12*(AW82-BA82),"Weekly loss hit","OK")))))</f>
        <v/>
      </c>
      <c r="BC82" s="69"/>
      <c r="BD82" s="69"/>
      <c r="BE82" s="69"/>
      <c r="BF82" s="73"/>
      <c r="BG82" s="73"/>
      <c r="BH82" s="71"/>
      <c r="BI82" s="71"/>
      <c r="BJ82" s="68" t="str">
        <f aca="false">IF(B82="","",IF(E82="",Settings!$F$5,E82))</f>
        <v/>
      </c>
      <c r="BK82" s="76" t="str">
        <f aca="false">IF(B82="","",IFERROR(INDEX(Settings!$G$5:$G$10,MATCH(BJ82,Settings!$F$5:$F$10,0)),Settings!$G$5))</f>
        <v/>
      </c>
      <c r="BL82" s="82" t="str">
        <f aca="false">IF(I82="","",IFERROR(1/(1/INDEX(Lists!$C$6:$C$17,MATCH(I82,Lists!$B$6:$B$17,0))),""))</f>
        <v/>
      </c>
      <c r="BM82" s="81" t="str">
        <f aca="false">IF(I82="","",IFERROR(1/(1/INDEX(Lists!$D$6:$D$17,MATCH(I82,Lists!$B$6:$B$17,0))),""))</f>
        <v/>
      </c>
      <c r="BN82" s="76" t="str">
        <f aca="false">IF(AN82="","",MAX(BK82,_xlfn.MAXIFS(AN$6:AN82,BJ$6:BJ82,BJ82)))</f>
        <v/>
      </c>
      <c r="BO82" s="83" t="str">
        <f aca="false">IF(AN82="","",(AN82-BN82)/BN82)</f>
        <v/>
      </c>
      <c r="BP82" s="66" t="n">
        <f aca="false">IF(OR(B82="",AL82=""),0,IF(OR(Settings!$C$28="All Accounts",BJ82=Settings!$C$28),1,0))</f>
        <v>0</v>
      </c>
      <c r="BQ82" s="66" t="str">
        <f aca="false">IF(BP82=1,SUM(BP$6:BP82),"")</f>
        <v/>
      </c>
      <c r="BR82" s="76" t="str">
        <f aca="false">IF(BP82=1,ROUND(Settings!$C$29+SUMIFS(AM$6:AM82,BP$6:BP82,1),2),"")</f>
        <v/>
      </c>
      <c r="BS82" s="76" t="str">
        <f aca="false">IF(BP82=1,MAX(Settings!$C$29,MAX(BR$6:BR82)),"")</f>
        <v/>
      </c>
      <c r="BT82" s="83" t="str">
        <f aca="false">IF(BP82=1,(BR82-BS82)/BS82,"")</f>
        <v/>
      </c>
      <c r="BU82" s="66" t="str">
        <f aca="false">IF(BP82=1,IF(AL82="Win",1+IF(BQ82=1,0,INDEX(BU$5:BU81,MATCH(BQ82-1,BQ$5:BQ81,0))),0),"")</f>
        <v/>
      </c>
      <c r="BV82" s="66" t="str">
        <f aca="false">IF(BP82=1,IF(AL82="Loss",1+IF(BQ82=1,0,INDEX(BV$5:BV81,MATCH(BQ82-1,BQ$5:BQ81,0))),0),"")</f>
        <v/>
      </c>
    </row>
    <row r="83" customFormat="false" ht="15" hidden="false" customHeight="false" outlineLevel="0" collapsed="false">
      <c r="A83" s="66" t="str">
        <f aca="false">IF(B83="","",ROW()-5)</f>
        <v/>
      </c>
      <c r="B83" s="67"/>
      <c r="C83" s="68" t="str">
        <f aca="false">IF(B83="","",CHOOSE(WEEKDAY(B83,2),"Mon","Tue","Wed","Thu","Fri","Sat","Sun"))</f>
        <v/>
      </c>
      <c r="D83" s="66" t="str">
        <f aca="false">IF(B83="","",WEEKNUM(B83,2))</f>
        <v/>
      </c>
      <c r="E83" s="69"/>
      <c r="F83" s="69"/>
      <c r="G83" s="70"/>
      <c r="H83" s="70"/>
      <c r="I83" s="69"/>
      <c r="J83" s="69"/>
      <c r="K83" s="69"/>
      <c r="L83" s="71"/>
      <c r="M83" s="69"/>
      <c r="N83" s="69"/>
      <c r="O83" s="69"/>
      <c r="P83" s="71"/>
      <c r="Q83" s="69"/>
      <c r="R83" s="69"/>
      <c r="S83" s="69"/>
      <c r="T83" s="69"/>
      <c r="U83" s="69"/>
      <c r="V83" s="69"/>
      <c r="W83" s="69"/>
      <c r="X83" s="66" t="str">
        <f aca="false">IF(B83="","",COUNTIF(Q83:W83,"Yes"))</f>
        <v/>
      </c>
      <c r="Y83" s="68" t="str">
        <f aca="false">IF(B83="","",IF(X83&gt;=Settings!$C$16,"A+",IF(X83&gt;=Settings!$C$17,"A",IF(X83&gt;=Settings!$C$18,"B","C"))))</f>
        <v/>
      </c>
      <c r="Z83" s="72"/>
      <c r="AA83" s="72"/>
      <c r="AB83" s="72"/>
      <c r="AC83" s="72"/>
      <c r="AD83" s="72"/>
      <c r="AE83" s="72"/>
      <c r="AF83" s="73"/>
      <c r="AG83" s="74"/>
      <c r="AH83" s="75"/>
      <c r="AI83" s="76" t="str">
        <f aca="false">IF(B83="","",ROUND(IF(AG83="",Settings!$C$5,AG83)*AW83,2))</f>
        <v/>
      </c>
      <c r="AJ83" s="77" t="str">
        <f aca="false">IF(OR(B83="",AB83="",AC83="",AD83=""),"",IFERROR(ROUND(ABS(AD83-AB83)/ABS(AB83-AC83),2),""))</f>
        <v/>
      </c>
      <c r="AK83" s="78" t="str">
        <f aca="false">IF(OR(B83="",AB83="",AC83="",AE83=""),"",IFERROR(ROUND(IF(J83="Short",AB83-AE83,AE83-AB83)/ABS(AB83-AC83),2),""))</f>
        <v/>
      </c>
      <c r="AL83" s="68" t="str">
        <f aca="false">IF(AK83="","",IF(ABS(AK83)&lt;=Settings!$C$6,"BE",IF(AK83&gt;0,"Win","Loss")))</f>
        <v/>
      </c>
      <c r="AM83" s="79" t="str">
        <f aca="false">IF(OR(AK83="",AI83=""),"",ROUND(AK83*AI83-N(AH83),2))</f>
        <v/>
      </c>
      <c r="AN83" s="76" t="str">
        <f aca="false">IF(AM83="","",ROUND(BK83+SUMIFS(AM$6:AM83,BJ$6:BJ83,BJ83),2))</f>
        <v/>
      </c>
      <c r="AO83" s="78" t="str">
        <f aca="false">IF(AK83="","",ROUND(SUMIFS(AK$6:AK83,BJ$6:BJ83,BJ83),2))</f>
        <v/>
      </c>
      <c r="AP83" s="80" t="str">
        <f aca="false">IF(OR(AK83="",BL83=""),"",IFERROR(ROUND(IF(J83="Short",AB83-AE83,AE83-AB83)/BL83,1),""))</f>
        <v/>
      </c>
      <c r="AQ83" s="66" t="str">
        <f aca="false">IF(OR(G83="",H83=""),"",ROUND(MOD(H83-G83,1)*1440,0))</f>
        <v/>
      </c>
      <c r="AR83" s="68" t="str">
        <f aca="false">IF(AQ83="","",IF(AQ83&lt;15,"Under 15m",IF(AQ83&lt;60,"15-60m",IF(AQ83&lt;240,"1-4 hours","4+ hours"))))</f>
        <v/>
      </c>
      <c r="AS83" s="66" t="str">
        <f aca="false">IF(G83="","",HOUR(G83))</f>
        <v/>
      </c>
      <c r="AT83" s="80" t="str">
        <f aca="false">IF(OR(Z83="",AB83="",BL83=""),"",IFERROR(ROUND(IF(J83="Short",Z83-AB83,AB83-Z83)/BL83,1),""))</f>
        <v/>
      </c>
      <c r="AU83" s="68" t="str">
        <f aca="false">IF(OR(AA83="",AC83=""),"",IF(AA83=AC83,"No","Yes"))</f>
        <v/>
      </c>
      <c r="AV83" s="81" t="str">
        <f aca="false">IF(OR(B83="",BL83="",BM83="",AB83="",AC83=""),"",IFERROR(ROUND(AI83/(ABS(AB83-AC83)/BL83*BM83),2),""))</f>
        <v/>
      </c>
      <c r="AW83" s="76" t="str">
        <f aca="false">IF(B83="","",ROUND(BK83+SUMIFS(AM$5:AM82,BJ$5:BJ82,BJ83),2))</f>
        <v/>
      </c>
      <c r="AX83" s="66" t="str">
        <f aca="false">IF(B83="","",COUNTIFS(B$6:B83,B83,BJ$6:BJ83,BJ83))</f>
        <v/>
      </c>
      <c r="AY83" s="79" t="str">
        <f aca="false">IF(B83="","",ROUND(SUMIFS(AM$5:AM82,B$5:B82,B83,BJ$5:BJ82,BJ83),2))</f>
        <v/>
      </c>
      <c r="AZ83" s="79" t="str">
        <f aca="false">IF(AM83="","",ROUND(AY83+AM83,2))</f>
        <v/>
      </c>
      <c r="BA83" s="79" t="str">
        <f aca="false">IF(B83="","",ROUND(SUMIFS(AM$5:AM82,B$5:B82,"&gt;="&amp;(B83-WEEKDAY(B83,2)+1),B$5:B82,"&lt;="&amp;B83,BJ$5:BJ82,BJ83),2))</f>
        <v/>
      </c>
      <c r="BB83" s="68" t="str">
        <f aca="false">IF(B83="","",IF(AND(AF83&lt;&gt;"",AV83&lt;&gt;"",N(AF83)&gt;N(AV83)*(1+Settings!$C$13)),"Oversized",IF(AX83&gt;Settings!$C$10,"Overtraded",IF(AY83&lt;=-Settings!$C$11*(AW83-AY83),"Daily loss hit",IF(BA83&lt;=-Settings!$C$12*(AW83-BA83),"Weekly loss hit","OK")))))</f>
        <v/>
      </c>
      <c r="BC83" s="69"/>
      <c r="BD83" s="69"/>
      <c r="BE83" s="69"/>
      <c r="BF83" s="73"/>
      <c r="BG83" s="73"/>
      <c r="BH83" s="71"/>
      <c r="BI83" s="71"/>
      <c r="BJ83" s="68" t="str">
        <f aca="false">IF(B83="","",IF(E83="",Settings!$F$5,E83))</f>
        <v/>
      </c>
      <c r="BK83" s="76" t="str">
        <f aca="false">IF(B83="","",IFERROR(INDEX(Settings!$G$5:$G$10,MATCH(BJ83,Settings!$F$5:$F$10,0)),Settings!$G$5))</f>
        <v/>
      </c>
      <c r="BL83" s="82" t="str">
        <f aca="false">IF(I83="","",IFERROR(1/(1/INDEX(Lists!$C$6:$C$17,MATCH(I83,Lists!$B$6:$B$17,0))),""))</f>
        <v/>
      </c>
      <c r="BM83" s="81" t="str">
        <f aca="false">IF(I83="","",IFERROR(1/(1/INDEX(Lists!$D$6:$D$17,MATCH(I83,Lists!$B$6:$B$17,0))),""))</f>
        <v/>
      </c>
      <c r="BN83" s="76" t="str">
        <f aca="false">IF(AN83="","",MAX(BK83,_xlfn.MAXIFS(AN$6:AN83,BJ$6:BJ83,BJ83)))</f>
        <v/>
      </c>
      <c r="BO83" s="83" t="str">
        <f aca="false">IF(AN83="","",(AN83-BN83)/BN83)</f>
        <v/>
      </c>
      <c r="BP83" s="66" t="n">
        <f aca="false">IF(OR(B83="",AL83=""),0,IF(OR(Settings!$C$28="All Accounts",BJ83=Settings!$C$28),1,0))</f>
        <v>0</v>
      </c>
      <c r="BQ83" s="66" t="str">
        <f aca="false">IF(BP83=1,SUM(BP$6:BP83),"")</f>
        <v/>
      </c>
      <c r="BR83" s="76" t="str">
        <f aca="false">IF(BP83=1,ROUND(Settings!$C$29+SUMIFS(AM$6:AM83,BP$6:BP83,1),2),"")</f>
        <v/>
      </c>
      <c r="BS83" s="76" t="str">
        <f aca="false">IF(BP83=1,MAX(Settings!$C$29,MAX(BR$6:BR83)),"")</f>
        <v/>
      </c>
      <c r="BT83" s="83" t="str">
        <f aca="false">IF(BP83=1,(BR83-BS83)/BS83,"")</f>
        <v/>
      </c>
      <c r="BU83" s="66" t="str">
        <f aca="false">IF(BP83=1,IF(AL83="Win",1+IF(BQ83=1,0,INDEX(BU$5:BU82,MATCH(BQ83-1,BQ$5:BQ82,0))),0),"")</f>
        <v/>
      </c>
      <c r="BV83" s="66" t="str">
        <f aca="false">IF(BP83=1,IF(AL83="Loss",1+IF(BQ83=1,0,INDEX(BV$5:BV82,MATCH(BQ83-1,BQ$5:BQ82,0))),0),"")</f>
        <v/>
      </c>
    </row>
    <row r="84" customFormat="false" ht="15" hidden="false" customHeight="false" outlineLevel="0" collapsed="false">
      <c r="A84" s="66" t="str">
        <f aca="false">IF(B84="","",ROW()-5)</f>
        <v/>
      </c>
      <c r="B84" s="67"/>
      <c r="C84" s="68" t="str">
        <f aca="false">IF(B84="","",CHOOSE(WEEKDAY(B84,2),"Mon","Tue","Wed","Thu","Fri","Sat","Sun"))</f>
        <v/>
      </c>
      <c r="D84" s="66" t="str">
        <f aca="false">IF(B84="","",WEEKNUM(B84,2))</f>
        <v/>
      </c>
      <c r="E84" s="69"/>
      <c r="F84" s="69"/>
      <c r="G84" s="70"/>
      <c r="H84" s="70"/>
      <c r="I84" s="69"/>
      <c r="J84" s="69"/>
      <c r="K84" s="69"/>
      <c r="L84" s="71"/>
      <c r="M84" s="69"/>
      <c r="N84" s="69"/>
      <c r="O84" s="69"/>
      <c r="P84" s="71"/>
      <c r="Q84" s="69"/>
      <c r="R84" s="69"/>
      <c r="S84" s="69"/>
      <c r="T84" s="69"/>
      <c r="U84" s="69"/>
      <c r="V84" s="69"/>
      <c r="W84" s="69"/>
      <c r="X84" s="66" t="str">
        <f aca="false">IF(B84="","",COUNTIF(Q84:W84,"Yes"))</f>
        <v/>
      </c>
      <c r="Y84" s="68" t="str">
        <f aca="false">IF(B84="","",IF(X84&gt;=Settings!$C$16,"A+",IF(X84&gt;=Settings!$C$17,"A",IF(X84&gt;=Settings!$C$18,"B","C"))))</f>
        <v/>
      </c>
      <c r="Z84" s="72"/>
      <c r="AA84" s="72"/>
      <c r="AB84" s="72"/>
      <c r="AC84" s="72"/>
      <c r="AD84" s="72"/>
      <c r="AE84" s="72"/>
      <c r="AF84" s="73"/>
      <c r="AG84" s="74"/>
      <c r="AH84" s="75"/>
      <c r="AI84" s="76" t="str">
        <f aca="false">IF(B84="","",ROUND(IF(AG84="",Settings!$C$5,AG84)*AW84,2))</f>
        <v/>
      </c>
      <c r="AJ84" s="77" t="str">
        <f aca="false">IF(OR(B84="",AB84="",AC84="",AD84=""),"",IFERROR(ROUND(ABS(AD84-AB84)/ABS(AB84-AC84),2),""))</f>
        <v/>
      </c>
      <c r="AK84" s="78" t="str">
        <f aca="false">IF(OR(B84="",AB84="",AC84="",AE84=""),"",IFERROR(ROUND(IF(J84="Short",AB84-AE84,AE84-AB84)/ABS(AB84-AC84),2),""))</f>
        <v/>
      </c>
      <c r="AL84" s="68" t="str">
        <f aca="false">IF(AK84="","",IF(ABS(AK84)&lt;=Settings!$C$6,"BE",IF(AK84&gt;0,"Win","Loss")))</f>
        <v/>
      </c>
      <c r="AM84" s="79" t="str">
        <f aca="false">IF(OR(AK84="",AI84=""),"",ROUND(AK84*AI84-N(AH84),2))</f>
        <v/>
      </c>
      <c r="AN84" s="76" t="str">
        <f aca="false">IF(AM84="","",ROUND(BK84+SUMIFS(AM$6:AM84,BJ$6:BJ84,BJ84),2))</f>
        <v/>
      </c>
      <c r="AO84" s="78" t="str">
        <f aca="false">IF(AK84="","",ROUND(SUMIFS(AK$6:AK84,BJ$6:BJ84,BJ84),2))</f>
        <v/>
      </c>
      <c r="AP84" s="80" t="str">
        <f aca="false">IF(OR(AK84="",BL84=""),"",IFERROR(ROUND(IF(J84="Short",AB84-AE84,AE84-AB84)/BL84,1),""))</f>
        <v/>
      </c>
      <c r="AQ84" s="66" t="str">
        <f aca="false">IF(OR(G84="",H84=""),"",ROUND(MOD(H84-G84,1)*1440,0))</f>
        <v/>
      </c>
      <c r="AR84" s="68" t="str">
        <f aca="false">IF(AQ84="","",IF(AQ84&lt;15,"Under 15m",IF(AQ84&lt;60,"15-60m",IF(AQ84&lt;240,"1-4 hours","4+ hours"))))</f>
        <v/>
      </c>
      <c r="AS84" s="66" t="str">
        <f aca="false">IF(G84="","",HOUR(G84))</f>
        <v/>
      </c>
      <c r="AT84" s="80" t="str">
        <f aca="false">IF(OR(Z84="",AB84="",BL84=""),"",IFERROR(ROUND(IF(J84="Short",Z84-AB84,AB84-Z84)/BL84,1),""))</f>
        <v/>
      </c>
      <c r="AU84" s="68" t="str">
        <f aca="false">IF(OR(AA84="",AC84=""),"",IF(AA84=AC84,"No","Yes"))</f>
        <v/>
      </c>
      <c r="AV84" s="81" t="str">
        <f aca="false">IF(OR(B84="",BL84="",BM84="",AB84="",AC84=""),"",IFERROR(ROUND(AI84/(ABS(AB84-AC84)/BL84*BM84),2),""))</f>
        <v/>
      </c>
      <c r="AW84" s="76" t="str">
        <f aca="false">IF(B84="","",ROUND(BK84+SUMIFS(AM$5:AM83,BJ$5:BJ83,BJ84),2))</f>
        <v/>
      </c>
      <c r="AX84" s="66" t="str">
        <f aca="false">IF(B84="","",COUNTIFS(B$6:B84,B84,BJ$6:BJ84,BJ84))</f>
        <v/>
      </c>
      <c r="AY84" s="79" t="str">
        <f aca="false">IF(B84="","",ROUND(SUMIFS(AM$5:AM83,B$5:B83,B84,BJ$5:BJ83,BJ84),2))</f>
        <v/>
      </c>
      <c r="AZ84" s="79" t="str">
        <f aca="false">IF(AM84="","",ROUND(AY84+AM84,2))</f>
        <v/>
      </c>
      <c r="BA84" s="79" t="str">
        <f aca="false">IF(B84="","",ROUND(SUMIFS(AM$5:AM83,B$5:B83,"&gt;="&amp;(B84-WEEKDAY(B84,2)+1),B$5:B83,"&lt;="&amp;B84,BJ$5:BJ83,BJ84),2))</f>
        <v/>
      </c>
      <c r="BB84" s="68" t="str">
        <f aca="false">IF(B84="","",IF(AND(AF84&lt;&gt;"",AV84&lt;&gt;"",N(AF84)&gt;N(AV84)*(1+Settings!$C$13)),"Oversized",IF(AX84&gt;Settings!$C$10,"Overtraded",IF(AY84&lt;=-Settings!$C$11*(AW84-AY84),"Daily loss hit",IF(BA84&lt;=-Settings!$C$12*(AW84-BA84),"Weekly loss hit","OK")))))</f>
        <v/>
      </c>
      <c r="BC84" s="69"/>
      <c r="BD84" s="69"/>
      <c r="BE84" s="69"/>
      <c r="BF84" s="73"/>
      <c r="BG84" s="73"/>
      <c r="BH84" s="71"/>
      <c r="BI84" s="71"/>
      <c r="BJ84" s="68" t="str">
        <f aca="false">IF(B84="","",IF(E84="",Settings!$F$5,E84))</f>
        <v/>
      </c>
      <c r="BK84" s="76" t="str">
        <f aca="false">IF(B84="","",IFERROR(INDEX(Settings!$G$5:$G$10,MATCH(BJ84,Settings!$F$5:$F$10,0)),Settings!$G$5))</f>
        <v/>
      </c>
      <c r="BL84" s="82" t="str">
        <f aca="false">IF(I84="","",IFERROR(1/(1/INDEX(Lists!$C$6:$C$17,MATCH(I84,Lists!$B$6:$B$17,0))),""))</f>
        <v/>
      </c>
      <c r="BM84" s="81" t="str">
        <f aca="false">IF(I84="","",IFERROR(1/(1/INDEX(Lists!$D$6:$D$17,MATCH(I84,Lists!$B$6:$B$17,0))),""))</f>
        <v/>
      </c>
      <c r="BN84" s="76" t="str">
        <f aca="false">IF(AN84="","",MAX(BK84,_xlfn.MAXIFS(AN$6:AN84,BJ$6:BJ84,BJ84)))</f>
        <v/>
      </c>
      <c r="BO84" s="83" t="str">
        <f aca="false">IF(AN84="","",(AN84-BN84)/BN84)</f>
        <v/>
      </c>
      <c r="BP84" s="66" t="n">
        <f aca="false">IF(OR(B84="",AL84=""),0,IF(OR(Settings!$C$28="All Accounts",BJ84=Settings!$C$28),1,0))</f>
        <v>0</v>
      </c>
      <c r="BQ84" s="66" t="str">
        <f aca="false">IF(BP84=1,SUM(BP$6:BP84),"")</f>
        <v/>
      </c>
      <c r="BR84" s="76" t="str">
        <f aca="false">IF(BP84=1,ROUND(Settings!$C$29+SUMIFS(AM$6:AM84,BP$6:BP84,1),2),"")</f>
        <v/>
      </c>
      <c r="BS84" s="76" t="str">
        <f aca="false">IF(BP84=1,MAX(Settings!$C$29,MAX(BR$6:BR84)),"")</f>
        <v/>
      </c>
      <c r="BT84" s="83" t="str">
        <f aca="false">IF(BP84=1,(BR84-BS84)/BS84,"")</f>
        <v/>
      </c>
      <c r="BU84" s="66" t="str">
        <f aca="false">IF(BP84=1,IF(AL84="Win",1+IF(BQ84=1,0,INDEX(BU$5:BU83,MATCH(BQ84-1,BQ$5:BQ83,0))),0),"")</f>
        <v/>
      </c>
      <c r="BV84" s="66" t="str">
        <f aca="false">IF(BP84=1,IF(AL84="Loss",1+IF(BQ84=1,0,INDEX(BV$5:BV83,MATCH(BQ84-1,BQ$5:BQ83,0))),0),"")</f>
        <v/>
      </c>
    </row>
    <row r="85" customFormat="false" ht="15" hidden="false" customHeight="false" outlineLevel="0" collapsed="false">
      <c r="A85" s="66" t="str">
        <f aca="false">IF(B85="","",ROW()-5)</f>
        <v/>
      </c>
      <c r="B85" s="67"/>
      <c r="C85" s="68" t="str">
        <f aca="false">IF(B85="","",CHOOSE(WEEKDAY(B85,2),"Mon","Tue","Wed","Thu","Fri","Sat","Sun"))</f>
        <v/>
      </c>
      <c r="D85" s="66" t="str">
        <f aca="false">IF(B85="","",WEEKNUM(B85,2))</f>
        <v/>
      </c>
      <c r="E85" s="69"/>
      <c r="F85" s="69"/>
      <c r="G85" s="70"/>
      <c r="H85" s="70"/>
      <c r="I85" s="69"/>
      <c r="J85" s="69"/>
      <c r="K85" s="69"/>
      <c r="L85" s="71"/>
      <c r="M85" s="69"/>
      <c r="N85" s="69"/>
      <c r="O85" s="69"/>
      <c r="P85" s="71"/>
      <c r="Q85" s="69"/>
      <c r="R85" s="69"/>
      <c r="S85" s="69"/>
      <c r="T85" s="69"/>
      <c r="U85" s="69"/>
      <c r="V85" s="69"/>
      <c r="W85" s="69"/>
      <c r="X85" s="66" t="str">
        <f aca="false">IF(B85="","",COUNTIF(Q85:W85,"Yes"))</f>
        <v/>
      </c>
      <c r="Y85" s="68" t="str">
        <f aca="false">IF(B85="","",IF(X85&gt;=Settings!$C$16,"A+",IF(X85&gt;=Settings!$C$17,"A",IF(X85&gt;=Settings!$C$18,"B","C"))))</f>
        <v/>
      </c>
      <c r="Z85" s="72"/>
      <c r="AA85" s="72"/>
      <c r="AB85" s="72"/>
      <c r="AC85" s="72"/>
      <c r="AD85" s="72"/>
      <c r="AE85" s="72"/>
      <c r="AF85" s="73"/>
      <c r="AG85" s="74"/>
      <c r="AH85" s="75"/>
      <c r="AI85" s="76" t="str">
        <f aca="false">IF(B85="","",ROUND(IF(AG85="",Settings!$C$5,AG85)*AW85,2))</f>
        <v/>
      </c>
      <c r="AJ85" s="77" t="str">
        <f aca="false">IF(OR(B85="",AB85="",AC85="",AD85=""),"",IFERROR(ROUND(ABS(AD85-AB85)/ABS(AB85-AC85),2),""))</f>
        <v/>
      </c>
      <c r="AK85" s="78" t="str">
        <f aca="false">IF(OR(B85="",AB85="",AC85="",AE85=""),"",IFERROR(ROUND(IF(J85="Short",AB85-AE85,AE85-AB85)/ABS(AB85-AC85),2),""))</f>
        <v/>
      </c>
      <c r="AL85" s="68" t="str">
        <f aca="false">IF(AK85="","",IF(ABS(AK85)&lt;=Settings!$C$6,"BE",IF(AK85&gt;0,"Win","Loss")))</f>
        <v/>
      </c>
      <c r="AM85" s="79" t="str">
        <f aca="false">IF(OR(AK85="",AI85=""),"",ROUND(AK85*AI85-N(AH85),2))</f>
        <v/>
      </c>
      <c r="AN85" s="76" t="str">
        <f aca="false">IF(AM85="","",ROUND(BK85+SUMIFS(AM$6:AM85,BJ$6:BJ85,BJ85),2))</f>
        <v/>
      </c>
      <c r="AO85" s="78" t="str">
        <f aca="false">IF(AK85="","",ROUND(SUMIFS(AK$6:AK85,BJ$6:BJ85,BJ85),2))</f>
        <v/>
      </c>
      <c r="AP85" s="80" t="str">
        <f aca="false">IF(OR(AK85="",BL85=""),"",IFERROR(ROUND(IF(J85="Short",AB85-AE85,AE85-AB85)/BL85,1),""))</f>
        <v/>
      </c>
      <c r="AQ85" s="66" t="str">
        <f aca="false">IF(OR(G85="",H85=""),"",ROUND(MOD(H85-G85,1)*1440,0))</f>
        <v/>
      </c>
      <c r="AR85" s="68" t="str">
        <f aca="false">IF(AQ85="","",IF(AQ85&lt;15,"Under 15m",IF(AQ85&lt;60,"15-60m",IF(AQ85&lt;240,"1-4 hours","4+ hours"))))</f>
        <v/>
      </c>
      <c r="AS85" s="66" t="str">
        <f aca="false">IF(G85="","",HOUR(G85))</f>
        <v/>
      </c>
      <c r="AT85" s="80" t="str">
        <f aca="false">IF(OR(Z85="",AB85="",BL85=""),"",IFERROR(ROUND(IF(J85="Short",Z85-AB85,AB85-Z85)/BL85,1),""))</f>
        <v/>
      </c>
      <c r="AU85" s="68" t="str">
        <f aca="false">IF(OR(AA85="",AC85=""),"",IF(AA85=AC85,"No","Yes"))</f>
        <v/>
      </c>
      <c r="AV85" s="81" t="str">
        <f aca="false">IF(OR(B85="",BL85="",BM85="",AB85="",AC85=""),"",IFERROR(ROUND(AI85/(ABS(AB85-AC85)/BL85*BM85),2),""))</f>
        <v/>
      </c>
      <c r="AW85" s="76" t="str">
        <f aca="false">IF(B85="","",ROUND(BK85+SUMIFS(AM$5:AM84,BJ$5:BJ84,BJ85),2))</f>
        <v/>
      </c>
      <c r="AX85" s="66" t="str">
        <f aca="false">IF(B85="","",COUNTIFS(B$6:B85,B85,BJ$6:BJ85,BJ85))</f>
        <v/>
      </c>
      <c r="AY85" s="79" t="str">
        <f aca="false">IF(B85="","",ROUND(SUMIFS(AM$5:AM84,B$5:B84,B85,BJ$5:BJ84,BJ85),2))</f>
        <v/>
      </c>
      <c r="AZ85" s="79" t="str">
        <f aca="false">IF(AM85="","",ROUND(AY85+AM85,2))</f>
        <v/>
      </c>
      <c r="BA85" s="79" t="str">
        <f aca="false">IF(B85="","",ROUND(SUMIFS(AM$5:AM84,B$5:B84,"&gt;="&amp;(B85-WEEKDAY(B85,2)+1),B$5:B84,"&lt;="&amp;B85,BJ$5:BJ84,BJ85),2))</f>
        <v/>
      </c>
      <c r="BB85" s="68" t="str">
        <f aca="false">IF(B85="","",IF(AND(AF85&lt;&gt;"",AV85&lt;&gt;"",N(AF85)&gt;N(AV85)*(1+Settings!$C$13)),"Oversized",IF(AX85&gt;Settings!$C$10,"Overtraded",IF(AY85&lt;=-Settings!$C$11*(AW85-AY85),"Daily loss hit",IF(BA85&lt;=-Settings!$C$12*(AW85-BA85),"Weekly loss hit","OK")))))</f>
        <v/>
      </c>
      <c r="BC85" s="69"/>
      <c r="BD85" s="69"/>
      <c r="BE85" s="69"/>
      <c r="BF85" s="73"/>
      <c r="BG85" s="73"/>
      <c r="BH85" s="71"/>
      <c r="BI85" s="71"/>
      <c r="BJ85" s="68" t="str">
        <f aca="false">IF(B85="","",IF(E85="",Settings!$F$5,E85))</f>
        <v/>
      </c>
      <c r="BK85" s="76" t="str">
        <f aca="false">IF(B85="","",IFERROR(INDEX(Settings!$G$5:$G$10,MATCH(BJ85,Settings!$F$5:$F$10,0)),Settings!$G$5))</f>
        <v/>
      </c>
      <c r="BL85" s="82" t="str">
        <f aca="false">IF(I85="","",IFERROR(1/(1/INDEX(Lists!$C$6:$C$17,MATCH(I85,Lists!$B$6:$B$17,0))),""))</f>
        <v/>
      </c>
      <c r="BM85" s="81" t="str">
        <f aca="false">IF(I85="","",IFERROR(1/(1/INDEX(Lists!$D$6:$D$17,MATCH(I85,Lists!$B$6:$B$17,0))),""))</f>
        <v/>
      </c>
      <c r="BN85" s="76" t="str">
        <f aca="false">IF(AN85="","",MAX(BK85,_xlfn.MAXIFS(AN$6:AN85,BJ$6:BJ85,BJ85)))</f>
        <v/>
      </c>
      <c r="BO85" s="83" t="str">
        <f aca="false">IF(AN85="","",(AN85-BN85)/BN85)</f>
        <v/>
      </c>
      <c r="BP85" s="66" t="n">
        <f aca="false">IF(OR(B85="",AL85=""),0,IF(OR(Settings!$C$28="All Accounts",BJ85=Settings!$C$28),1,0))</f>
        <v>0</v>
      </c>
      <c r="BQ85" s="66" t="str">
        <f aca="false">IF(BP85=1,SUM(BP$6:BP85),"")</f>
        <v/>
      </c>
      <c r="BR85" s="76" t="str">
        <f aca="false">IF(BP85=1,ROUND(Settings!$C$29+SUMIFS(AM$6:AM85,BP$6:BP85,1),2),"")</f>
        <v/>
      </c>
      <c r="BS85" s="76" t="str">
        <f aca="false">IF(BP85=1,MAX(Settings!$C$29,MAX(BR$6:BR85)),"")</f>
        <v/>
      </c>
      <c r="BT85" s="83" t="str">
        <f aca="false">IF(BP85=1,(BR85-BS85)/BS85,"")</f>
        <v/>
      </c>
      <c r="BU85" s="66" t="str">
        <f aca="false">IF(BP85=1,IF(AL85="Win",1+IF(BQ85=1,0,INDEX(BU$5:BU84,MATCH(BQ85-1,BQ$5:BQ84,0))),0),"")</f>
        <v/>
      </c>
      <c r="BV85" s="66" t="str">
        <f aca="false">IF(BP85=1,IF(AL85="Loss",1+IF(BQ85=1,0,INDEX(BV$5:BV84,MATCH(BQ85-1,BQ$5:BQ84,0))),0),"")</f>
        <v/>
      </c>
    </row>
    <row r="86" customFormat="false" ht="15" hidden="false" customHeight="false" outlineLevel="0" collapsed="false">
      <c r="A86" s="66" t="str">
        <f aca="false">IF(B86="","",ROW()-5)</f>
        <v/>
      </c>
      <c r="B86" s="67"/>
      <c r="C86" s="68" t="str">
        <f aca="false">IF(B86="","",CHOOSE(WEEKDAY(B86,2),"Mon","Tue","Wed","Thu","Fri","Sat","Sun"))</f>
        <v/>
      </c>
      <c r="D86" s="66" t="str">
        <f aca="false">IF(B86="","",WEEKNUM(B86,2))</f>
        <v/>
      </c>
      <c r="E86" s="69"/>
      <c r="F86" s="69"/>
      <c r="G86" s="70"/>
      <c r="H86" s="70"/>
      <c r="I86" s="69"/>
      <c r="J86" s="69"/>
      <c r="K86" s="69"/>
      <c r="L86" s="71"/>
      <c r="M86" s="69"/>
      <c r="N86" s="69"/>
      <c r="O86" s="69"/>
      <c r="P86" s="71"/>
      <c r="Q86" s="69"/>
      <c r="R86" s="69"/>
      <c r="S86" s="69"/>
      <c r="T86" s="69"/>
      <c r="U86" s="69"/>
      <c r="V86" s="69"/>
      <c r="W86" s="69"/>
      <c r="X86" s="66" t="str">
        <f aca="false">IF(B86="","",COUNTIF(Q86:W86,"Yes"))</f>
        <v/>
      </c>
      <c r="Y86" s="68" t="str">
        <f aca="false">IF(B86="","",IF(X86&gt;=Settings!$C$16,"A+",IF(X86&gt;=Settings!$C$17,"A",IF(X86&gt;=Settings!$C$18,"B","C"))))</f>
        <v/>
      </c>
      <c r="Z86" s="72"/>
      <c r="AA86" s="72"/>
      <c r="AB86" s="72"/>
      <c r="AC86" s="72"/>
      <c r="AD86" s="72"/>
      <c r="AE86" s="72"/>
      <c r="AF86" s="73"/>
      <c r="AG86" s="74"/>
      <c r="AH86" s="75"/>
      <c r="AI86" s="76" t="str">
        <f aca="false">IF(B86="","",ROUND(IF(AG86="",Settings!$C$5,AG86)*AW86,2))</f>
        <v/>
      </c>
      <c r="AJ86" s="77" t="str">
        <f aca="false">IF(OR(B86="",AB86="",AC86="",AD86=""),"",IFERROR(ROUND(ABS(AD86-AB86)/ABS(AB86-AC86),2),""))</f>
        <v/>
      </c>
      <c r="AK86" s="78" t="str">
        <f aca="false">IF(OR(B86="",AB86="",AC86="",AE86=""),"",IFERROR(ROUND(IF(J86="Short",AB86-AE86,AE86-AB86)/ABS(AB86-AC86),2),""))</f>
        <v/>
      </c>
      <c r="AL86" s="68" t="str">
        <f aca="false">IF(AK86="","",IF(ABS(AK86)&lt;=Settings!$C$6,"BE",IF(AK86&gt;0,"Win","Loss")))</f>
        <v/>
      </c>
      <c r="AM86" s="79" t="str">
        <f aca="false">IF(OR(AK86="",AI86=""),"",ROUND(AK86*AI86-N(AH86),2))</f>
        <v/>
      </c>
      <c r="AN86" s="76" t="str">
        <f aca="false">IF(AM86="","",ROUND(BK86+SUMIFS(AM$6:AM86,BJ$6:BJ86,BJ86),2))</f>
        <v/>
      </c>
      <c r="AO86" s="78" t="str">
        <f aca="false">IF(AK86="","",ROUND(SUMIFS(AK$6:AK86,BJ$6:BJ86,BJ86),2))</f>
        <v/>
      </c>
      <c r="AP86" s="80" t="str">
        <f aca="false">IF(OR(AK86="",BL86=""),"",IFERROR(ROUND(IF(J86="Short",AB86-AE86,AE86-AB86)/BL86,1),""))</f>
        <v/>
      </c>
      <c r="AQ86" s="66" t="str">
        <f aca="false">IF(OR(G86="",H86=""),"",ROUND(MOD(H86-G86,1)*1440,0))</f>
        <v/>
      </c>
      <c r="AR86" s="68" t="str">
        <f aca="false">IF(AQ86="","",IF(AQ86&lt;15,"Under 15m",IF(AQ86&lt;60,"15-60m",IF(AQ86&lt;240,"1-4 hours","4+ hours"))))</f>
        <v/>
      </c>
      <c r="AS86" s="66" t="str">
        <f aca="false">IF(G86="","",HOUR(G86))</f>
        <v/>
      </c>
      <c r="AT86" s="80" t="str">
        <f aca="false">IF(OR(Z86="",AB86="",BL86=""),"",IFERROR(ROUND(IF(J86="Short",Z86-AB86,AB86-Z86)/BL86,1),""))</f>
        <v/>
      </c>
      <c r="AU86" s="68" t="str">
        <f aca="false">IF(OR(AA86="",AC86=""),"",IF(AA86=AC86,"No","Yes"))</f>
        <v/>
      </c>
      <c r="AV86" s="81" t="str">
        <f aca="false">IF(OR(B86="",BL86="",BM86="",AB86="",AC86=""),"",IFERROR(ROUND(AI86/(ABS(AB86-AC86)/BL86*BM86),2),""))</f>
        <v/>
      </c>
      <c r="AW86" s="76" t="str">
        <f aca="false">IF(B86="","",ROUND(BK86+SUMIFS(AM$5:AM85,BJ$5:BJ85,BJ86),2))</f>
        <v/>
      </c>
      <c r="AX86" s="66" t="str">
        <f aca="false">IF(B86="","",COUNTIFS(B$6:B86,B86,BJ$6:BJ86,BJ86))</f>
        <v/>
      </c>
      <c r="AY86" s="79" t="str">
        <f aca="false">IF(B86="","",ROUND(SUMIFS(AM$5:AM85,B$5:B85,B86,BJ$5:BJ85,BJ86),2))</f>
        <v/>
      </c>
      <c r="AZ86" s="79" t="str">
        <f aca="false">IF(AM86="","",ROUND(AY86+AM86,2))</f>
        <v/>
      </c>
      <c r="BA86" s="79" t="str">
        <f aca="false">IF(B86="","",ROUND(SUMIFS(AM$5:AM85,B$5:B85,"&gt;="&amp;(B86-WEEKDAY(B86,2)+1),B$5:B85,"&lt;="&amp;B86,BJ$5:BJ85,BJ86),2))</f>
        <v/>
      </c>
      <c r="BB86" s="68" t="str">
        <f aca="false">IF(B86="","",IF(AND(AF86&lt;&gt;"",AV86&lt;&gt;"",N(AF86)&gt;N(AV86)*(1+Settings!$C$13)),"Oversized",IF(AX86&gt;Settings!$C$10,"Overtraded",IF(AY86&lt;=-Settings!$C$11*(AW86-AY86),"Daily loss hit",IF(BA86&lt;=-Settings!$C$12*(AW86-BA86),"Weekly loss hit","OK")))))</f>
        <v/>
      </c>
      <c r="BC86" s="69"/>
      <c r="BD86" s="69"/>
      <c r="BE86" s="69"/>
      <c r="BF86" s="73"/>
      <c r="BG86" s="73"/>
      <c r="BH86" s="71"/>
      <c r="BI86" s="71"/>
      <c r="BJ86" s="68" t="str">
        <f aca="false">IF(B86="","",IF(E86="",Settings!$F$5,E86))</f>
        <v/>
      </c>
      <c r="BK86" s="76" t="str">
        <f aca="false">IF(B86="","",IFERROR(INDEX(Settings!$G$5:$G$10,MATCH(BJ86,Settings!$F$5:$F$10,0)),Settings!$G$5))</f>
        <v/>
      </c>
      <c r="BL86" s="82" t="str">
        <f aca="false">IF(I86="","",IFERROR(1/(1/INDEX(Lists!$C$6:$C$17,MATCH(I86,Lists!$B$6:$B$17,0))),""))</f>
        <v/>
      </c>
      <c r="BM86" s="81" t="str">
        <f aca="false">IF(I86="","",IFERROR(1/(1/INDEX(Lists!$D$6:$D$17,MATCH(I86,Lists!$B$6:$B$17,0))),""))</f>
        <v/>
      </c>
      <c r="BN86" s="76" t="str">
        <f aca="false">IF(AN86="","",MAX(BK86,_xlfn.MAXIFS(AN$6:AN86,BJ$6:BJ86,BJ86)))</f>
        <v/>
      </c>
      <c r="BO86" s="83" t="str">
        <f aca="false">IF(AN86="","",(AN86-BN86)/BN86)</f>
        <v/>
      </c>
      <c r="BP86" s="66" t="n">
        <f aca="false">IF(OR(B86="",AL86=""),0,IF(OR(Settings!$C$28="All Accounts",BJ86=Settings!$C$28),1,0))</f>
        <v>0</v>
      </c>
      <c r="BQ86" s="66" t="str">
        <f aca="false">IF(BP86=1,SUM(BP$6:BP86),"")</f>
        <v/>
      </c>
      <c r="BR86" s="76" t="str">
        <f aca="false">IF(BP86=1,ROUND(Settings!$C$29+SUMIFS(AM$6:AM86,BP$6:BP86,1),2),"")</f>
        <v/>
      </c>
      <c r="BS86" s="76" t="str">
        <f aca="false">IF(BP86=1,MAX(Settings!$C$29,MAX(BR$6:BR86)),"")</f>
        <v/>
      </c>
      <c r="BT86" s="83" t="str">
        <f aca="false">IF(BP86=1,(BR86-BS86)/BS86,"")</f>
        <v/>
      </c>
      <c r="BU86" s="66" t="str">
        <f aca="false">IF(BP86=1,IF(AL86="Win",1+IF(BQ86=1,0,INDEX(BU$5:BU85,MATCH(BQ86-1,BQ$5:BQ85,0))),0),"")</f>
        <v/>
      </c>
      <c r="BV86" s="66" t="str">
        <f aca="false">IF(BP86=1,IF(AL86="Loss",1+IF(BQ86=1,0,INDEX(BV$5:BV85,MATCH(BQ86-1,BQ$5:BQ85,0))),0),"")</f>
        <v/>
      </c>
    </row>
    <row r="87" customFormat="false" ht="15" hidden="false" customHeight="false" outlineLevel="0" collapsed="false">
      <c r="A87" s="66" t="str">
        <f aca="false">IF(B87="","",ROW()-5)</f>
        <v/>
      </c>
      <c r="B87" s="67"/>
      <c r="C87" s="68" t="str">
        <f aca="false">IF(B87="","",CHOOSE(WEEKDAY(B87,2),"Mon","Tue","Wed","Thu","Fri","Sat","Sun"))</f>
        <v/>
      </c>
      <c r="D87" s="66" t="str">
        <f aca="false">IF(B87="","",WEEKNUM(B87,2))</f>
        <v/>
      </c>
      <c r="E87" s="69"/>
      <c r="F87" s="69"/>
      <c r="G87" s="70"/>
      <c r="H87" s="70"/>
      <c r="I87" s="69"/>
      <c r="J87" s="69"/>
      <c r="K87" s="69"/>
      <c r="L87" s="71"/>
      <c r="M87" s="69"/>
      <c r="N87" s="69"/>
      <c r="O87" s="69"/>
      <c r="P87" s="71"/>
      <c r="Q87" s="69"/>
      <c r="R87" s="69"/>
      <c r="S87" s="69"/>
      <c r="T87" s="69"/>
      <c r="U87" s="69"/>
      <c r="V87" s="69"/>
      <c r="W87" s="69"/>
      <c r="X87" s="66" t="str">
        <f aca="false">IF(B87="","",COUNTIF(Q87:W87,"Yes"))</f>
        <v/>
      </c>
      <c r="Y87" s="68" t="str">
        <f aca="false">IF(B87="","",IF(X87&gt;=Settings!$C$16,"A+",IF(X87&gt;=Settings!$C$17,"A",IF(X87&gt;=Settings!$C$18,"B","C"))))</f>
        <v/>
      </c>
      <c r="Z87" s="72"/>
      <c r="AA87" s="72"/>
      <c r="AB87" s="72"/>
      <c r="AC87" s="72"/>
      <c r="AD87" s="72"/>
      <c r="AE87" s="72"/>
      <c r="AF87" s="73"/>
      <c r="AG87" s="74"/>
      <c r="AH87" s="75"/>
      <c r="AI87" s="76" t="str">
        <f aca="false">IF(B87="","",ROUND(IF(AG87="",Settings!$C$5,AG87)*AW87,2))</f>
        <v/>
      </c>
      <c r="AJ87" s="77" t="str">
        <f aca="false">IF(OR(B87="",AB87="",AC87="",AD87=""),"",IFERROR(ROUND(ABS(AD87-AB87)/ABS(AB87-AC87),2),""))</f>
        <v/>
      </c>
      <c r="AK87" s="78" t="str">
        <f aca="false">IF(OR(B87="",AB87="",AC87="",AE87=""),"",IFERROR(ROUND(IF(J87="Short",AB87-AE87,AE87-AB87)/ABS(AB87-AC87),2),""))</f>
        <v/>
      </c>
      <c r="AL87" s="68" t="str">
        <f aca="false">IF(AK87="","",IF(ABS(AK87)&lt;=Settings!$C$6,"BE",IF(AK87&gt;0,"Win","Loss")))</f>
        <v/>
      </c>
      <c r="AM87" s="79" t="str">
        <f aca="false">IF(OR(AK87="",AI87=""),"",ROUND(AK87*AI87-N(AH87),2))</f>
        <v/>
      </c>
      <c r="AN87" s="76" t="str">
        <f aca="false">IF(AM87="","",ROUND(BK87+SUMIFS(AM$6:AM87,BJ$6:BJ87,BJ87),2))</f>
        <v/>
      </c>
      <c r="AO87" s="78" t="str">
        <f aca="false">IF(AK87="","",ROUND(SUMIFS(AK$6:AK87,BJ$6:BJ87,BJ87),2))</f>
        <v/>
      </c>
      <c r="AP87" s="80" t="str">
        <f aca="false">IF(OR(AK87="",BL87=""),"",IFERROR(ROUND(IF(J87="Short",AB87-AE87,AE87-AB87)/BL87,1),""))</f>
        <v/>
      </c>
      <c r="AQ87" s="66" t="str">
        <f aca="false">IF(OR(G87="",H87=""),"",ROUND(MOD(H87-G87,1)*1440,0))</f>
        <v/>
      </c>
      <c r="AR87" s="68" t="str">
        <f aca="false">IF(AQ87="","",IF(AQ87&lt;15,"Under 15m",IF(AQ87&lt;60,"15-60m",IF(AQ87&lt;240,"1-4 hours","4+ hours"))))</f>
        <v/>
      </c>
      <c r="AS87" s="66" t="str">
        <f aca="false">IF(G87="","",HOUR(G87))</f>
        <v/>
      </c>
      <c r="AT87" s="80" t="str">
        <f aca="false">IF(OR(Z87="",AB87="",BL87=""),"",IFERROR(ROUND(IF(J87="Short",Z87-AB87,AB87-Z87)/BL87,1),""))</f>
        <v/>
      </c>
      <c r="AU87" s="68" t="str">
        <f aca="false">IF(OR(AA87="",AC87=""),"",IF(AA87=AC87,"No","Yes"))</f>
        <v/>
      </c>
      <c r="AV87" s="81" t="str">
        <f aca="false">IF(OR(B87="",BL87="",BM87="",AB87="",AC87=""),"",IFERROR(ROUND(AI87/(ABS(AB87-AC87)/BL87*BM87),2),""))</f>
        <v/>
      </c>
      <c r="AW87" s="76" t="str">
        <f aca="false">IF(B87="","",ROUND(BK87+SUMIFS(AM$5:AM86,BJ$5:BJ86,BJ87),2))</f>
        <v/>
      </c>
      <c r="AX87" s="66" t="str">
        <f aca="false">IF(B87="","",COUNTIFS(B$6:B87,B87,BJ$6:BJ87,BJ87))</f>
        <v/>
      </c>
      <c r="AY87" s="79" t="str">
        <f aca="false">IF(B87="","",ROUND(SUMIFS(AM$5:AM86,B$5:B86,B87,BJ$5:BJ86,BJ87),2))</f>
        <v/>
      </c>
      <c r="AZ87" s="79" t="str">
        <f aca="false">IF(AM87="","",ROUND(AY87+AM87,2))</f>
        <v/>
      </c>
      <c r="BA87" s="79" t="str">
        <f aca="false">IF(B87="","",ROUND(SUMIFS(AM$5:AM86,B$5:B86,"&gt;="&amp;(B87-WEEKDAY(B87,2)+1),B$5:B86,"&lt;="&amp;B87,BJ$5:BJ86,BJ87),2))</f>
        <v/>
      </c>
      <c r="BB87" s="68" t="str">
        <f aca="false">IF(B87="","",IF(AND(AF87&lt;&gt;"",AV87&lt;&gt;"",N(AF87)&gt;N(AV87)*(1+Settings!$C$13)),"Oversized",IF(AX87&gt;Settings!$C$10,"Overtraded",IF(AY87&lt;=-Settings!$C$11*(AW87-AY87),"Daily loss hit",IF(BA87&lt;=-Settings!$C$12*(AW87-BA87),"Weekly loss hit","OK")))))</f>
        <v/>
      </c>
      <c r="BC87" s="69"/>
      <c r="BD87" s="69"/>
      <c r="BE87" s="69"/>
      <c r="BF87" s="73"/>
      <c r="BG87" s="73"/>
      <c r="BH87" s="71"/>
      <c r="BI87" s="71"/>
      <c r="BJ87" s="68" t="str">
        <f aca="false">IF(B87="","",IF(E87="",Settings!$F$5,E87))</f>
        <v/>
      </c>
      <c r="BK87" s="76" t="str">
        <f aca="false">IF(B87="","",IFERROR(INDEX(Settings!$G$5:$G$10,MATCH(BJ87,Settings!$F$5:$F$10,0)),Settings!$G$5))</f>
        <v/>
      </c>
      <c r="BL87" s="82" t="str">
        <f aca="false">IF(I87="","",IFERROR(1/(1/INDEX(Lists!$C$6:$C$17,MATCH(I87,Lists!$B$6:$B$17,0))),""))</f>
        <v/>
      </c>
      <c r="BM87" s="81" t="str">
        <f aca="false">IF(I87="","",IFERROR(1/(1/INDEX(Lists!$D$6:$D$17,MATCH(I87,Lists!$B$6:$B$17,0))),""))</f>
        <v/>
      </c>
      <c r="BN87" s="76" t="str">
        <f aca="false">IF(AN87="","",MAX(BK87,_xlfn.MAXIFS(AN$6:AN87,BJ$6:BJ87,BJ87)))</f>
        <v/>
      </c>
      <c r="BO87" s="83" t="str">
        <f aca="false">IF(AN87="","",(AN87-BN87)/BN87)</f>
        <v/>
      </c>
      <c r="BP87" s="66" t="n">
        <f aca="false">IF(OR(B87="",AL87=""),0,IF(OR(Settings!$C$28="All Accounts",BJ87=Settings!$C$28),1,0))</f>
        <v>0</v>
      </c>
      <c r="BQ87" s="66" t="str">
        <f aca="false">IF(BP87=1,SUM(BP$6:BP87),"")</f>
        <v/>
      </c>
      <c r="BR87" s="76" t="str">
        <f aca="false">IF(BP87=1,ROUND(Settings!$C$29+SUMIFS(AM$6:AM87,BP$6:BP87,1),2),"")</f>
        <v/>
      </c>
      <c r="BS87" s="76" t="str">
        <f aca="false">IF(BP87=1,MAX(Settings!$C$29,MAX(BR$6:BR87)),"")</f>
        <v/>
      </c>
      <c r="BT87" s="83" t="str">
        <f aca="false">IF(BP87=1,(BR87-BS87)/BS87,"")</f>
        <v/>
      </c>
      <c r="BU87" s="66" t="str">
        <f aca="false">IF(BP87=1,IF(AL87="Win",1+IF(BQ87=1,0,INDEX(BU$5:BU86,MATCH(BQ87-1,BQ$5:BQ86,0))),0),"")</f>
        <v/>
      </c>
      <c r="BV87" s="66" t="str">
        <f aca="false">IF(BP87=1,IF(AL87="Loss",1+IF(BQ87=1,0,INDEX(BV$5:BV86,MATCH(BQ87-1,BQ$5:BQ86,0))),0),"")</f>
        <v/>
      </c>
    </row>
    <row r="88" customFormat="false" ht="15" hidden="false" customHeight="false" outlineLevel="0" collapsed="false">
      <c r="A88" s="66" t="str">
        <f aca="false">IF(B88="","",ROW()-5)</f>
        <v/>
      </c>
      <c r="B88" s="67"/>
      <c r="C88" s="68" t="str">
        <f aca="false">IF(B88="","",CHOOSE(WEEKDAY(B88,2),"Mon","Tue","Wed","Thu","Fri","Sat","Sun"))</f>
        <v/>
      </c>
      <c r="D88" s="66" t="str">
        <f aca="false">IF(B88="","",WEEKNUM(B88,2))</f>
        <v/>
      </c>
      <c r="E88" s="69"/>
      <c r="F88" s="69"/>
      <c r="G88" s="70"/>
      <c r="H88" s="70"/>
      <c r="I88" s="69"/>
      <c r="J88" s="69"/>
      <c r="K88" s="69"/>
      <c r="L88" s="71"/>
      <c r="M88" s="69"/>
      <c r="N88" s="69"/>
      <c r="O88" s="69"/>
      <c r="P88" s="71"/>
      <c r="Q88" s="69"/>
      <c r="R88" s="69"/>
      <c r="S88" s="69"/>
      <c r="T88" s="69"/>
      <c r="U88" s="69"/>
      <c r="V88" s="69"/>
      <c r="W88" s="69"/>
      <c r="X88" s="66" t="str">
        <f aca="false">IF(B88="","",COUNTIF(Q88:W88,"Yes"))</f>
        <v/>
      </c>
      <c r="Y88" s="68" t="str">
        <f aca="false">IF(B88="","",IF(X88&gt;=Settings!$C$16,"A+",IF(X88&gt;=Settings!$C$17,"A",IF(X88&gt;=Settings!$C$18,"B","C"))))</f>
        <v/>
      </c>
      <c r="Z88" s="72"/>
      <c r="AA88" s="72"/>
      <c r="AB88" s="72"/>
      <c r="AC88" s="72"/>
      <c r="AD88" s="72"/>
      <c r="AE88" s="72"/>
      <c r="AF88" s="73"/>
      <c r="AG88" s="74"/>
      <c r="AH88" s="75"/>
      <c r="AI88" s="76" t="str">
        <f aca="false">IF(B88="","",ROUND(IF(AG88="",Settings!$C$5,AG88)*AW88,2))</f>
        <v/>
      </c>
      <c r="AJ88" s="77" t="str">
        <f aca="false">IF(OR(B88="",AB88="",AC88="",AD88=""),"",IFERROR(ROUND(ABS(AD88-AB88)/ABS(AB88-AC88),2),""))</f>
        <v/>
      </c>
      <c r="AK88" s="78" t="str">
        <f aca="false">IF(OR(B88="",AB88="",AC88="",AE88=""),"",IFERROR(ROUND(IF(J88="Short",AB88-AE88,AE88-AB88)/ABS(AB88-AC88),2),""))</f>
        <v/>
      </c>
      <c r="AL88" s="68" t="str">
        <f aca="false">IF(AK88="","",IF(ABS(AK88)&lt;=Settings!$C$6,"BE",IF(AK88&gt;0,"Win","Loss")))</f>
        <v/>
      </c>
      <c r="AM88" s="79" t="str">
        <f aca="false">IF(OR(AK88="",AI88=""),"",ROUND(AK88*AI88-N(AH88),2))</f>
        <v/>
      </c>
      <c r="AN88" s="76" t="str">
        <f aca="false">IF(AM88="","",ROUND(BK88+SUMIFS(AM$6:AM88,BJ$6:BJ88,BJ88),2))</f>
        <v/>
      </c>
      <c r="AO88" s="78" t="str">
        <f aca="false">IF(AK88="","",ROUND(SUMIFS(AK$6:AK88,BJ$6:BJ88,BJ88),2))</f>
        <v/>
      </c>
      <c r="AP88" s="80" t="str">
        <f aca="false">IF(OR(AK88="",BL88=""),"",IFERROR(ROUND(IF(J88="Short",AB88-AE88,AE88-AB88)/BL88,1),""))</f>
        <v/>
      </c>
      <c r="AQ88" s="66" t="str">
        <f aca="false">IF(OR(G88="",H88=""),"",ROUND(MOD(H88-G88,1)*1440,0))</f>
        <v/>
      </c>
      <c r="AR88" s="68" t="str">
        <f aca="false">IF(AQ88="","",IF(AQ88&lt;15,"Under 15m",IF(AQ88&lt;60,"15-60m",IF(AQ88&lt;240,"1-4 hours","4+ hours"))))</f>
        <v/>
      </c>
      <c r="AS88" s="66" t="str">
        <f aca="false">IF(G88="","",HOUR(G88))</f>
        <v/>
      </c>
      <c r="AT88" s="80" t="str">
        <f aca="false">IF(OR(Z88="",AB88="",BL88=""),"",IFERROR(ROUND(IF(J88="Short",Z88-AB88,AB88-Z88)/BL88,1),""))</f>
        <v/>
      </c>
      <c r="AU88" s="68" t="str">
        <f aca="false">IF(OR(AA88="",AC88=""),"",IF(AA88=AC88,"No","Yes"))</f>
        <v/>
      </c>
      <c r="AV88" s="81" t="str">
        <f aca="false">IF(OR(B88="",BL88="",BM88="",AB88="",AC88=""),"",IFERROR(ROUND(AI88/(ABS(AB88-AC88)/BL88*BM88),2),""))</f>
        <v/>
      </c>
      <c r="AW88" s="76" t="str">
        <f aca="false">IF(B88="","",ROUND(BK88+SUMIFS(AM$5:AM87,BJ$5:BJ87,BJ88),2))</f>
        <v/>
      </c>
      <c r="AX88" s="66" t="str">
        <f aca="false">IF(B88="","",COUNTIFS(B$6:B88,B88,BJ$6:BJ88,BJ88))</f>
        <v/>
      </c>
      <c r="AY88" s="79" t="str">
        <f aca="false">IF(B88="","",ROUND(SUMIFS(AM$5:AM87,B$5:B87,B88,BJ$5:BJ87,BJ88),2))</f>
        <v/>
      </c>
      <c r="AZ88" s="79" t="str">
        <f aca="false">IF(AM88="","",ROUND(AY88+AM88,2))</f>
        <v/>
      </c>
      <c r="BA88" s="79" t="str">
        <f aca="false">IF(B88="","",ROUND(SUMIFS(AM$5:AM87,B$5:B87,"&gt;="&amp;(B88-WEEKDAY(B88,2)+1),B$5:B87,"&lt;="&amp;B88,BJ$5:BJ87,BJ88),2))</f>
        <v/>
      </c>
      <c r="BB88" s="68" t="str">
        <f aca="false">IF(B88="","",IF(AND(AF88&lt;&gt;"",AV88&lt;&gt;"",N(AF88)&gt;N(AV88)*(1+Settings!$C$13)),"Oversized",IF(AX88&gt;Settings!$C$10,"Overtraded",IF(AY88&lt;=-Settings!$C$11*(AW88-AY88),"Daily loss hit",IF(BA88&lt;=-Settings!$C$12*(AW88-BA88),"Weekly loss hit","OK")))))</f>
        <v/>
      </c>
      <c r="BC88" s="69"/>
      <c r="BD88" s="69"/>
      <c r="BE88" s="69"/>
      <c r="BF88" s="73"/>
      <c r="BG88" s="73"/>
      <c r="BH88" s="71"/>
      <c r="BI88" s="71"/>
      <c r="BJ88" s="68" t="str">
        <f aca="false">IF(B88="","",IF(E88="",Settings!$F$5,E88))</f>
        <v/>
      </c>
      <c r="BK88" s="76" t="str">
        <f aca="false">IF(B88="","",IFERROR(INDEX(Settings!$G$5:$G$10,MATCH(BJ88,Settings!$F$5:$F$10,0)),Settings!$G$5))</f>
        <v/>
      </c>
      <c r="BL88" s="82" t="str">
        <f aca="false">IF(I88="","",IFERROR(1/(1/INDEX(Lists!$C$6:$C$17,MATCH(I88,Lists!$B$6:$B$17,0))),""))</f>
        <v/>
      </c>
      <c r="BM88" s="81" t="str">
        <f aca="false">IF(I88="","",IFERROR(1/(1/INDEX(Lists!$D$6:$D$17,MATCH(I88,Lists!$B$6:$B$17,0))),""))</f>
        <v/>
      </c>
      <c r="BN88" s="76" t="str">
        <f aca="false">IF(AN88="","",MAX(BK88,_xlfn.MAXIFS(AN$6:AN88,BJ$6:BJ88,BJ88)))</f>
        <v/>
      </c>
      <c r="BO88" s="83" t="str">
        <f aca="false">IF(AN88="","",(AN88-BN88)/BN88)</f>
        <v/>
      </c>
      <c r="BP88" s="66" t="n">
        <f aca="false">IF(OR(B88="",AL88=""),0,IF(OR(Settings!$C$28="All Accounts",BJ88=Settings!$C$28),1,0))</f>
        <v>0</v>
      </c>
      <c r="BQ88" s="66" t="str">
        <f aca="false">IF(BP88=1,SUM(BP$6:BP88),"")</f>
        <v/>
      </c>
      <c r="BR88" s="76" t="str">
        <f aca="false">IF(BP88=1,ROUND(Settings!$C$29+SUMIFS(AM$6:AM88,BP$6:BP88,1),2),"")</f>
        <v/>
      </c>
      <c r="BS88" s="76" t="str">
        <f aca="false">IF(BP88=1,MAX(Settings!$C$29,MAX(BR$6:BR88)),"")</f>
        <v/>
      </c>
      <c r="BT88" s="83" t="str">
        <f aca="false">IF(BP88=1,(BR88-BS88)/BS88,"")</f>
        <v/>
      </c>
      <c r="BU88" s="66" t="str">
        <f aca="false">IF(BP88=1,IF(AL88="Win",1+IF(BQ88=1,0,INDEX(BU$5:BU87,MATCH(BQ88-1,BQ$5:BQ87,0))),0),"")</f>
        <v/>
      </c>
      <c r="BV88" s="66" t="str">
        <f aca="false">IF(BP88=1,IF(AL88="Loss",1+IF(BQ88=1,0,INDEX(BV$5:BV87,MATCH(BQ88-1,BQ$5:BQ87,0))),0),"")</f>
        <v/>
      </c>
    </row>
    <row r="89" customFormat="false" ht="15" hidden="false" customHeight="false" outlineLevel="0" collapsed="false">
      <c r="A89" s="66" t="str">
        <f aca="false">IF(B89="","",ROW()-5)</f>
        <v/>
      </c>
      <c r="B89" s="67"/>
      <c r="C89" s="68" t="str">
        <f aca="false">IF(B89="","",CHOOSE(WEEKDAY(B89,2),"Mon","Tue","Wed","Thu","Fri","Sat","Sun"))</f>
        <v/>
      </c>
      <c r="D89" s="66" t="str">
        <f aca="false">IF(B89="","",WEEKNUM(B89,2))</f>
        <v/>
      </c>
      <c r="E89" s="69"/>
      <c r="F89" s="69"/>
      <c r="G89" s="70"/>
      <c r="H89" s="70"/>
      <c r="I89" s="69"/>
      <c r="J89" s="69"/>
      <c r="K89" s="69"/>
      <c r="L89" s="71"/>
      <c r="M89" s="69"/>
      <c r="N89" s="69"/>
      <c r="O89" s="69"/>
      <c r="P89" s="71"/>
      <c r="Q89" s="69"/>
      <c r="R89" s="69"/>
      <c r="S89" s="69"/>
      <c r="T89" s="69"/>
      <c r="U89" s="69"/>
      <c r="V89" s="69"/>
      <c r="W89" s="69"/>
      <c r="X89" s="66" t="str">
        <f aca="false">IF(B89="","",COUNTIF(Q89:W89,"Yes"))</f>
        <v/>
      </c>
      <c r="Y89" s="68" t="str">
        <f aca="false">IF(B89="","",IF(X89&gt;=Settings!$C$16,"A+",IF(X89&gt;=Settings!$C$17,"A",IF(X89&gt;=Settings!$C$18,"B","C"))))</f>
        <v/>
      </c>
      <c r="Z89" s="72"/>
      <c r="AA89" s="72"/>
      <c r="AB89" s="72"/>
      <c r="AC89" s="72"/>
      <c r="AD89" s="72"/>
      <c r="AE89" s="72"/>
      <c r="AF89" s="73"/>
      <c r="AG89" s="74"/>
      <c r="AH89" s="75"/>
      <c r="AI89" s="76" t="str">
        <f aca="false">IF(B89="","",ROUND(IF(AG89="",Settings!$C$5,AG89)*AW89,2))</f>
        <v/>
      </c>
      <c r="AJ89" s="77" t="str">
        <f aca="false">IF(OR(B89="",AB89="",AC89="",AD89=""),"",IFERROR(ROUND(ABS(AD89-AB89)/ABS(AB89-AC89),2),""))</f>
        <v/>
      </c>
      <c r="AK89" s="78" t="str">
        <f aca="false">IF(OR(B89="",AB89="",AC89="",AE89=""),"",IFERROR(ROUND(IF(J89="Short",AB89-AE89,AE89-AB89)/ABS(AB89-AC89),2),""))</f>
        <v/>
      </c>
      <c r="AL89" s="68" t="str">
        <f aca="false">IF(AK89="","",IF(ABS(AK89)&lt;=Settings!$C$6,"BE",IF(AK89&gt;0,"Win","Loss")))</f>
        <v/>
      </c>
      <c r="AM89" s="79" t="str">
        <f aca="false">IF(OR(AK89="",AI89=""),"",ROUND(AK89*AI89-N(AH89),2))</f>
        <v/>
      </c>
      <c r="AN89" s="76" t="str">
        <f aca="false">IF(AM89="","",ROUND(BK89+SUMIFS(AM$6:AM89,BJ$6:BJ89,BJ89),2))</f>
        <v/>
      </c>
      <c r="AO89" s="78" t="str">
        <f aca="false">IF(AK89="","",ROUND(SUMIFS(AK$6:AK89,BJ$6:BJ89,BJ89),2))</f>
        <v/>
      </c>
      <c r="AP89" s="80" t="str">
        <f aca="false">IF(OR(AK89="",BL89=""),"",IFERROR(ROUND(IF(J89="Short",AB89-AE89,AE89-AB89)/BL89,1),""))</f>
        <v/>
      </c>
      <c r="AQ89" s="66" t="str">
        <f aca="false">IF(OR(G89="",H89=""),"",ROUND(MOD(H89-G89,1)*1440,0))</f>
        <v/>
      </c>
      <c r="AR89" s="68" t="str">
        <f aca="false">IF(AQ89="","",IF(AQ89&lt;15,"Under 15m",IF(AQ89&lt;60,"15-60m",IF(AQ89&lt;240,"1-4 hours","4+ hours"))))</f>
        <v/>
      </c>
      <c r="AS89" s="66" t="str">
        <f aca="false">IF(G89="","",HOUR(G89))</f>
        <v/>
      </c>
      <c r="AT89" s="80" t="str">
        <f aca="false">IF(OR(Z89="",AB89="",BL89=""),"",IFERROR(ROUND(IF(J89="Short",Z89-AB89,AB89-Z89)/BL89,1),""))</f>
        <v/>
      </c>
      <c r="AU89" s="68" t="str">
        <f aca="false">IF(OR(AA89="",AC89=""),"",IF(AA89=AC89,"No","Yes"))</f>
        <v/>
      </c>
      <c r="AV89" s="81" t="str">
        <f aca="false">IF(OR(B89="",BL89="",BM89="",AB89="",AC89=""),"",IFERROR(ROUND(AI89/(ABS(AB89-AC89)/BL89*BM89),2),""))</f>
        <v/>
      </c>
      <c r="AW89" s="76" t="str">
        <f aca="false">IF(B89="","",ROUND(BK89+SUMIFS(AM$5:AM88,BJ$5:BJ88,BJ89),2))</f>
        <v/>
      </c>
      <c r="AX89" s="66" t="str">
        <f aca="false">IF(B89="","",COUNTIFS(B$6:B89,B89,BJ$6:BJ89,BJ89))</f>
        <v/>
      </c>
      <c r="AY89" s="79" t="str">
        <f aca="false">IF(B89="","",ROUND(SUMIFS(AM$5:AM88,B$5:B88,B89,BJ$5:BJ88,BJ89),2))</f>
        <v/>
      </c>
      <c r="AZ89" s="79" t="str">
        <f aca="false">IF(AM89="","",ROUND(AY89+AM89,2))</f>
        <v/>
      </c>
      <c r="BA89" s="79" t="str">
        <f aca="false">IF(B89="","",ROUND(SUMIFS(AM$5:AM88,B$5:B88,"&gt;="&amp;(B89-WEEKDAY(B89,2)+1),B$5:B88,"&lt;="&amp;B89,BJ$5:BJ88,BJ89),2))</f>
        <v/>
      </c>
      <c r="BB89" s="68" t="str">
        <f aca="false">IF(B89="","",IF(AND(AF89&lt;&gt;"",AV89&lt;&gt;"",N(AF89)&gt;N(AV89)*(1+Settings!$C$13)),"Oversized",IF(AX89&gt;Settings!$C$10,"Overtraded",IF(AY89&lt;=-Settings!$C$11*(AW89-AY89),"Daily loss hit",IF(BA89&lt;=-Settings!$C$12*(AW89-BA89),"Weekly loss hit","OK")))))</f>
        <v/>
      </c>
      <c r="BC89" s="69"/>
      <c r="BD89" s="69"/>
      <c r="BE89" s="69"/>
      <c r="BF89" s="73"/>
      <c r="BG89" s="73"/>
      <c r="BH89" s="71"/>
      <c r="BI89" s="71"/>
      <c r="BJ89" s="68" t="str">
        <f aca="false">IF(B89="","",IF(E89="",Settings!$F$5,E89))</f>
        <v/>
      </c>
      <c r="BK89" s="76" t="str">
        <f aca="false">IF(B89="","",IFERROR(INDEX(Settings!$G$5:$G$10,MATCH(BJ89,Settings!$F$5:$F$10,0)),Settings!$G$5))</f>
        <v/>
      </c>
      <c r="BL89" s="82" t="str">
        <f aca="false">IF(I89="","",IFERROR(1/(1/INDEX(Lists!$C$6:$C$17,MATCH(I89,Lists!$B$6:$B$17,0))),""))</f>
        <v/>
      </c>
      <c r="BM89" s="81" t="str">
        <f aca="false">IF(I89="","",IFERROR(1/(1/INDEX(Lists!$D$6:$D$17,MATCH(I89,Lists!$B$6:$B$17,0))),""))</f>
        <v/>
      </c>
      <c r="BN89" s="76" t="str">
        <f aca="false">IF(AN89="","",MAX(BK89,_xlfn.MAXIFS(AN$6:AN89,BJ$6:BJ89,BJ89)))</f>
        <v/>
      </c>
      <c r="BO89" s="83" t="str">
        <f aca="false">IF(AN89="","",(AN89-BN89)/BN89)</f>
        <v/>
      </c>
      <c r="BP89" s="66" t="n">
        <f aca="false">IF(OR(B89="",AL89=""),0,IF(OR(Settings!$C$28="All Accounts",BJ89=Settings!$C$28),1,0))</f>
        <v>0</v>
      </c>
      <c r="BQ89" s="66" t="str">
        <f aca="false">IF(BP89=1,SUM(BP$6:BP89),"")</f>
        <v/>
      </c>
      <c r="BR89" s="76" t="str">
        <f aca="false">IF(BP89=1,ROUND(Settings!$C$29+SUMIFS(AM$6:AM89,BP$6:BP89,1),2),"")</f>
        <v/>
      </c>
      <c r="BS89" s="76" t="str">
        <f aca="false">IF(BP89=1,MAX(Settings!$C$29,MAX(BR$6:BR89)),"")</f>
        <v/>
      </c>
      <c r="BT89" s="83" t="str">
        <f aca="false">IF(BP89=1,(BR89-BS89)/BS89,"")</f>
        <v/>
      </c>
      <c r="BU89" s="66" t="str">
        <f aca="false">IF(BP89=1,IF(AL89="Win",1+IF(BQ89=1,0,INDEX(BU$5:BU88,MATCH(BQ89-1,BQ$5:BQ88,0))),0),"")</f>
        <v/>
      </c>
      <c r="BV89" s="66" t="str">
        <f aca="false">IF(BP89=1,IF(AL89="Loss",1+IF(BQ89=1,0,INDEX(BV$5:BV88,MATCH(BQ89-1,BQ$5:BQ88,0))),0),"")</f>
        <v/>
      </c>
    </row>
    <row r="90" customFormat="false" ht="15" hidden="false" customHeight="false" outlineLevel="0" collapsed="false">
      <c r="A90" s="66" t="str">
        <f aca="false">IF(B90="","",ROW()-5)</f>
        <v/>
      </c>
      <c r="B90" s="67"/>
      <c r="C90" s="68" t="str">
        <f aca="false">IF(B90="","",CHOOSE(WEEKDAY(B90,2),"Mon","Tue","Wed","Thu","Fri","Sat","Sun"))</f>
        <v/>
      </c>
      <c r="D90" s="66" t="str">
        <f aca="false">IF(B90="","",WEEKNUM(B90,2))</f>
        <v/>
      </c>
      <c r="E90" s="69"/>
      <c r="F90" s="69"/>
      <c r="G90" s="70"/>
      <c r="H90" s="70"/>
      <c r="I90" s="69"/>
      <c r="J90" s="69"/>
      <c r="K90" s="69"/>
      <c r="L90" s="71"/>
      <c r="M90" s="69"/>
      <c r="N90" s="69"/>
      <c r="O90" s="69"/>
      <c r="P90" s="71"/>
      <c r="Q90" s="69"/>
      <c r="R90" s="69"/>
      <c r="S90" s="69"/>
      <c r="T90" s="69"/>
      <c r="U90" s="69"/>
      <c r="V90" s="69"/>
      <c r="W90" s="69"/>
      <c r="X90" s="66" t="str">
        <f aca="false">IF(B90="","",COUNTIF(Q90:W90,"Yes"))</f>
        <v/>
      </c>
      <c r="Y90" s="68" t="str">
        <f aca="false">IF(B90="","",IF(X90&gt;=Settings!$C$16,"A+",IF(X90&gt;=Settings!$C$17,"A",IF(X90&gt;=Settings!$C$18,"B","C"))))</f>
        <v/>
      </c>
      <c r="Z90" s="72"/>
      <c r="AA90" s="72"/>
      <c r="AB90" s="72"/>
      <c r="AC90" s="72"/>
      <c r="AD90" s="72"/>
      <c r="AE90" s="72"/>
      <c r="AF90" s="73"/>
      <c r="AG90" s="74"/>
      <c r="AH90" s="75"/>
      <c r="AI90" s="76" t="str">
        <f aca="false">IF(B90="","",ROUND(IF(AG90="",Settings!$C$5,AG90)*AW90,2))</f>
        <v/>
      </c>
      <c r="AJ90" s="77" t="str">
        <f aca="false">IF(OR(B90="",AB90="",AC90="",AD90=""),"",IFERROR(ROUND(ABS(AD90-AB90)/ABS(AB90-AC90),2),""))</f>
        <v/>
      </c>
      <c r="AK90" s="78" t="str">
        <f aca="false">IF(OR(B90="",AB90="",AC90="",AE90=""),"",IFERROR(ROUND(IF(J90="Short",AB90-AE90,AE90-AB90)/ABS(AB90-AC90),2),""))</f>
        <v/>
      </c>
      <c r="AL90" s="68" t="str">
        <f aca="false">IF(AK90="","",IF(ABS(AK90)&lt;=Settings!$C$6,"BE",IF(AK90&gt;0,"Win","Loss")))</f>
        <v/>
      </c>
      <c r="AM90" s="79" t="str">
        <f aca="false">IF(OR(AK90="",AI90=""),"",ROUND(AK90*AI90-N(AH90),2))</f>
        <v/>
      </c>
      <c r="AN90" s="76" t="str">
        <f aca="false">IF(AM90="","",ROUND(BK90+SUMIFS(AM$6:AM90,BJ$6:BJ90,BJ90),2))</f>
        <v/>
      </c>
      <c r="AO90" s="78" t="str">
        <f aca="false">IF(AK90="","",ROUND(SUMIFS(AK$6:AK90,BJ$6:BJ90,BJ90),2))</f>
        <v/>
      </c>
      <c r="AP90" s="80" t="str">
        <f aca="false">IF(OR(AK90="",BL90=""),"",IFERROR(ROUND(IF(J90="Short",AB90-AE90,AE90-AB90)/BL90,1),""))</f>
        <v/>
      </c>
      <c r="AQ90" s="66" t="str">
        <f aca="false">IF(OR(G90="",H90=""),"",ROUND(MOD(H90-G90,1)*1440,0))</f>
        <v/>
      </c>
      <c r="AR90" s="68" t="str">
        <f aca="false">IF(AQ90="","",IF(AQ90&lt;15,"Under 15m",IF(AQ90&lt;60,"15-60m",IF(AQ90&lt;240,"1-4 hours","4+ hours"))))</f>
        <v/>
      </c>
      <c r="AS90" s="66" t="str">
        <f aca="false">IF(G90="","",HOUR(G90))</f>
        <v/>
      </c>
      <c r="AT90" s="80" t="str">
        <f aca="false">IF(OR(Z90="",AB90="",BL90=""),"",IFERROR(ROUND(IF(J90="Short",Z90-AB90,AB90-Z90)/BL90,1),""))</f>
        <v/>
      </c>
      <c r="AU90" s="68" t="str">
        <f aca="false">IF(OR(AA90="",AC90=""),"",IF(AA90=AC90,"No","Yes"))</f>
        <v/>
      </c>
      <c r="AV90" s="81" t="str">
        <f aca="false">IF(OR(B90="",BL90="",BM90="",AB90="",AC90=""),"",IFERROR(ROUND(AI90/(ABS(AB90-AC90)/BL90*BM90),2),""))</f>
        <v/>
      </c>
      <c r="AW90" s="76" t="str">
        <f aca="false">IF(B90="","",ROUND(BK90+SUMIFS(AM$5:AM89,BJ$5:BJ89,BJ90),2))</f>
        <v/>
      </c>
      <c r="AX90" s="66" t="str">
        <f aca="false">IF(B90="","",COUNTIFS(B$6:B90,B90,BJ$6:BJ90,BJ90))</f>
        <v/>
      </c>
      <c r="AY90" s="79" t="str">
        <f aca="false">IF(B90="","",ROUND(SUMIFS(AM$5:AM89,B$5:B89,B90,BJ$5:BJ89,BJ90),2))</f>
        <v/>
      </c>
      <c r="AZ90" s="79" t="str">
        <f aca="false">IF(AM90="","",ROUND(AY90+AM90,2))</f>
        <v/>
      </c>
      <c r="BA90" s="79" t="str">
        <f aca="false">IF(B90="","",ROUND(SUMIFS(AM$5:AM89,B$5:B89,"&gt;="&amp;(B90-WEEKDAY(B90,2)+1),B$5:B89,"&lt;="&amp;B90,BJ$5:BJ89,BJ90),2))</f>
        <v/>
      </c>
      <c r="BB90" s="68" t="str">
        <f aca="false">IF(B90="","",IF(AND(AF90&lt;&gt;"",AV90&lt;&gt;"",N(AF90)&gt;N(AV90)*(1+Settings!$C$13)),"Oversized",IF(AX90&gt;Settings!$C$10,"Overtraded",IF(AY90&lt;=-Settings!$C$11*(AW90-AY90),"Daily loss hit",IF(BA90&lt;=-Settings!$C$12*(AW90-BA90),"Weekly loss hit","OK")))))</f>
        <v/>
      </c>
      <c r="BC90" s="69"/>
      <c r="BD90" s="69"/>
      <c r="BE90" s="69"/>
      <c r="BF90" s="73"/>
      <c r="BG90" s="73"/>
      <c r="BH90" s="71"/>
      <c r="BI90" s="71"/>
      <c r="BJ90" s="68" t="str">
        <f aca="false">IF(B90="","",IF(E90="",Settings!$F$5,E90))</f>
        <v/>
      </c>
      <c r="BK90" s="76" t="str">
        <f aca="false">IF(B90="","",IFERROR(INDEX(Settings!$G$5:$G$10,MATCH(BJ90,Settings!$F$5:$F$10,0)),Settings!$G$5))</f>
        <v/>
      </c>
      <c r="BL90" s="82" t="str">
        <f aca="false">IF(I90="","",IFERROR(1/(1/INDEX(Lists!$C$6:$C$17,MATCH(I90,Lists!$B$6:$B$17,0))),""))</f>
        <v/>
      </c>
      <c r="BM90" s="81" t="str">
        <f aca="false">IF(I90="","",IFERROR(1/(1/INDEX(Lists!$D$6:$D$17,MATCH(I90,Lists!$B$6:$B$17,0))),""))</f>
        <v/>
      </c>
      <c r="BN90" s="76" t="str">
        <f aca="false">IF(AN90="","",MAX(BK90,_xlfn.MAXIFS(AN$6:AN90,BJ$6:BJ90,BJ90)))</f>
        <v/>
      </c>
      <c r="BO90" s="83" t="str">
        <f aca="false">IF(AN90="","",(AN90-BN90)/BN90)</f>
        <v/>
      </c>
      <c r="BP90" s="66" t="n">
        <f aca="false">IF(OR(B90="",AL90=""),0,IF(OR(Settings!$C$28="All Accounts",BJ90=Settings!$C$28),1,0))</f>
        <v>0</v>
      </c>
      <c r="BQ90" s="66" t="str">
        <f aca="false">IF(BP90=1,SUM(BP$6:BP90),"")</f>
        <v/>
      </c>
      <c r="BR90" s="76" t="str">
        <f aca="false">IF(BP90=1,ROUND(Settings!$C$29+SUMIFS(AM$6:AM90,BP$6:BP90,1),2),"")</f>
        <v/>
      </c>
      <c r="BS90" s="76" t="str">
        <f aca="false">IF(BP90=1,MAX(Settings!$C$29,MAX(BR$6:BR90)),"")</f>
        <v/>
      </c>
      <c r="BT90" s="83" t="str">
        <f aca="false">IF(BP90=1,(BR90-BS90)/BS90,"")</f>
        <v/>
      </c>
      <c r="BU90" s="66" t="str">
        <f aca="false">IF(BP90=1,IF(AL90="Win",1+IF(BQ90=1,0,INDEX(BU$5:BU89,MATCH(BQ90-1,BQ$5:BQ89,0))),0),"")</f>
        <v/>
      </c>
      <c r="BV90" s="66" t="str">
        <f aca="false">IF(BP90=1,IF(AL90="Loss",1+IF(BQ90=1,0,INDEX(BV$5:BV89,MATCH(BQ90-1,BQ$5:BQ89,0))),0),"")</f>
        <v/>
      </c>
    </row>
    <row r="91" customFormat="false" ht="15" hidden="false" customHeight="false" outlineLevel="0" collapsed="false">
      <c r="A91" s="66" t="str">
        <f aca="false">IF(B91="","",ROW()-5)</f>
        <v/>
      </c>
      <c r="B91" s="67"/>
      <c r="C91" s="68" t="str">
        <f aca="false">IF(B91="","",CHOOSE(WEEKDAY(B91,2),"Mon","Tue","Wed","Thu","Fri","Sat","Sun"))</f>
        <v/>
      </c>
      <c r="D91" s="66" t="str">
        <f aca="false">IF(B91="","",WEEKNUM(B91,2))</f>
        <v/>
      </c>
      <c r="E91" s="69"/>
      <c r="F91" s="69"/>
      <c r="G91" s="70"/>
      <c r="H91" s="70"/>
      <c r="I91" s="69"/>
      <c r="J91" s="69"/>
      <c r="K91" s="69"/>
      <c r="L91" s="71"/>
      <c r="M91" s="69"/>
      <c r="N91" s="69"/>
      <c r="O91" s="69"/>
      <c r="P91" s="71"/>
      <c r="Q91" s="69"/>
      <c r="R91" s="69"/>
      <c r="S91" s="69"/>
      <c r="T91" s="69"/>
      <c r="U91" s="69"/>
      <c r="V91" s="69"/>
      <c r="W91" s="69"/>
      <c r="X91" s="66" t="str">
        <f aca="false">IF(B91="","",COUNTIF(Q91:W91,"Yes"))</f>
        <v/>
      </c>
      <c r="Y91" s="68" t="str">
        <f aca="false">IF(B91="","",IF(X91&gt;=Settings!$C$16,"A+",IF(X91&gt;=Settings!$C$17,"A",IF(X91&gt;=Settings!$C$18,"B","C"))))</f>
        <v/>
      </c>
      <c r="Z91" s="72"/>
      <c r="AA91" s="72"/>
      <c r="AB91" s="72"/>
      <c r="AC91" s="72"/>
      <c r="AD91" s="72"/>
      <c r="AE91" s="72"/>
      <c r="AF91" s="73"/>
      <c r="AG91" s="74"/>
      <c r="AH91" s="75"/>
      <c r="AI91" s="76" t="str">
        <f aca="false">IF(B91="","",ROUND(IF(AG91="",Settings!$C$5,AG91)*AW91,2))</f>
        <v/>
      </c>
      <c r="AJ91" s="77" t="str">
        <f aca="false">IF(OR(B91="",AB91="",AC91="",AD91=""),"",IFERROR(ROUND(ABS(AD91-AB91)/ABS(AB91-AC91),2),""))</f>
        <v/>
      </c>
      <c r="AK91" s="78" t="str">
        <f aca="false">IF(OR(B91="",AB91="",AC91="",AE91=""),"",IFERROR(ROUND(IF(J91="Short",AB91-AE91,AE91-AB91)/ABS(AB91-AC91),2),""))</f>
        <v/>
      </c>
      <c r="AL91" s="68" t="str">
        <f aca="false">IF(AK91="","",IF(ABS(AK91)&lt;=Settings!$C$6,"BE",IF(AK91&gt;0,"Win","Loss")))</f>
        <v/>
      </c>
      <c r="AM91" s="79" t="str">
        <f aca="false">IF(OR(AK91="",AI91=""),"",ROUND(AK91*AI91-N(AH91),2))</f>
        <v/>
      </c>
      <c r="AN91" s="76" t="str">
        <f aca="false">IF(AM91="","",ROUND(BK91+SUMIFS(AM$6:AM91,BJ$6:BJ91,BJ91),2))</f>
        <v/>
      </c>
      <c r="AO91" s="78" t="str">
        <f aca="false">IF(AK91="","",ROUND(SUMIFS(AK$6:AK91,BJ$6:BJ91,BJ91),2))</f>
        <v/>
      </c>
      <c r="AP91" s="80" t="str">
        <f aca="false">IF(OR(AK91="",BL91=""),"",IFERROR(ROUND(IF(J91="Short",AB91-AE91,AE91-AB91)/BL91,1),""))</f>
        <v/>
      </c>
      <c r="AQ91" s="66" t="str">
        <f aca="false">IF(OR(G91="",H91=""),"",ROUND(MOD(H91-G91,1)*1440,0))</f>
        <v/>
      </c>
      <c r="AR91" s="68" t="str">
        <f aca="false">IF(AQ91="","",IF(AQ91&lt;15,"Under 15m",IF(AQ91&lt;60,"15-60m",IF(AQ91&lt;240,"1-4 hours","4+ hours"))))</f>
        <v/>
      </c>
      <c r="AS91" s="66" t="str">
        <f aca="false">IF(G91="","",HOUR(G91))</f>
        <v/>
      </c>
      <c r="AT91" s="80" t="str">
        <f aca="false">IF(OR(Z91="",AB91="",BL91=""),"",IFERROR(ROUND(IF(J91="Short",Z91-AB91,AB91-Z91)/BL91,1),""))</f>
        <v/>
      </c>
      <c r="AU91" s="68" t="str">
        <f aca="false">IF(OR(AA91="",AC91=""),"",IF(AA91=AC91,"No","Yes"))</f>
        <v/>
      </c>
      <c r="AV91" s="81" t="str">
        <f aca="false">IF(OR(B91="",BL91="",BM91="",AB91="",AC91=""),"",IFERROR(ROUND(AI91/(ABS(AB91-AC91)/BL91*BM91),2),""))</f>
        <v/>
      </c>
      <c r="AW91" s="76" t="str">
        <f aca="false">IF(B91="","",ROUND(BK91+SUMIFS(AM$5:AM90,BJ$5:BJ90,BJ91),2))</f>
        <v/>
      </c>
      <c r="AX91" s="66" t="str">
        <f aca="false">IF(B91="","",COUNTIFS(B$6:B91,B91,BJ$6:BJ91,BJ91))</f>
        <v/>
      </c>
      <c r="AY91" s="79" t="str">
        <f aca="false">IF(B91="","",ROUND(SUMIFS(AM$5:AM90,B$5:B90,B91,BJ$5:BJ90,BJ91),2))</f>
        <v/>
      </c>
      <c r="AZ91" s="79" t="str">
        <f aca="false">IF(AM91="","",ROUND(AY91+AM91,2))</f>
        <v/>
      </c>
      <c r="BA91" s="79" t="str">
        <f aca="false">IF(B91="","",ROUND(SUMIFS(AM$5:AM90,B$5:B90,"&gt;="&amp;(B91-WEEKDAY(B91,2)+1),B$5:B90,"&lt;="&amp;B91,BJ$5:BJ90,BJ91),2))</f>
        <v/>
      </c>
      <c r="BB91" s="68" t="str">
        <f aca="false">IF(B91="","",IF(AND(AF91&lt;&gt;"",AV91&lt;&gt;"",N(AF91)&gt;N(AV91)*(1+Settings!$C$13)),"Oversized",IF(AX91&gt;Settings!$C$10,"Overtraded",IF(AY91&lt;=-Settings!$C$11*(AW91-AY91),"Daily loss hit",IF(BA91&lt;=-Settings!$C$12*(AW91-BA91),"Weekly loss hit","OK")))))</f>
        <v/>
      </c>
      <c r="BC91" s="69"/>
      <c r="BD91" s="69"/>
      <c r="BE91" s="69"/>
      <c r="BF91" s="73"/>
      <c r="BG91" s="73"/>
      <c r="BH91" s="71"/>
      <c r="BI91" s="71"/>
      <c r="BJ91" s="68" t="str">
        <f aca="false">IF(B91="","",IF(E91="",Settings!$F$5,E91))</f>
        <v/>
      </c>
      <c r="BK91" s="76" t="str">
        <f aca="false">IF(B91="","",IFERROR(INDEX(Settings!$G$5:$G$10,MATCH(BJ91,Settings!$F$5:$F$10,0)),Settings!$G$5))</f>
        <v/>
      </c>
      <c r="BL91" s="82" t="str">
        <f aca="false">IF(I91="","",IFERROR(1/(1/INDEX(Lists!$C$6:$C$17,MATCH(I91,Lists!$B$6:$B$17,0))),""))</f>
        <v/>
      </c>
      <c r="BM91" s="81" t="str">
        <f aca="false">IF(I91="","",IFERROR(1/(1/INDEX(Lists!$D$6:$D$17,MATCH(I91,Lists!$B$6:$B$17,0))),""))</f>
        <v/>
      </c>
      <c r="BN91" s="76" t="str">
        <f aca="false">IF(AN91="","",MAX(BK91,_xlfn.MAXIFS(AN$6:AN91,BJ$6:BJ91,BJ91)))</f>
        <v/>
      </c>
      <c r="BO91" s="83" t="str">
        <f aca="false">IF(AN91="","",(AN91-BN91)/BN91)</f>
        <v/>
      </c>
      <c r="BP91" s="66" t="n">
        <f aca="false">IF(OR(B91="",AL91=""),0,IF(OR(Settings!$C$28="All Accounts",BJ91=Settings!$C$28),1,0))</f>
        <v>0</v>
      </c>
      <c r="BQ91" s="66" t="str">
        <f aca="false">IF(BP91=1,SUM(BP$6:BP91),"")</f>
        <v/>
      </c>
      <c r="BR91" s="76" t="str">
        <f aca="false">IF(BP91=1,ROUND(Settings!$C$29+SUMIFS(AM$6:AM91,BP$6:BP91,1),2),"")</f>
        <v/>
      </c>
      <c r="BS91" s="76" t="str">
        <f aca="false">IF(BP91=1,MAX(Settings!$C$29,MAX(BR$6:BR91)),"")</f>
        <v/>
      </c>
      <c r="BT91" s="83" t="str">
        <f aca="false">IF(BP91=1,(BR91-BS91)/BS91,"")</f>
        <v/>
      </c>
      <c r="BU91" s="66" t="str">
        <f aca="false">IF(BP91=1,IF(AL91="Win",1+IF(BQ91=1,0,INDEX(BU$5:BU90,MATCH(BQ91-1,BQ$5:BQ90,0))),0),"")</f>
        <v/>
      </c>
      <c r="BV91" s="66" t="str">
        <f aca="false">IF(BP91=1,IF(AL91="Loss",1+IF(BQ91=1,0,INDEX(BV$5:BV90,MATCH(BQ91-1,BQ$5:BQ90,0))),0),"")</f>
        <v/>
      </c>
    </row>
    <row r="92" customFormat="false" ht="15" hidden="false" customHeight="false" outlineLevel="0" collapsed="false">
      <c r="A92" s="66" t="str">
        <f aca="false">IF(B92="","",ROW()-5)</f>
        <v/>
      </c>
      <c r="B92" s="67"/>
      <c r="C92" s="68" t="str">
        <f aca="false">IF(B92="","",CHOOSE(WEEKDAY(B92,2),"Mon","Tue","Wed","Thu","Fri","Sat","Sun"))</f>
        <v/>
      </c>
      <c r="D92" s="66" t="str">
        <f aca="false">IF(B92="","",WEEKNUM(B92,2))</f>
        <v/>
      </c>
      <c r="E92" s="69"/>
      <c r="F92" s="69"/>
      <c r="G92" s="70"/>
      <c r="H92" s="70"/>
      <c r="I92" s="69"/>
      <c r="J92" s="69"/>
      <c r="K92" s="69"/>
      <c r="L92" s="71"/>
      <c r="M92" s="69"/>
      <c r="N92" s="69"/>
      <c r="O92" s="69"/>
      <c r="P92" s="71"/>
      <c r="Q92" s="69"/>
      <c r="R92" s="69"/>
      <c r="S92" s="69"/>
      <c r="T92" s="69"/>
      <c r="U92" s="69"/>
      <c r="V92" s="69"/>
      <c r="W92" s="69"/>
      <c r="X92" s="66" t="str">
        <f aca="false">IF(B92="","",COUNTIF(Q92:W92,"Yes"))</f>
        <v/>
      </c>
      <c r="Y92" s="68" t="str">
        <f aca="false">IF(B92="","",IF(X92&gt;=Settings!$C$16,"A+",IF(X92&gt;=Settings!$C$17,"A",IF(X92&gt;=Settings!$C$18,"B","C"))))</f>
        <v/>
      </c>
      <c r="Z92" s="72"/>
      <c r="AA92" s="72"/>
      <c r="AB92" s="72"/>
      <c r="AC92" s="72"/>
      <c r="AD92" s="72"/>
      <c r="AE92" s="72"/>
      <c r="AF92" s="73"/>
      <c r="AG92" s="74"/>
      <c r="AH92" s="75"/>
      <c r="AI92" s="76" t="str">
        <f aca="false">IF(B92="","",ROUND(IF(AG92="",Settings!$C$5,AG92)*AW92,2))</f>
        <v/>
      </c>
      <c r="AJ92" s="77" t="str">
        <f aca="false">IF(OR(B92="",AB92="",AC92="",AD92=""),"",IFERROR(ROUND(ABS(AD92-AB92)/ABS(AB92-AC92),2),""))</f>
        <v/>
      </c>
      <c r="AK92" s="78" t="str">
        <f aca="false">IF(OR(B92="",AB92="",AC92="",AE92=""),"",IFERROR(ROUND(IF(J92="Short",AB92-AE92,AE92-AB92)/ABS(AB92-AC92),2),""))</f>
        <v/>
      </c>
      <c r="AL92" s="68" t="str">
        <f aca="false">IF(AK92="","",IF(ABS(AK92)&lt;=Settings!$C$6,"BE",IF(AK92&gt;0,"Win","Loss")))</f>
        <v/>
      </c>
      <c r="AM92" s="79" t="str">
        <f aca="false">IF(OR(AK92="",AI92=""),"",ROUND(AK92*AI92-N(AH92),2))</f>
        <v/>
      </c>
      <c r="AN92" s="76" t="str">
        <f aca="false">IF(AM92="","",ROUND(BK92+SUMIFS(AM$6:AM92,BJ$6:BJ92,BJ92),2))</f>
        <v/>
      </c>
      <c r="AO92" s="78" t="str">
        <f aca="false">IF(AK92="","",ROUND(SUMIFS(AK$6:AK92,BJ$6:BJ92,BJ92),2))</f>
        <v/>
      </c>
      <c r="AP92" s="80" t="str">
        <f aca="false">IF(OR(AK92="",BL92=""),"",IFERROR(ROUND(IF(J92="Short",AB92-AE92,AE92-AB92)/BL92,1),""))</f>
        <v/>
      </c>
      <c r="AQ92" s="66" t="str">
        <f aca="false">IF(OR(G92="",H92=""),"",ROUND(MOD(H92-G92,1)*1440,0))</f>
        <v/>
      </c>
      <c r="AR92" s="68" t="str">
        <f aca="false">IF(AQ92="","",IF(AQ92&lt;15,"Under 15m",IF(AQ92&lt;60,"15-60m",IF(AQ92&lt;240,"1-4 hours","4+ hours"))))</f>
        <v/>
      </c>
      <c r="AS92" s="66" t="str">
        <f aca="false">IF(G92="","",HOUR(G92))</f>
        <v/>
      </c>
      <c r="AT92" s="80" t="str">
        <f aca="false">IF(OR(Z92="",AB92="",BL92=""),"",IFERROR(ROUND(IF(J92="Short",Z92-AB92,AB92-Z92)/BL92,1),""))</f>
        <v/>
      </c>
      <c r="AU92" s="68" t="str">
        <f aca="false">IF(OR(AA92="",AC92=""),"",IF(AA92=AC92,"No","Yes"))</f>
        <v/>
      </c>
      <c r="AV92" s="81" t="str">
        <f aca="false">IF(OR(B92="",BL92="",BM92="",AB92="",AC92=""),"",IFERROR(ROUND(AI92/(ABS(AB92-AC92)/BL92*BM92),2),""))</f>
        <v/>
      </c>
      <c r="AW92" s="76" t="str">
        <f aca="false">IF(B92="","",ROUND(BK92+SUMIFS(AM$5:AM91,BJ$5:BJ91,BJ92),2))</f>
        <v/>
      </c>
      <c r="AX92" s="66" t="str">
        <f aca="false">IF(B92="","",COUNTIFS(B$6:B92,B92,BJ$6:BJ92,BJ92))</f>
        <v/>
      </c>
      <c r="AY92" s="79" t="str">
        <f aca="false">IF(B92="","",ROUND(SUMIFS(AM$5:AM91,B$5:B91,B92,BJ$5:BJ91,BJ92),2))</f>
        <v/>
      </c>
      <c r="AZ92" s="79" t="str">
        <f aca="false">IF(AM92="","",ROUND(AY92+AM92,2))</f>
        <v/>
      </c>
      <c r="BA92" s="79" t="str">
        <f aca="false">IF(B92="","",ROUND(SUMIFS(AM$5:AM91,B$5:B91,"&gt;="&amp;(B92-WEEKDAY(B92,2)+1),B$5:B91,"&lt;="&amp;B92,BJ$5:BJ91,BJ92),2))</f>
        <v/>
      </c>
      <c r="BB92" s="68" t="str">
        <f aca="false">IF(B92="","",IF(AND(AF92&lt;&gt;"",AV92&lt;&gt;"",N(AF92)&gt;N(AV92)*(1+Settings!$C$13)),"Oversized",IF(AX92&gt;Settings!$C$10,"Overtraded",IF(AY92&lt;=-Settings!$C$11*(AW92-AY92),"Daily loss hit",IF(BA92&lt;=-Settings!$C$12*(AW92-BA92),"Weekly loss hit","OK")))))</f>
        <v/>
      </c>
      <c r="BC92" s="69"/>
      <c r="BD92" s="69"/>
      <c r="BE92" s="69"/>
      <c r="BF92" s="73"/>
      <c r="BG92" s="73"/>
      <c r="BH92" s="71"/>
      <c r="BI92" s="71"/>
      <c r="BJ92" s="68" t="str">
        <f aca="false">IF(B92="","",IF(E92="",Settings!$F$5,E92))</f>
        <v/>
      </c>
      <c r="BK92" s="76" t="str">
        <f aca="false">IF(B92="","",IFERROR(INDEX(Settings!$G$5:$G$10,MATCH(BJ92,Settings!$F$5:$F$10,0)),Settings!$G$5))</f>
        <v/>
      </c>
      <c r="BL92" s="82" t="str">
        <f aca="false">IF(I92="","",IFERROR(1/(1/INDEX(Lists!$C$6:$C$17,MATCH(I92,Lists!$B$6:$B$17,0))),""))</f>
        <v/>
      </c>
      <c r="BM92" s="81" t="str">
        <f aca="false">IF(I92="","",IFERROR(1/(1/INDEX(Lists!$D$6:$D$17,MATCH(I92,Lists!$B$6:$B$17,0))),""))</f>
        <v/>
      </c>
      <c r="BN92" s="76" t="str">
        <f aca="false">IF(AN92="","",MAX(BK92,_xlfn.MAXIFS(AN$6:AN92,BJ$6:BJ92,BJ92)))</f>
        <v/>
      </c>
      <c r="BO92" s="83" t="str">
        <f aca="false">IF(AN92="","",(AN92-BN92)/BN92)</f>
        <v/>
      </c>
      <c r="BP92" s="66" t="n">
        <f aca="false">IF(OR(B92="",AL92=""),0,IF(OR(Settings!$C$28="All Accounts",BJ92=Settings!$C$28),1,0))</f>
        <v>0</v>
      </c>
      <c r="BQ92" s="66" t="str">
        <f aca="false">IF(BP92=1,SUM(BP$6:BP92),"")</f>
        <v/>
      </c>
      <c r="BR92" s="76" t="str">
        <f aca="false">IF(BP92=1,ROUND(Settings!$C$29+SUMIFS(AM$6:AM92,BP$6:BP92,1),2),"")</f>
        <v/>
      </c>
      <c r="BS92" s="76" t="str">
        <f aca="false">IF(BP92=1,MAX(Settings!$C$29,MAX(BR$6:BR92)),"")</f>
        <v/>
      </c>
      <c r="BT92" s="83" t="str">
        <f aca="false">IF(BP92=1,(BR92-BS92)/BS92,"")</f>
        <v/>
      </c>
      <c r="BU92" s="66" t="str">
        <f aca="false">IF(BP92=1,IF(AL92="Win",1+IF(BQ92=1,0,INDEX(BU$5:BU91,MATCH(BQ92-1,BQ$5:BQ91,0))),0),"")</f>
        <v/>
      </c>
      <c r="BV92" s="66" t="str">
        <f aca="false">IF(BP92=1,IF(AL92="Loss",1+IF(BQ92=1,0,INDEX(BV$5:BV91,MATCH(BQ92-1,BQ$5:BQ91,0))),0),"")</f>
        <v/>
      </c>
    </row>
    <row r="93" customFormat="false" ht="15" hidden="false" customHeight="false" outlineLevel="0" collapsed="false">
      <c r="A93" s="66" t="str">
        <f aca="false">IF(B93="","",ROW()-5)</f>
        <v/>
      </c>
      <c r="B93" s="67"/>
      <c r="C93" s="68" t="str">
        <f aca="false">IF(B93="","",CHOOSE(WEEKDAY(B93,2),"Mon","Tue","Wed","Thu","Fri","Sat","Sun"))</f>
        <v/>
      </c>
      <c r="D93" s="66" t="str">
        <f aca="false">IF(B93="","",WEEKNUM(B93,2))</f>
        <v/>
      </c>
      <c r="E93" s="69"/>
      <c r="F93" s="69"/>
      <c r="G93" s="70"/>
      <c r="H93" s="70"/>
      <c r="I93" s="69"/>
      <c r="J93" s="69"/>
      <c r="K93" s="69"/>
      <c r="L93" s="71"/>
      <c r="M93" s="69"/>
      <c r="N93" s="69"/>
      <c r="O93" s="69"/>
      <c r="P93" s="71"/>
      <c r="Q93" s="69"/>
      <c r="R93" s="69"/>
      <c r="S93" s="69"/>
      <c r="T93" s="69"/>
      <c r="U93" s="69"/>
      <c r="V93" s="69"/>
      <c r="W93" s="69"/>
      <c r="X93" s="66" t="str">
        <f aca="false">IF(B93="","",COUNTIF(Q93:W93,"Yes"))</f>
        <v/>
      </c>
      <c r="Y93" s="68" t="str">
        <f aca="false">IF(B93="","",IF(X93&gt;=Settings!$C$16,"A+",IF(X93&gt;=Settings!$C$17,"A",IF(X93&gt;=Settings!$C$18,"B","C"))))</f>
        <v/>
      </c>
      <c r="Z93" s="72"/>
      <c r="AA93" s="72"/>
      <c r="AB93" s="72"/>
      <c r="AC93" s="72"/>
      <c r="AD93" s="72"/>
      <c r="AE93" s="72"/>
      <c r="AF93" s="73"/>
      <c r="AG93" s="74"/>
      <c r="AH93" s="75"/>
      <c r="AI93" s="76" t="str">
        <f aca="false">IF(B93="","",ROUND(IF(AG93="",Settings!$C$5,AG93)*AW93,2))</f>
        <v/>
      </c>
      <c r="AJ93" s="77" t="str">
        <f aca="false">IF(OR(B93="",AB93="",AC93="",AD93=""),"",IFERROR(ROUND(ABS(AD93-AB93)/ABS(AB93-AC93),2),""))</f>
        <v/>
      </c>
      <c r="AK93" s="78" t="str">
        <f aca="false">IF(OR(B93="",AB93="",AC93="",AE93=""),"",IFERROR(ROUND(IF(J93="Short",AB93-AE93,AE93-AB93)/ABS(AB93-AC93),2),""))</f>
        <v/>
      </c>
      <c r="AL93" s="68" t="str">
        <f aca="false">IF(AK93="","",IF(ABS(AK93)&lt;=Settings!$C$6,"BE",IF(AK93&gt;0,"Win","Loss")))</f>
        <v/>
      </c>
      <c r="AM93" s="79" t="str">
        <f aca="false">IF(OR(AK93="",AI93=""),"",ROUND(AK93*AI93-N(AH93),2))</f>
        <v/>
      </c>
      <c r="AN93" s="76" t="str">
        <f aca="false">IF(AM93="","",ROUND(BK93+SUMIFS(AM$6:AM93,BJ$6:BJ93,BJ93),2))</f>
        <v/>
      </c>
      <c r="AO93" s="78" t="str">
        <f aca="false">IF(AK93="","",ROUND(SUMIFS(AK$6:AK93,BJ$6:BJ93,BJ93),2))</f>
        <v/>
      </c>
      <c r="AP93" s="80" t="str">
        <f aca="false">IF(OR(AK93="",BL93=""),"",IFERROR(ROUND(IF(J93="Short",AB93-AE93,AE93-AB93)/BL93,1),""))</f>
        <v/>
      </c>
      <c r="AQ93" s="66" t="str">
        <f aca="false">IF(OR(G93="",H93=""),"",ROUND(MOD(H93-G93,1)*1440,0))</f>
        <v/>
      </c>
      <c r="AR93" s="68" t="str">
        <f aca="false">IF(AQ93="","",IF(AQ93&lt;15,"Under 15m",IF(AQ93&lt;60,"15-60m",IF(AQ93&lt;240,"1-4 hours","4+ hours"))))</f>
        <v/>
      </c>
      <c r="AS93" s="66" t="str">
        <f aca="false">IF(G93="","",HOUR(G93))</f>
        <v/>
      </c>
      <c r="AT93" s="80" t="str">
        <f aca="false">IF(OR(Z93="",AB93="",BL93=""),"",IFERROR(ROUND(IF(J93="Short",Z93-AB93,AB93-Z93)/BL93,1),""))</f>
        <v/>
      </c>
      <c r="AU93" s="68" t="str">
        <f aca="false">IF(OR(AA93="",AC93=""),"",IF(AA93=AC93,"No","Yes"))</f>
        <v/>
      </c>
      <c r="AV93" s="81" t="str">
        <f aca="false">IF(OR(B93="",BL93="",BM93="",AB93="",AC93=""),"",IFERROR(ROUND(AI93/(ABS(AB93-AC93)/BL93*BM93),2),""))</f>
        <v/>
      </c>
      <c r="AW93" s="76" t="str">
        <f aca="false">IF(B93="","",ROUND(BK93+SUMIFS(AM$5:AM92,BJ$5:BJ92,BJ93),2))</f>
        <v/>
      </c>
      <c r="AX93" s="66" t="str">
        <f aca="false">IF(B93="","",COUNTIFS(B$6:B93,B93,BJ$6:BJ93,BJ93))</f>
        <v/>
      </c>
      <c r="AY93" s="79" t="str">
        <f aca="false">IF(B93="","",ROUND(SUMIFS(AM$5:AM92,B$5:B92,B93,BJ$5:BJ92,BJ93),2))</f>
        <v/>
      </c>
      <c r="AZ93" s="79" t="str">
        <f aca="false">IF(AM93="","",ROUND(AY93+AM93,2))</f>
        <v/>
      </c>
      <c r="BA93" s="79" t="str">
        <f aca="false">IF(B93="","",ROUND(SUMIFS(AM$5:AM92,B$5:B92,"&gt;="&amp;(B93-WEEKDAY(B93,2)+1),B$5:B92,"&lt;="&amp;B93,BJ$5:BJ92,BJ93),2))</f>
        <v/>
      </c>
      <c r="BB93" s="68" t="str">
        <f aca="false">IF(B93="","",IF(AND(AF93&lt;&gt;"",AV93&lt;&gt;"",N(AF93)&gt;N(AV93)*(1+Settings!$C$13)),"Oversized",IF(AX93&gt;Settings!$C$10,"Overtraded",IF(AY93&lt;=-Settings!$C$11*(AW93-AY93),"Daily loss hit",IF(BA93&lt;=-Settings!$C$12*(AW93-BA93),"Weekly loss hit","OK")))))</f>
        <v/>
      </c>
      <c r="BC93" s="69"/>
      <c r="BD93" s="69"/>
      <c r="BE93" s="69"/>
      <c r="BF93" s="73"/>
      <c r="BG93" s="73"/>
      <c r="BH93" s="71"/>
      <c r="BI93" s="71"/>
      <c r="BJ93" s="68" t="str">
        <f aca="false">IF(B93="","",IF(E93="",Settings!$F$5,E93))</f>
        <v/>
      </c>
      <c r="BK93" s="76" t="str">
        <f aca="false">IF(B93="","",IFERROR(INDEX(Settings!$G$5:$G$10,MATCH(BJ93,Settings!$F$5:$F$10,0)),Settings!$G$5))</f>
        <v/>
      </c>
      <c r="BL93" s="82" t="str">
        <f aca="false">IF(I93="","",IFERROR(1/(1/INDEX(Lists!$C$6:$C$17,MATCH(I93,Lists!$B$6:$B$17,0))),""))</f>
        <v/>
      </c>
      <c r="BM93" s="81" t="str">
        <f aca="false">IF(I93="","",IFERROR(1/(1/INDEX(Lists!$D$6:$D$17,MATCH(I93,Lists!$B$6:$B$17,0))),""))</f>
        <v/>
      </c>
      <c r="BN93" s="76" t="str">
        <f aca="false">IF(AN93="","",MAX(BK93,_xlfn.MAXIFS(AN$6:AN93,BJ$6:BJ93,BJ93)))</f>
        <v/>
      </c>
      <c r="BO93" s="83" t="str">
        <f aca="false">IF(AN93="","",(AN93-BN93)/BN93)</f>
        <v/>
      </c>
      <c r="BP93" s="66" t="n">
        <f aca="false">IF(OR(B93="",AL93=""),0,IF(OR(Settings!$C$28="All Accounts",BJ93=Settings!$C$28),1,0))</f>
        <v>0</v>
      </c>
      <c r="BQ93" s="66" t="str">
        <f aca="false">IF(BP93=1,SUM(BP$6:BP93),"")</f>
        <v/>
      </c>
      <c r="BR93" s="76" t="str">
        <f aca="false">IF(BP93=1,ROUND(Settings!$C$29+SUMIFS(AM$6:AM93,BP$6:BP93,1),2),"")</f>
        <v/>
      </c>
      <c r="BS93" s="76" t="str">
        <f aca="false">IF(BP93=1,MAX(Settings!$C$29,MAX(BR$6:BR93)),"")</f>
        <v/>
      </c>
      <c r="BT93" s="83" t="str">
        <f aca="false">IF(BP93=1,(BR93-BS93)/BS93,"")</f>
        <v/>
      </c>
      <c r="BU93" s="66" t="str">
        <f aca="false">IF(BP93=1,IF(AL93="Win",1+IF(BQ93=1,0,INDEX(BU$5:BU92,MATCH(BQ93-1,BQ$5:BQ92,0))),0),"")</f>
        <v/>
      </c>
      <c r="BV93" s="66" t="str">
        <f aca="false">IF(BP93=1,IF(AL93="Loss",1+IF(BQ93=1,0,INDEX(BV$5:BV92,MATCH(BQ93-1,BQ$5:BQ92,0))),0),"")</f>
        <v/>
      </c>
    </row>
    <row r="94" customFormat="false" ht="15" hidden="false" customHeight="false" outlineLevel="0" collapsed="false">
      <c r="A94" s="66" t="str">
        <f aca="false">IF(B94="","",ROW()-5)</f>
        <v/>
      </c>
      <c r="B94" s="67"/>
      <c r="C94" s="68" t="str">
        <f aca="false">IF(B94="","",CHOOSE(WEEKDAY(B94,2),"Mon","Tue","Wed","Thu","Fri","Sat","Sun"))</f>
        <v/>
      </c>
      <c r="D94" s="66" t="str">
        <f aca="false">IF(B94="","",WEEKNUM(B94,2))</f>
        <v/>
      </c>
      <c r="E94" s="69"/>
      <c r="F94" s="69"/>
      <c r="G94" s="70"/>
      <c r="H94" s="70"/>
      <c r="I94" s="69"/>
      <c r="J94" s="69"/>
      <c r="K94" s="69"/>
      <c r="L94" s="71"/>
      <c r="M94" s="69"/>
      <c r="N94" s="69"/>
      <c r="O94" s="69"/>
      <c r="P94" s="71"/>
      <c r="Q94" s="69"/>
      <c r="R94" s="69"/>
      <c r="S94" s="69"/>
      <c r="T94" s="69"/>
      <c r="U94" s="69"/>
      <c r="V94" s="69"/>
      <c r="W94" s="69"/>
      <c r="X94" s="66" t="str">
        <f aca="false">IF(B94="","",COUNTIF(Q94:W94,"Yes"))</f>
        <v/>
      </c>
      <c r="Y94" s="68" t="str">
        <f aca="false">IF(B94="","",IF(X94&gt;=Settings!$C$16,"A+",IF(X94&gt;=Settings!$C$17,"A",IF(X94&gt;=Settings!$C$18,"B","C"))))</f>
        <v/>
      </c>
      <c r="Z94" s="72"/>
      <c r="AA94" s="72"/>
      <c r="AB94" s="72"/>
      <c r="AC94" s="72"/>
      <c r="AD94" s="72"/>
      <c r="AE94" s="72"/>
      <c r="AF94" s="73"/>
      <c r="AG94" s="74"/>
      <c r="AH94" s="75"/>
      <c r="AI94" s="76" t="str">
        <f aca="false">IF(B94="","",ROUND(IF(AG94="",Settings!$C$5,AG94)*AW94,2))</f>
        <v/>
      </c>
      <c r="AJ94" s="77" t="str">
        <f aca="false">IF(OR(B94="",AB94="",AC94="",AD94=""),"",IFERROR(ROUND(ABS(AD94-AB94)/ABS(AB94-AC94),2),""))</f>
        <v/>
      </c>
      <c r="AK94" s="78" t="str">
        <f aca="false">IF(OR(B94="",AB94="",AC94="",AE94=""),"",IFERROR(ROUND(IF(J94="Short",AB94-AE94,AE94-AB94)/ABS(AB94-AC94),2),""))</f>
        <v/>
      </c>
      <c r="AL94" s="68" t="str">
        <f aca="false">IF(AK94="","",IF(ABS(AK94)&lt;=Settings!$C$6,"BE",IF(AK94&gt;0,"Win","Loss")))</f>
        <v/>
      </c>
      <c r="AM94" s="79" t="str">
        <f aca="false">IF(OR(AK94="",AI94=""),"",ROUND(AK94*AI94-N(AH94),2))</f>
        <v/>
      </c>
      <c r="AN94" s="76" t="str">
        <f aca="false">IF(AM94="","",ROUND(BK94+SUMIFS(AM$6:AM94,BJ$6:BJ94,BJ94),2))</f>
        <v/>
      </c>
      <c r="AO94" s="78" t="str">
        <f aca="false">IF(AK94="","",ROUND(SUMIFS(AK$6:AK94,BJ$6:BJ94,BJ94),2))</f>
        <v/>
      </c>
      <c r="AP94" s="80" t="str">
        <f aca="false">IF(OR(AK94="",BL94=""),"",IFERROR(ROUND(IF(J94="Short",AB94-AE94,AE94-AB94)/BL94,1),""))</f>
        <v/>
      </c>
      <c r="AQ94" s="66" t="str">
        <f aca="false">IF(OR(G94="",H94=""),"",ROUND(MOD(H94-G94,1)*1440,0))</f>
        <v/>
      </c>
      <c r="AR94" s="68" t="str">
        <f aca="false">IF(AQ94="","",IF(AQ94&lt;15,"Under 15m",IF(AQ94&lt;60,"15-60m",IF(AQ94&lt;240,"1-4 hours","4+ hours"))))</f>
        <v/>
      </c>
      <c r="AS94" s="66" t="str">
        <f aca="false">IF(G94="","",HOUR(G94))</f>
        <v/>
      </c>
      <c r="AT94" s="80" t="str">
        <f aca="false">IF(OR(Z94="",AB94="",BL94=""),"",IFERROR(ROUND(IF(J94="Short",Z94-AB94,AB94-Z94)/BL94,1),""))</f>
        <v/>
      </c>
      <c r="AU94" s="68" t="str">
        <f aca="false">IF(OR(AA94="",AC94=""),"",IF(AA94=AC94,"No","Yes"))</f>
        <v/>
      </c>
      <c r="AV94" s="81" t="str">
        <f aca="false">IF(OR(B94="",BL94="",BM94="",AB94="",AC94=""),"",IFERROR(ROUND(AI94/(ABS(AB94-AC94)/BL94*BM94),2),""))</f>
        <v/>
      </c>
      <c r="AW94" s="76" t="str">
        <f aca="false">IF(B94="","",ROUND(BK94+SUMIFS(AM$5:AM93,BJ$5:BJ93,BJ94),2))</f>
        <v/>
      </c>
      <c r="AX94" s="66" t="str">
        <f aca="false">IF(B94="","",COUNTIFS(B$6:B94,B94,BJ$6:BJ94,BJ94))</f>
        <v/>
      </c>
      <c r="AY94" s="79" t="str">
        <f aca="false">IF(B94="","",ROUND(SUMIFS(AM$5:AM93,B$5:B93,B94,BJ$5:BJ93,BJ94),2))</f>
        <v/>
      </c>
      <c r="AZ94" s="79" t="str">
        <f aca="false">IF(AM94="","",ROUND(AY94+AM94,2))</f>
        <v/>
      </c>
      <c r="BA94" s="79" t="str">
        <f aca="false">IF(B94="","",ROUND(SUMIFS(AM$5:AM93,B$5:B93,"&gt;="&amp;(B94-WEEKDAY(B94,2)+1),B$5:B93,"&lt;="&amp;B94,BJ$5:BJ93,BJ94),2))</f>
        <v/>
      </c>
      <c r="BB94" s="68" t="str">
        <f aca="false">IF(B94="","",IF(AND(AF94&lt;&gt;"",AV94&lt;&gt;"",N(AF94)&gt;N(AV94)*(1+Settings!$C$13)),"Oversized",IF(AX94&gt;Settings!$C$10,"Overtraded",IF(AY94&lt;=-Settings!$C$11*(AW94-AY94),"Daily loss hit",IF(BA94&lt;=-Settings!$C$12*(AW94-BA94),"Weekly loss hit","OK")))))</f>
        <v/>
      </c>
      <c r="BC94" s="69"/>
      <c r="BD94" s="69"/>
      <c r="BE94" s="69"/>
      <c r="BF94" s="73"/>
      <c r="BG94" s="73"/>
      <c r="BH94" s="71"/>
      <c r="BI94" s="71"/>
      <c r="BJ94" s="68" t="str">
        <f aca="false">IF(B94="","",IF(E94="",Settings!$F$5,E94))</f>
        <v/>
      </c>
      <c r="BK94" s="76" t="str">
        <f aca="false">IF(B94="","",IFERROR(INDEX(Settings!$G$5:$G$10,MATCH(BJ94,Settings!$F$5:$F$10,0)),Settings!$G$5))</f>
        <v/>
      </c>
      <c r="BL94" s="82" t="str">
        <f aca="false">IF(I94="","",IFERROR(1/(1/INDEX(Lists!$C$6:$C$17,MATCH(I94,Lists!$B$6:$B$17,0))),""))</f>
        <v/>
      </c>
      <c r="BM94" s="81" t="str">
        <f aca="false">IF(I94="","",IFERROR(1/(1/INDEX(Lists!$D$6:$D$17,MATCH(I94,Lists!$B$6:$B$17,0))),""))</f>
        <v/>
      </c>
      <c r="BN94" s="76" t="str">
        <f aca="false">IF(AN94="","",MAX(BK94,_xlfn.MAXIFS(AN$6:AN94,BJ$6:BJ94,BJ94)))</f>
        <v/>
      </c>
      <c r="BO94" s="83" t="str">
        <f aca="false">IF(AN94="","",(AN94-BN94)/BN94)</f>
        <v/>
      </c>
      <c r="BP94" s="66" t="n">
        <f aca="false">IF(OR(B94="",AL94=""),0,IF(OR(Settings!$C$28="All Accounts",BJ94=Settings!$C$28),1,0))</f>
        <v>0</v>
      </c>
      <c r="BQ94" s="66" t="str">
        <f aca="false">IF(BP94=1,SUM(BP$6:BP94),"")</f>
        <v/>
      </c>
      <c r="BR94" s="76" t="str">
        <f aca="false">IF(BP94=1,ROUND(Settings!$C$29+SUMIFS(AM$6:AM94,BP$6:BP94,1),2),"")</f>
        <v/>
      </c>
      <c r="BS94" s="76" t="str">
        <f aca="false">IF(BP94=1,MAX(Settings!$C$29,MAX(BR$6:BR94)),"")</f>
        <v/>
      </c>
      <c r="BT94" s="83" t="str">
        <f aca="false">IF(BP94=1,(BR94-BS94)/BS94,"")</f>
        <v/>
      </c>
      <c r="BU94" s="66" t="str">
        <f aca="false">IF(BP94=1,IF(AL94="Win",1+IF(BQ94=1,0,INDEX(BU$5:BU93,MATCH(BQ94-1,BQ$5:BQ93,0))),0),"")</f>
        <v/>
      </c>
      <c r="BV94" s="66" t="str">
        <f aca="false">IF(BP94=1,IF(AL94="Loss",1+IF(BQ94=1,0,INDEX(BV$5:BV93,MATCH(BQ94-1,BQ$5:BQ93,0))),0),"")</f>
        <v/>
      </c>
    </row>
    <row r="95" customFormat="false" ht="15" hidden="false" customHeight="false" outlineLevel="0" collapsed="false">
      <c r="A95" s="66" t="str">
        <f aca="false">IF(B95="","",ROW()-5)</f>
        <v/>
      </c>
      <c r="B95" s="67"/>
      <c r="C95" s="68" t="str">
        <f aca="false">IF(B95="","",CHOOSE(WEEKDAY(B95,2),"Mon","Tue","Wed","Thu","Fri","Sat","Sun"))</f>
        <v/>
      </c>
      <c r="D95" s="66" t="str">
        <f aca="false">IF(B95="","",WEEKNUM(B95,2))</f>
        <v/>
      </c>
      <c r="E95" s="69"/>
      <c r="F95" s="69"/>
      <c r="G95" s="70"/>
      <c r="H95" s="70"/>
      <c r="I95" s="69"/>
      <c r="J95" s="69"/>
      <c r="K95" s="69"/>
      <c r="L95" s="71"/>
      <c r="M95" s="69"/>
      <c r="N95" s="69"/>
      <c r="O95" s="69"/>
      <c r="P95" s="71"/>
      <c r="Q95" s="69"/>
      <c r="R95" s="69"/>
      <c r="S95" s="69"/>
      <c r="T95" s="69"/>
      <c r="U95" s="69"/>
      <c r="V95" s="69"/>
      <c r="W95" s="69"/>
      <c r="X95" s="66" t="str">
        <f aca="false">IF(B95="","",COUNTIF(Q95:W95,"Yes"))</f>
        <v/>
      </c>
      <c r="Y95" s="68" t="str">
        <f aca="false">IF(B95="","",IF(X95&gt;=Settings!$C$16,"A+",IF(X95&gt;=Settings!$C$17,"A",IF(X95&gt;=Settings!$C$18,"B","C"))))</f>
        <v/>
      </c>
      <c r="Z95" s="72"/>
      <c r="AA95" s="72"/>
      <c r="AB95" s="72"/>
      <c r="AC95" s="72"/>
      <c r="AD95" s="72"/>
      <c r="AE95" s="72"/>
      <c r="AF95" s="73"/>
      <c r="AG95" s="74"/>
      <c r="AH95" s="75"/>
      <c r="AI95" s="76" t="str">
        <f aca="false">IF(B95="","",ROUND(IF(AG95="",Settings!$C$5,AG95)*AW95,2))</f>
        <v/>
      </c>
      <c r="AJ95" s="77" t="str">
        <f aca="false">IF(OR(B95="",AB95="",AC95="",AD95=""),"",IFERROR(ROUND(ABS(AD95-AB95)/ABS(AB95-AC95),2),""))</f>
        <v/>
      </c>
      <c r="AK95" s="78" t="str">
        <f aca="false">IF(OR(B95="",AB95="",AC95="",AE95=""),"",IFERROR(ROUND(IF(J95="Short",AB95-AE95,AE95-AB95)/ABS(AB95-AC95),2),""))</f>
        <v/>
      </c>
      <c r="AL95" s="68" t="str">
        <f aca="false">IF(AK95="","",IF(ABS(AK95)&lt;=Settings!$C$6,"BE",IF(AK95&gt;0,"Win","Loss")))</f>
        <v/>
      </c>
      <c r="AM95" s="79" t="str">
        <f aca="false">IF(OR(AK95="",AI95=""),"",ROUND(AK95*AI95-N(AH95),2))</f>
        <v/>
      </c>
      <c r="AN95" s="76" t="str">
        <f aca="false">IF(AM95="","",ROUND(BK95+SUMIFS(AM$6:AM95,BJ$6:BJ95,BJ95),2))</f>
        <v/>
      </c>
      <c r="AO95" s="78" t="str">
        <f aca="false">IF(AK95="","",ROUND(SUMIFS(AK$6:AK95,BJ$6:BJ95,BJ95),2))</f>
        <v/>
      </c>
      <c r="AP95" s="80" t="str">
        <f aca="false">IF(OR(AK95="",BL95=""),"",IFERROR(ROUND(IF(J95="Short",AB95-AE95,AE95-AB95)/BL95,1),""))</f>
        <v/>
      </c>
      <c r="AQ95" s="66" t="str">
        <f aca="false">IF(OR(G95="",H95=""),"",ROUND(MOD(H95-G95,1)*1440,0))</f>
        <v/>
      </c>
      <c r="AR95" s="68" t="str">
        <f aca="false">IF(AQ95="","",IF(AQ95&lt;15,"Under 15m",IF(AQ95&lt;60,"15-60m",IF(AQ95&lt;240,"1-4 hours","4+ hours"))))</f>
        <v/>
      </c>
      <c r="AS95" s="66" t="str">
        <f aca="false">IF(G95="","",HOUR(G95))</f>
        <v/>
      </c>
      <c r="AT95" s="80" t="str">
        <f aca="false">IF(OR(Z95="",AB95="",BL95=""),"",IFERROR(ROUND(IF(J95="Short",Z95-AB95,AB95-Z95)/BL95,1),""))</f>
        <v/>
      </c>
      <c r="AU95" s="68" t="str">
        <f aca="false">IF(OR(AA95="",AC95=""),"",IF(AA95=AC95,"No","Yes"))</f>
        <v/>
      </c>
      <c r="AV95" s="81" t="str">
        <f aca="false">IF(OR(B95="",BL95="",BM95="",AB95="",AC95=""),"",IFERROR(ROUND(AI95/(ABS(AB95-AC95)/BL95*BM95),2),""))</f>
        <v/>
      </c>
      <c r="AW95" s="76" t="str">
        <f aca="false">IF(B95="","",ROUND(BK95+SUMIFS(AM$5:AM94,BJ$5:BJ94,BJ95),2))</f>
        <v/>
      </c>
      <c r="AX95" s="66" t="str">
        <f aca="false">IF(B95="","",COUNTIFS(B$6:B95,B95,BJ$6:BJ95,BJ95))</f>
        <v/>
      </c>
      <c r="AY95" s="79" t="str">
        <f aca="false">IF(B95="","",ROUND(SUMIFS(AM$5:AM94,B$5:B94,B95,BJ$5:BJ94,BJ95),2))</f>
        <v/>
      </c>
      <c r="AZ95" s="79" t="str">
        <f aca="false">IF(AM95="","",ROUND(AY95+AM95,2))</f>
        <v/>
      </c>
      <c r="BA95" s="79" t="str">
        <f aca="false">IF(B95="","",ROUND(SUMIFS(AM$5:AM94,B$5:B94,"&gt;="&amp;(B95-WEEKDAY(B95,2)+1),B$5:B94,"&lt;="&amp;B95,BJ$5:BJ94,BJ95),2))</f>
        <v/>
      </c>
      <c r="BB95" s="68" t="str">
        <f aca="false">IF(B95="","",IF(AND(AF95&lt;&gt;"",AV95&lt;&gt;"",N(AF95)&gt;N(AV95)*(1+Settings!$C$13)),"Oversized",IF(AX95&gt;Settings!$C$10,"Overtraded",IF(AY95&lt;=-Settings!$C$11*(AW95-AY95),"Daily loss hit",IF(BA95&lt;=-Settings!$C$12*(AW95-BA95),"Weekly loss hit","OK")))))</f>
        <v/>
      </c>
      <c r="BC95" s="69"/>
      <c r="BD95" s="69"/>
      <c r="BE95" s="69"/>
      <c r="BF95" s="73"/>
      <c r="BG95" s="73"/>
      <c r="BH95" s="71"/>
      <c r="BI95" s="71"/>
      <c r="BJ95" s="68" t="str">
        <f aca="false">IF(B95="","",IF(E95="",Settings!$F$5,E95))</f>
        <v/>
      </c>
      <c r="BK95" s="76" t="str">
        <f aca="false">IF(B95="","",IFERROR(INDEX(Settings!$G$5:$G$10,MATCH(BJ95,Settings!$F$5:$F$10,0)),Settings!$G$5))</f>
        <v/>
      </c>
      <c r="BL95" s="82" t="str">
        <f aca="false">IF(I95="","",IFERROR(1/(1/INDEX(Lists!$C$6:$C$17,MATCH(I95,Lists!$B$6:$B$17,0))),""))</f>
        <v/>
      </c>
      <c r="BM95" s="81" t="str">
        <f aca="false">IF(I95="","",IFERROR(1/(1/INDEX(Lists!$D$6:$D$17,MATCH(I95,Lists!$B$6:$B$17,0))),""))</f>
        <v/>
      </c>
      <c r="BN95" s="76" t="str">
        <f aca="false">IF(AN95="","",MAX(BK95,_xlfn.MAXIFS(AN$6:AN95,BJ$6:BJ95,BJ95)))</f>
        <v/>
      </c>
      <c r="BO95" s="83" t="str">
        <f aca="false">IF(AN95="","",(AN95-BN95)/BN95)</f>
        <v/>
      </c>
      <c r="BP95" s="66" t="n">
        <f aca="false">IF(OR(B95="",AL95=""),0,IF(OR(Settings!$C$28="All Accounts",BJ95=Settings!$C$28),1,0))</f>
        <v>0</v>
      </c>
      <c r="BQ95" s="66" t="str">
        <f aca="false">IF(BP95=1,SUM(BP$6:BP95),"")</f>
        <v/>
      </c>
      <c r="BR95" s="76" t="str">
        <f aca="false">IF(BP95=1,ROUND(Settings!$C$29+SUMIFS(AM$6:AM95,BP$6:BP95,1),2),"")</f>
        <v/>
      </c>
      <c r="BS95" s="76" t="str">
        <f aca="false">IF(BP95=1,MAX(Settings!$C$29,MAX(BR$6:BR95)),"")</f>
        <v/>
      </c>
      <c r="BT95" s="83" t="str">
        <f aca="false">IF(BP95=1,(BR95-BS95)/BS95,"")</f>
        <v/>
      </c>
      <c r="BU95" s="66" t="str">
        <f aca="false">IF(BP95=1,IF(AL95="Win",1+IF(BQ95=1,0,INDEX(BU$5:BU94,MATCH(BQ95-1,BQ$5:BQ94,0))),0),"")</f>
        <v/>
      </c>
      <c r="BV95" s="66" t="str">
        <f aca="false">IF(BP95=1,IF(AL95="Loss",1+IF(BQ95=1,0,INDEX(BV$5:BV94,MATCH(BQ95-1,BQ$5:BQ94,0))),0),"")</f>
        <v/>
      </c>
    </row>
    <row r="96" customFormat="false" ht="15" hidden="false" customHeight="false" outlineLevel="0" collapsed="false">
      <c r="A96" s="66" t="str">
        <f aca="false">IF(B96="","",ROW()-5)</f>
        <v/>
      </c>
      <c r="B96" s="67"/>
      <c r="C96" s="68" t="str">
        <f aca="false">IF(B96="","",CHOOSE(WEEKDAY(B96,2),"Mon","Tue","Wed","Thu","Fri","Sat","Sun"))</f>
        <v/>
      </c>
      <c r="D96" s="66" t="str">
        <f aca="false">IF(B96="","",WEEKNUM(B96,2))</f>
        <v/>
      </c>
      <c r="E96" s="69"/>
      <c r="F96" s="69"/>
      <c r="G96" s="70"/>
      <c r="H96" s="70"/>
      <c r="I96" s="69"/>
      <c r="J96" s="69"/>
      <c r="K96" s="69"/>
      <c r="L96" s="71"/>
      <c r="M96" s="69"/>
      <c r="N96" s="69"/>
      <c r="O96" s="69"/>
      <c r="P96" s="71"/>
      <c r="Q96" s="69"/>
      <c r="R96" s="69"/>
      <c r="S96" s="69"/>
      <c r="T96" s="69"/>
      <c r="U96" s="69"/>
      <c r="V96" s="69"/>
      <c r="W96" s="69"/>
      <c r="X96" s="66" t="str">
        <f aca="false">IF(B96="","",COUNTIF(Q96:W96,"Yes"))</f>
        <v/>
      </c>
      <c r="Y96" s="68" t="str">
        <f aca="false">IF(B96="","",IF(X96&gt;=Settings!$C$16,"A+",IF(X96&gt;=Settings!$C$17,"A",IF(X96&gt;=Settings!$C$18,"B","C"))))</f>
        <v/>
      </c>
      <c r="Z96" s="72"/>
      <c r="AA96" s="72"/>
      <c r="AB96" s="72"/>
      <c r="AC96" s="72"/>
      <c r="AD96" s="72"/>
      <c r="AE96" s="72"/>
      <c r="AF96" s="73"/>
      <c r="AG96" s="74"/>
      <c r="AH96" s="75"/>
      <c r="AI96" s="76" t="str">
        <f aca="false">IF(B96="","",ROUND(IF(AG96="",Settings!$C$5,AG96)*AW96,2))</f>
        <v/>
      </c>
      <c r="AJ96" s="77" t="str">
        <f aca="false">IF(OR(B96="",AB96="",AC96="",AD96=""),"",IFERROR(ROUND(ABS(AD96-AB96)/ABS(AB96-AC96),2),""))</f>
        <v/>
      </c>
      <c r="AK96" s="78" t="str">
        <f aca="false">IF(OR(B96="",AB96="",AC96="",AE96=""),"",IFERROR(ROUND(IF(J96="Short",AB96-AE96,AE96-AB96)/ABS(AB96-AC96),2),""))</f>
        <v/>
      </c>
      <c r="AL96" s="68" t="str">
        <f aca="false">IF(AK96="","",IF(ABS(AK96)&lt;=Settings!$C$6,"BE",IF(AK96&gt;0,"Win","Loss")))</f>
        <v/>
      </c>
      <c r="AM96" s="79" t="str">
        <f aca="false">IF(OR(AK96="",AI96=""),"",ROUND(AK96*AI96-N(AH96),2))</f>
        <v/>
      </c>
      <c r="AN96" s="76" t="str">
        <f aca="false">IF(AM96="","",ROUND(BK96+SUMIFS(AM$6:AM96,BJ$6:BJ96,BJ96),2))</f>
        <v/>
      </c>
      <c r="AO96" s="78" t="str">
        <f aca="false">IF(AK96="","",ROUND(SUMIFS(AK$6:AK96,BJ$6:BJ96,BJ96),2))</f>
        <v/>
      </c>
      <c r="AP96" s="80" t="str">
        <f aca="false">IF(OR(AK96="",BL96=""),"",IFERROR(ROUND(IF(J96="Short",AB96-AE96,AE96-AB96)/BL96,1),""))</f>
        <v/>
      </c>
      <c r="AQ96" s="66" t="str">
        <f aca="false">IF(OR(G96="",H96=""),"",ROUND(MOD(H96-G96,1)*1440,0))</f>
        <v/>
      </c>
      <c r="AR96" s="68" t="str">
        <f aca="false">IF(AQ96="","",IF(AQ96&lt;15,"Under 15m",IF(AQ96&lt;60,"15-60m",IF(AQ96&lt;240,"1-4 hours","4+ hours"))))</f>
        <v/>
      </c>
      <c r="AS96" s="66" t="str">
        <f aca="false">IF(G96="","",HOUR(G96))</f>
        <v/>
      </c>
      <c r="AT96" s="80" t="str">
        <f aca="false">IF(OR(Z96="",AB96="",BL96=""),"",IFERROR(ROUND(IF(J96="Short",Z96-AB96,AB96-Z96)/BL96,1),""))</f>
        <v/>
      </c>
      <c r="AU96" s="68" t="str">
        <f aca="false">IF(OR(AA96="",AC96=""),"",IF(AA96=AC96,"No","Yes"))</f>
        <v/>
      </c>
      <c r="AV96" s="81" t="str">
        <f aca="false">IF(OR(B96="",BL96="",BM96="",AB96="",AC96=""),"",IFERROR(ROUND(AI96/(ABS(AB96-AC96)/BL96*BM96),2),""))</f>
        <v/>
      </c>
      <c r="AW96" s="76" t="str">
        <f aca="false">IF(B96="","",ROUND(BK96+SUMIFS(AM$5:AM95,BJ$5:BJ95,BJ96),2))</f>
        <v/>
      </c>
      <c r="AX96" s="66" t="str">
        <f aca="false">IF(B96="","",COUNTIFS(B$6:B96,B96,BJ$6:BJ96,BJ96))</f>
        <v/>
      </c>
      <c r="AY96" s="79" t="str">
        <f aca="false">IF(B96="","",ROUND(SUMIFS(AM$5:AM95,B$5:B95,B96,BJ$5:BJ95,BJ96),2))</f>
        <v/>
      </c>
      <c r="AZ96" s="79" t="str">
        <f aca="false">IF(AM96="","",ROUND(AY96+AM96,2))</f>
        <v/>
      </c>
      <c r="BA96" s="79" t="str">
        <f aca="false">IF(B96="","",ROUND(SUMIFS(AM$5:AM95,B$5:B95,"&gt;="&amp;(B96-WEEKDAY(B96,2)+1),B$5:B95,"&lt;="&amp;B96,BJ$5:BJ95,BJ96),2))</f>
        <v/>
      </c>
      <c r="BB96" s="68" t="str">
        <f aca="false">IF(B96="","",IF(AND(AF96&lt;&gt;"",AV96&lt;&gt;"",N(AF96)&gt;N(AV96)*(1+Settings!$C$13)),"Oversized",IF(AX96&gt;Settings!$C$10,"Overtraded",IF(AY96&lt;=-Settings!$C$11*(AW96-AY96),"Daily loss hit",IF(BA96&lt;=-Settings!$C$12*(AW96-BA96),"Weekly loss hit","OK")))))</f>
        <v/>
      </c>
      <c r="BC96" s="69"/>
      <c r="BD96" s="69"/>
      <c r="BE96" s="69"/>
      <c r="BF96" s="73"/>
      <c r="BG96" s="73"/>
      <c r="BH96" s="71"/>
      <c r="BI96" s="71"/>
      <c r="BJ96" s="68" t="str">
        <f aca="false">IF(B96="","",IF(E96="",Settings!$F$5,E96))</f>
        <v/>
      </c>
      <c r="BK96" s="76" t="str">
        <f aca="false">IF(B96="","",IFERROR(INDEX(Settings!$G$5:$G$10,MATCH(BJ96,Settings!$F$5:$F$10,0)),Settings!$G$5))</f>
        <v/>
      </c>
      <c r="BL96" s="82" t="str">
        <f aca="false">IF(I96="","",IFERROR(1/(1/INDEX(Lists!$C$6:$C$17,MATCH(I96,Lists!$B$6:$B$17,0))),""))</f>
        <v/>
      </c>
      <c r="BM96" s="81" t="str">
        <f aca="false">IF(I96="","",IFERROR(1/(1/INDEX(Lists!$D$6:$D$17,MATCH(I96,Lists!$B$6:$B$17,0))),""))</f>
        <v/>
      </c>
      <c r="BN96" s="76" t="str">
        <f aca="false">IF(AN96="","",MAX(BK96,_xlfn.MAXIFS(AN$6:AN96,BJ$6:BJ96,BJ96)))</f>
        <v/>
      </c>
      <c r="BO96" s="83" t="str">
        <f aca="false">IF(AN96="","",(AN96-BN96)/BN96)</f>
        <v/>
      </c>
      <c r="BP96" s="66" t="n">
        <f aca="false">IF(OR(B96="",AL96=""),0,IF(OR(Settings!$C$28="All Accounts",BJ96=Settings!$C$28),1,0))</f>
        <v>0</v>
      </c>
      <c r="BQ96" s="66" t="str">
        <f aca="false">IF(BP96=1,SUM(BP$6:BP96),"")</f>
        <v/>
      </c>
      <c r="BR96" s="76" t="str">
        <f aca="false">IF(BP96=1,ROUND(Settings!$C$29+SUMIFS(AM$6:AM96,BP$6:BP96,1),2),"")</f>
        <v/>
      </c>
      <c r="BS96" s="76" t="str">
        <f aca="false">IF(BP96=1,MAX(Settings!$C$29,MAX(BR$6:BR96)),"")</f>
        <v/>
      </c>
      <c r="BT96" s="83" t="str">
        <f aca="false">IF(BP96=1,(BR96-BS96)/BS96,"")</f>
        <v/>
      </c>
      <c r="BU96" s="66" t="str">
        <f aca="false">IF(BP96=1,IF(AL96="Win",1+IF(BQ96=1,0,INDEX(BU$5:BU95,MATCH(BQ96-1,BQ$5:BQ95,0))),0),"")</f>
        <v/>
      </c>
      <c r="BV96" s="66" t="str">
        <f aca="false">IF(BP96=1,IF(AL96="Loss",1+IF(BQ96=1,0,INDEX(BV$5:BV95,MATCH(BQ96-1,BQ$5:BQ95,0))),0),"")</f>
        <v/>
      </c>
    </row>
    <row r="97" customFormat="false" ht="15" hidden="false" customHeight="false" outlineLevel="0" collapsed="false">
      <c r="A97" s="66" t="str">
        <f aca="false">IF(B97="","",ROW()-5)</f>
        <v/>
      </c>
      <c r="B97" s="67"/>
      <c r="C97" s="68" t="str">
        <f aca="false">IF(B97="","",CHOOSE(WEEKDAY(B97,2),"Mon","Tue","Wed","Thu","Fri","Sat","Sun"))</f>
        <v/>
      </c>
      <c r="D97" s="66" t="str">
        <f aca="false">IF(B97="","",WEEKNUM(B97,2))</f>
        <v/>
      </c>
      <c r="E97" s="69"/>
      <c r="F97" s="69"/>
      <c r="G97" s="70"/>
      <c r="H97" s="70"/>
      <c r="I97" s="69"/>
      <c r="J97" s="69"/>
      <c r="K97" s="69"/>
      <c r="L97" s="71"/>
      <c r="M97" s="69"/>
      <c r="N97" s="69"/>
      <c r="O97" s="69"/>
      <c r="P97" s="71"/>
      <c r="Q97" s="69"/>
      <c r="R97" s="69"/>
      <c r="S97" s="69"/>
      <c r="T97" s="69"/>
      <c r="U97" s="69"/>
      <c r="V97" s="69"/>
      <c r="W97" s="69"/>
      <c r="X97" s="66" t="str">
        <f aca="false">IF(B97="","",COUNTIF(Q97:W97,"Yes"))</f>
        <v/>
      </c>
      <c r="Y97" s="68" t="str">
        <f aca="false">IF(B97="","",IF(X97&gt;=Settings!$C$16,"A+",IF(X97&gt;=Settings!$C$17,"A",IF(X97&gt;=Settings!$C$18,"B","C"))))</f>
        <v/>
      </c>
      <c r="Z97" s="72"/>
      <c r="AA97" s="72"/>
      <c r="AB97" s="72"/>
      <c r="AC97" s="72"/>
      <c r="AD97" s="72"/>
      <c r="AE97" s="72"/>
      <c r="AF97" s="73"/>
      <c r="AG97" s="74"/>
      <c r="AH97" s="75"/>
      <c r="AI97" s="76" t="str">
        <f aca="false">IF(B97="","",ROUND(IF(AG97="",Settings!$C$5,AG97)*AW97,2))</f>
        <v/>
      </c>
      <c r="AJ97" s="77" t="str">
        <f aca="false">IF(OR(B97="",AB97="",AC97="",AD97=""),"",IFERROR(ROUND(ABS(AD97-AB97)/ABS(AB97-AC97),2),""))</f>
        <v/>
      </c>
      <c r="AK97" s="78" t="str">
        <f aca="false">IF(OR(B97="",AB97="",AC97="",AE97=""),"",IFERROR(ROUND(IF(J97="Short",AB97-AE97,AE97-AB97)/ABS(AB97-AC97),2),""))</f>
        <v/>
      </c>
      <c r="AL97" s="68" t="str">
        <f aca="false">IF(AK97="","",IF(ABS(AK97)&lt;=Settings!$C$6,"BE",IF(AK97&gt;0,"Win","Loss")))</f>
        <v/>
      </c>
      <c r="AM97" s="79" t="str">
        <f aca="false">IF(OR(AK97="",AI97=""),"",ROUND(AK97*AI97-N(AH97),2))</f>
        <v/>
      </c>
      <c r="AN97" s="76" t="str">
        <f aca="false">IF(AM97="","",ROUND(BK97+SUMIFS(AM$6:AM97,BJ$6:BJ97,BJ97),2))</f>
        <v/>
      </c>
      <c r="AO97" s="78" t="str">
        <f aca="false">IF(AK97="","",ROUND(SUMIFS(AK$6:AK97,BJ$6:BJ97,BJ97),2))</f>
        <v/>
      </c>
      <c r="AP97" s="80" t="str">
        <f aca="false">IF(OR(AK97="",BL97=""),"",IFERROR(ROUND(IF(J97="Short",AB97-AE97,AE97-AB97)/BL97,1),""))</f>
        <v/>
      </c>
      <c r="AQ97" s="66" t="str">
        <f aca="false">IF(OR(G97="",H97=""),"",ROUND(MOD(H97-G97,1)*1440,0))</f>
        <v/>
      </c>
      <c r="AR97" s="68" t="str">
        <f aca="false">IF(AQ97="","",IF(AQ97&lt;15,"Under 15m",IF(AQ97&lt;60,"15-60m",IF(AQ97&lt;240,"1-4 hours","4+ hours"))))</f>
        <v/>
      </c>
      <c r="AS97" s="66" t="str">
        <f aca="false">IF(G97="","",HOUR(G97))</f>
        <v/>
      </c>
      <c r="AT97" s="80" t="str">
        <f aca="false">IF(OR(Z97="",AB97="",BL97=""),"",IFERROR(ROUND(IF(J97="Short",Z97-AB97,AB97-Z97)/BL97,1),""))</f>
        <v/>
      </c>
      <c r="AU97" s="68" t="str">
        <f aca="false">IF(OR(AA97="",AC97=""),"",IF(AA97=AC97,"No","Yes"))</f>
        <v/>
      </c>
      <c r="AV97" s="81" t="str">
        <f aca="false">IF(OR(B97="",BL97="",BM97="",AB97="",AC97=""),"",IFERROR(ROUND(AI97/(ABS(AB97-AC97)/BL97*BM97),2),""))</f>
        <v/>
      </c>
      <c r="AW97" s="76" t="str">
        <f aca="false">IF(B97="","",ROUND(BK97+SUMIFS(AM$5:AM96,BJ$5:BJ96,BJ97),2))</f>
        <v/>
      </c>
      <c r="AX97" s="66" t="str">
        <f aca="false">IF(B97="","",COUNTIFS(B$6:B97,B97,BJ$6:BJ97,BJ97))</f>
        <v/>
      </c>
      <c r="AY97" s="79" t="str">
        <f aca="false">IF(B97="","",ROUND(SUMIFS(AM$5:AM96,B$5:B96,B97,BJ$5:BJ96,BJ97),2))</f>
        <v/>
      </c>
      <c r="AZ97" s="79" t="str">
        <f aca="false">IF(AM97="","",ROUND(AY97+AM97,2))</f>
        <v/>
      </c>
      <c r="BA97" s="79" t="str">
        <f aca="false">IF(B97="","",ROUND(SUMIFS(AM$5:AM96,B$5:B96,"&gt;="&amp;(B97-WEEKDAY(B97,2)+1),B$5:B96,"&lt;="&amp;B97,BJ$5:BJ96,BJ97),2))</f>
        <v/>
      </c>
      <c r="BB97" s="68" t="str">
        <f aca="false">IF(B97="","",IF(AND(AF97&lt;&gt;"",AV97&lt;&gt;"",N(AF97)&gt;N(AV97)*(1+Settings!$C$13)),"Oversized",IF(AX97&gt;Settings!$C$10,"Overtraded",IF(AY97&lt;=-Settings!$C$11*(AW97-AY97),"Daily loss hit",IF(BA97&lt;=-Settings!$C$12*(AW97-BA97),"Weekly loss hit","OK")))))</f>
        <v/>
      </c>
      <c r="BC97" s="69"/>
      <c r="BD97" s="69"/>
      <c r="BE97" s="69"/>
      <c r="BF97" s="73"/>
      <c r="BG97" s="73"/>
      <c r="BH97" s="71"/>
      <c r="BI97" s="71"/>
      <c r="BJ97" s="68" t="str">
        <f aca="false">IF(B97="","",IF(E97="",Settings!$F$5,E97))</f>
        <v/>
      </c>
      <c r="BK97" s="76" t="str">
        <f aca="false">IF(B97="","",IFERROR(INDEX(Settings!$G$5:$G$10,MATCH(BJ97,Settings!$F$5:$F$10,0)),Settings!$G$5))</f>
        <v/>
      </c>
      <c r="BL97" s="82" t="str">
        <f aca="false">IF(I97="","",IFERROR(1/(1/INDEX(Lists!$C$6:$C$17,MATCH(I97,Lists!$B$6:$B$17,0))),""))</f>
        <v/>
      </c>
      <c r="BM97" s="81" t="str">
        <f aca="false">IF(I97="","",IFERROR(1/(1/INDEX(Lists!$D$6:$D$17,MATCH(I97,Lists!$B$6:$B$17,0))),""))</f>
        <v/>
      </c>
      <c r="BN97" s="76" t="str">
        <f aca="false">IF(AN97="","",MAX(BK97,_xlfn.MAXIFS(AN$6:AN97,BJ$6:BJ97,BJ97)))</f>
        <v/>
      </c>
      <c r="BO97" s="83" t="str">
        <f aca="false">IF(AN97="","",(AN97-BN97)/BN97)</f>
        <v/>
      </c>
      <c r="BP97" s="66" t="n">
        <f aca="false">IF(OR(B97="",AL97=""),0,IF(OR(Settings!$C$28="All Accounts",BJ97=Settings!$C$28),1,0))</f>
        <v>0</v>
      </c>
      <c r="BQ97" s="66" t="str">
        <f aca="false">IF(BP97=1,SUM(BP$6:BP97),"")</f>
        <v/>
      </c>
      <c r="BR97" s="76" t="str">
        <f aca="false">IF(BP97=1,ROUND(Settings!$C$29+SUMIFS(AM$6:AM97,BP$6:BP97,1),2),"")</f>
        <v/>
      </c>
      <c r="BS97" s="76" t="str">
        <f aca="false">IF(BP97=1,MAX(Settings!$C$29,MAX(BR$6:BR97)),"")</f>
        <v/>
      </c>
      <c r="BT97" s="83" t="str">
        <f aca="false">IF(BP97=1,(BR97-BS97)/BS97,"")</f>
        <v/>
      </c>
      <c r="BU97" s="66" t="str">
        <f aca="false">IF(BP97=1,IF(AL97="Win",1+IF(BQ97=1,0,INDEX(BU$5:BU96,MATCH(BQ97-1,BQ$5:BQ96,0))),0),"")</f>
        <v/>
      </c>
      <c r="BV97" s="66" t="str">
        <f aca="false">IF(BP97=1,IF(AL97="Loss",1+IF(BQ97=1,0,INDEX(BV$5:BV96,MATCH(BQ97-1,BQ$5:BQ96,0))),0),"")</f>
        <v/>
      </c>
    </row>
    <row r="98" customFormat="false" ht="15" hidden="false" customHeight="false" outlineLevel="0" collapsed="false">
      <c r="A98" s="66" t="str">
        <f aca="false">IF(B98="","",ROW()-5)</f>
        <v/>
      </c>
      <c r="B98" s="67"/>
      <c r="C98" s="68" t="str">
        <f aca="false">IF(B98="","",CHOOSE(WEEKDAY(B98,2),"Mon","Tue","Wed","Thu","Fri","Sat","Sun"))</f>
        <v/>
      </c>
      <c r="D98" s="66" t="str">
        <f aca="false">IF(B98="","",WEEKNUM(B98,2))</f>
        <v/>
      </c>
      <c r="E98" s="69"/>
      <c r="F98" s="69"/>
      <c r="G98" s="70"/>
      <c r="H98" s="70"/>
      <c r="I98" s="69"/>
      <c r="J98" s="69"/>
      <c r="K98" s="69"/>
      <c r="L98" s="71"/>
      <c r="M98" s="69"/>
      <c r="N98" s="69"/>
      <c r="O98" s="69"/>
      <c r="P98" s="71"/>
      <c r="Q98" s="69"/>
      <c r="R98" s="69"/>
      <c r="S98" s="69"/>
      <c r="T98" s="69"/>
      <c r="U98" s="69"/>
      <c r="V98" s="69"/>
      <c r="W98" s="69"/>
      <c r="X98" s="66" t="str">
        <f aca="false">IF(B98="","",COUNTIF(Q98:W98,"Yes"))</f>
        <v/>
      </c>
      <c r="Y98" s="68" t="str">
        <f aca="false">IF(B98="","",IF(X98&gt;=Settings!$C$16,"A+",IF(X98&gt;=Settings!$C$17,"A",IF(X98&gt;=Settings!$C$18,"B","C"))))</f>
        <v/>
      </c>
      <c r="Z98" s="72"/>
      <c r="AA98" s="72"/>
      <c r="AB98" s="72"/>
      <c r="AC98" s="72"/>
      <c r="AD98" s="72"/>
      <c r="AE98" s="72"/>
      <c r="AF98" s="73"/>
      <c r="AG98" s="74"/>
      <c r="AH98" s="75"/>
      <c r="AI98" s="76" t="str">
        <f aca="false">IF(B98="","",ROUND(IF(AG98="",Settings!$C$5,AG98)*AW98,2))</f>
        <v/>
      </c>
      <c r="AJ98" s="77" t="str">
        <f aca="false">IF(OR(B98="",AB98="",AC98="",AD98=""),"",IFERROR(ROUND(ABS(AD98-AB98)/ABS(AB98-AC98),2),""))</f>
        <v/>
      </c>
      <c r="AK98" s="78" t="str">
        <f aca="false">IF(OR(B98="",AB98="",AC98="",AE98=""),"",IFERROR(ROUND(IF(J98="Short",AB98-AE98,AE98-AB98)/ABS(AB98-AC98),2),""))</f>
        <v/>
      </c>
      <c r="AL98" s="68" t="str">
        <f aca="false">IF(AK98="","",IF(ABS(AK98)&lt;=Settings!$C$6,"BE",IF(AK98&gt;0,"Win","Loss")))</f>
        <v/>
      </c>
      <c r="AM98" s="79" t="str">
        <f aca="false">IF(OR(AK98="",AI98=""),"",ROUND(AK98*AI98-N(AH98),2))</f>
        <v/>
      </c>
      <c r="AN98" s="76" t="str">
        <f aca="false">IF(AM98="","",ROUND(BK98+SUMIFS(AM$6:AM98,BJ$6:BJ98,BJ98),2))</f>
        <v/>
      </c>
      <c r="AO98" s="78" t="str">
        <f aca="false">IF(AK98="","",ROUND(SUMIFS(AK$6:AK98,BJ$6:BJ98,BJ98),2))</f>
        <v/>
      </c>
      <c r="AP98" s="80" t="str">
        <f aca="false">IF(OR(AK98="",BL98=""),"",IFERROR(ROUND(IF(J98="Short",AB98-AE98,AE98-AB98)/BL98,1),""))</f>
        <v/>
      </c>
      <c r="AQ98" s="66" t="str">
        <f aca="false">IF(OR(G98="",H98=""),"",ROUND(MOD(H98-G98,1)*1440,0))</f>
        <v/>
      </c>
      <c r="AR98" s="68" t="str">
        <f aca="false">IF(AQ98="","",IF(AQ98&lt;15,"Under 15m",IF(AQ98&lt;60,"15-60m",IF(AQ98&lt;240,"1-4 hours","4+ hours"))))</f>
        <v/>
      </c>
      <c r="AS98" s="66" t="str">
        <f aca="false">IF(G98="","",HOUR(G98))</f>
        <v/>
      </c>
      <c r="AT98" s="80" t="str">
        <f aca="false">IF(OR(Z98="",AB98="",BL98=""),"",IFERROR(ROUND(IF(J98="Short",Z98-AB98,AB98-Z98)/BL98,1),""))</f>
        <v/>
      </c>
      <c r="AU98" s="68" t="str">
        <f aca="false">IF(OR(AA98="",AC98=""),"",IF(AA98=AC98,"No","Yes"))</f>
        <v/>
      </c>
      <c r="AV98" s="81" t="str">
        <f aca="false">IF(OR(B98="",BL98="",BM98="",AB98="",AC98=""),"",IFERROR(ROUND(AI98/(ABS(AB98-AC98)/BL98*BM98),2),""))</f>
        <v/>
      </c>
      <c r="AW98" s="76" t="str">
        <f aca="false">IF(B98="","",ROUND(BK98+SUMIFS(AM$5:AM97,BJ$5:BJ97,BJ98),2))</f>
        <v/>
      </c>
      <c r="AX98" s="66" t="str">
        <f aca="false">IF(B98="","",COUNTIFS(B$6:B98,B98,BJ$6:BJ98,BJ98))</f>
        <v/>
      </c>
      <c r="AY98" s="79" t="str">
        <f aca="false">IF(B98="","",ROUND(SUMIFS(AM$5:AM97,B$5:B97,B98,BJ$5:BJ97,BJ98),2))</f>
        <v/>
      </c>
      <c r="AZ98" s="79" t="str">
        <f aca="false">IF(AM98="","",ROUND(AY98+AM98,2))</f>
        <v/>
      </c>
      <c r="BA98" s="79" t="str">
        <f aca="false">IF(B98="","",ROUND(SUMIFS(AM$5:AM97,B$5:B97,"&gt;="&amp;(B98-WEEKDAY(B98,2)+1),B$5:B97,"&lt;="&amp;B98,BJ$5:BJ97,BJ98),2))</f>
        <v/>
      </c>
      <c r="BB98" s="68" t="str">
        <f aca="false">IF(B98="","",IF(AND(AF98&lt;&gt;"",AV98&lt;&gt;"",N(AF98)&gt;N(AV98)*(1+Settings!$C$13)),"Oversized",IF(AX98&gt;Settings!$C$10,"Overtraded",IF(AY98&lt;=-Settings!$C$11*(AW98-AY98),"Daily loss hit",IF(BA98&lt;=-Settings!$C$12*(AW98-BA98),"Weekly loss hit","OK")))))</f>
        <v/>
      </c>
      <c r="BC98" s="69"/>
      <c r="BD98" s="69"/>
      <c r="BE98" s="69"/>
      <c r="BF98" s="73"/>
      <c r="BG98" s="73"/>
      <c r="BH98" s="71"/>
      <c r="BI98" s="71"/>
      <c r="BJ98" s="68" t="str">
        <f aca="false">IF(B98="","",IF(E98="",Settings!$F$5,E98))</f>
        <v/>
      </c>
      <c r="BK98" s="76" t="str">
        <f aca="false">IF(B98="","",IFERROR(INDEX(Settings!$G$5:$G$10,MATCH(BJ98,Settings!$F$5:$F$10,0)),Settings!$G$5))</f>
        <v/>
      </c>
      <c r="BL98" s="82" t="str">
        <f aca="false">IF(I98="","",IFERROR(1/(1/INDEX(Lists!$C$6:$C$17,MATCH(I98,Lists!$B$6:$B$17,0))),""))</f>
        <v/>
      </c>
      <c r="BM98" s="81" t="str">
        <f aca="false">IF(I98="","",IFERROR(1/(1/INDEX(Lists!$D$6:$D$17,MATCH(I98,Lists!$B$6:$B$17,0))),""))</f>
        <v/>
      </c>
      <c r="BN98" s="76" t="str">
        <f aca="false">IF(AN98="","",MAX(BK98,_xlfn.MAXIFS(AN$6:AN98,BJ$6:BJ98,BJ98)))</f>
        <v/>
      </c>
      <c r="BO98" s="83" t="str">
        <f aca="false">IF(AN98="","",(AN98-BN98)/BN98)</f>
        <v/>
      </c>
      <c r="BP98" s="66" t="n">
        <f aca="false">IF(OR(B98="",AL98=""),0,IF(OR(Settings!$C$28="All Accounts",BJ98=Settings!$C$28),1,0))</f>
        <v>0</v>
      </c>
      <c r="BQ98" s="66" t="str">
        <f aca="false">IF(BP98=1,SUM(BP$6:BP98),"")</f>
        <v/>
      </c>
      <c r="BR98" s="76" t="str">
        <f aca="false">IF(BP98=1,ROUND(Settings!$C$29+SUMIFS(AM$6:AM98,BP$6:BP98,1),2),"")</f>
        <v/>
      </c>
      <c r="BS98" s="76" t="str">
        <f aca="false">IF(BP98=1,MAX(Settings!$C$29,MAX(BR$6:BR98)),"")</f>
        <v/>
      </c>
      <c r="BT98" s="83" t="str">
        <f aca="false">IF(BP98=1,(BR98-BS98)/BS98,"")</f>
        <v/>
      </c>
      <c r="BU98" s="66" t="str">
        <f aca="false">IF(BP98=1,IF(AL98="Win",1+IF(BQ98=1,0,INDEX(BU$5:BU97,MATCH(BQ98-1,BQ$5:BQ97,0))),0),"")</f>
        <v/>
      </c>
      <c r="BV98" s="66" t="str">
        <f aca="false">IF(BP98=1,IF(AL98="Loss",1+IF(BQ98=1,0,INDEX(BV$5:BV97,MATCH(BQ98-1,BQ$5:BQ97,0))),0),"")</f>
        <v/>
      </c>
    </row>
    <row r="99" customFormat="false" ht="15" hidden="false" customHeight="false" outlineLevel="0" collapsed="false">
      <c r="A99" s="66" t="str">
        <f aca="false">IF(B99="","",ROW()-5)</f>
        <v/>
      </c>
      <c r="B99" s="67"/>
      <c r="C99" s="68" t="str">
        <f aca="false">IF(B99="","",CHOOSE(WEEKDAY(B99,2),"Mon","Tue","Wed","Thu","Fri","Sat","Sun"))</f>
        <v/>
      </c>
      <c r="D99" s="66" t="str">
        <f aca="false">IF(B99="","",WEEKNUM(B99,2))</f>
        <v/>
      </c>
      <c r="E99" s="69"/>
      <c r="F99" s="69"/>
      <c r="G99" s="70"/>
      <c r="H99" s="70"/>
      <c r="I99" s="69"/>
      <c r="J99" s="69"/>
      <c r="K99" s="69"/>
      <c r="L99" s="71"/>
      <c r="M99" s="69"/>
      <c r="N99" s="69"/>
      <c r="O99" s="69"/>
      <c r="P99" s="71"/>
      <c r="Q99" s="69"/>
      <c r="R99" s="69"/>
      <c r="S99" s="69"/>
      <c r="T99" s="69"/>
      <c r="U99" s="69"/>
      <c r="V99" s="69"/>
      <c r="W99" s="69"/>
      <c r="X99" s="66" t="str">
        <f aca="false">IF(B99="","",COUNTIF(Q99:W99,"Yes"))</f>
        <v/>
      </c>
      <c r="Y99" s="68" t="str">
        <f aca="false">IF(B99="","",IF(X99&gt;=Settings!$C$16,"A+",IF(X99&gt;=Settings!$C$17,"A",IF(X99&gt;=Settings!$C$18,"B","C"))))</f>
        <v/>
      </c>
      <c r="Z99" s="72"/>
      <c r="AA99" s="72"/>
      <c r="AB99" s="72"/>
      <c r="AC99" s="72"/>
      <c r="AD99" s="72"/>
      <c r="AE99" s="72"/>
      <c r="AF99" s="73"/>
      <c r="AG99" s="74"/>
      <c r="AH99" s="75"/>
      <c r="AI99" s="76" t="str">
        <f aca="false">IF(B99="","",ROUND(IF(AG99="",Settings!$C$5,AG99)*AW99,2))</f>
        <v/>
      </c>
      <c r="AJ99" s="77" t="str">
        <f aca="false">IF(OR(B99="",AB99="",AC99="",AD99=""),"",IFERROR(ROUND(ABS(AD99-AB99)/ABS(AB99-AC99),2),""))</f>
        <v/>
      </c>
      <c r="AK99" s="78" t="str">
        <f aca="false">IF(OR(B99="",AB99="",AC99="",AE99=""),"",IFERROR(ROUND(IF(J99="Short",AB99-AE99,AE99-AB99)/ABS(AB99-AC99),2),""))</f>
        <v/>
      </c>
      <c r="AL99" s="68" t="str">
        <f aca="false">IF(AK99="","",IF(ABS(AK99)&lt;=Settings!$C$6,"BE",IF(AK99&gt;0,"Win","Loss")))</f>
        <v/>
      </c>
      <c r="AM99" s="79" t="str">
        <f aca="false">IF(OR(AK99="",AI99=""),"",ROUND(AK99*AI99-N(AH99),2))</f>
        <v/>
      </c>
      <c r="AN99" s="76" t="str">
        <f aca="false">IF(AM99="","",ROUND(BK99+SUMIFS(AM$6:AM99,BJ$6:BJ99,BJ99),2))</f>
        <v/>
      </c>
      <c r="AO99" s="78" t="str">
        <f aca="false">IF(AK99="","",ROUND(SUMIFS(AK$6:AK99,BJ$6:BJ99,BJ99),2))</f>
        <v/>
      </c>
      <c r="AP99" s="80" t="str">
        <f aca="false">IF(OR(AK99="",BL99=""),"",IFERROR(ROUND(IF(J99="Short",AB99-AE99,AE99-AB99)/BL99,1),""))</f>
        <v/>
      </c>
      <c r="AQ99" s="66" t="str">
        <f aca="false">IF(OR(G99="",H99=""),"",ROUND(MOD(H99-G99,1)*1440,0))</f>
        <v/>
      </c>
      <c r="AR99" s="68" t="str">
        <f aca="false">IF(AQ99="","",IF(AQ99&lt;15,"Under 15m",IF(AQ99&lt;60,"15-60m",IF(AQ99&lt;240,"1-4 hours","4+ hours"))))</f>
        <v/>
      </c>
      <c r="AS99" s="66" t="str">
        <f aca="false">IF(G99="","",HOUR(G99))</f>
        <v/>
      </c>
      <c r="AT99" s="80" t="str">
        <f aca="false">IF(OR(Z99="",AB99="",BL99=""),"",IFERROR(ROUND(IF(J99="Short",Z99-AB99,AB99-Z99)/BL99,1),""))</f>
        <v/>
      </c>
      <c r="AU99" s="68" t="str">
        <f aca="false">IF(OR(AA99="",AC99=""),"",IF(AA99=AC99,"No","Yes"))</f>
        <v/>
      </c>
      <c r="AV99" s="81" t="str">
        <f aca="false">IF(OR(B99="",BL99="",BM99="",AB99="",AC99=""),"",IFERROR(ROUND(AI99/(ABS(AB99-AC99)/BL99*BM99),2),""))</f>
        <v/>
      </c>
      <c r="AW99" s="76" t="str">
        <f aca="false">IF(B99="","",ROUND(BK99+SUMIFS(AM$5:AM98,BJ$5:BJ98,BJ99),2))</f>
        <v/>
      </c>
      <c r="AX99" s="66" t="str">
        <f aca="false">IF(B99="","",COUNTIFS(B$6:B99,B99,BJ$6:BJ99,BJ99))</f>
        <v/>
      </c>
      <c r="AY99" s="79" t="str">
        <f aca="false">IF(B99="","",ROUND(SUMIFS(AM$5:AM98,B$5:B98,B99,BJ$5:BJ98,BJ99),2))</f>
        <v/>
      </c>
      <c r="AZ99" s="79" t="str">
        <f aca="false">IF(AM99="","",ROUND(AY99+AM99,2))</f>
        <v/>
      </c>
      <c r="BA99" s="79" t="str">
        <f aca="false">IF(B99="","",ROUND(SUMIFS(AM$5:AM98,B$5:B98,"&gt;="&amp;(B99-WEEKDAY(B99,2)+1),B$5:B98,"&lt;="&amp;B99,BJ$5:BJ98,BJ99),2))</f>
        <v/>
      </c>
      <c r="BB99" s="68" t="str">
        <f aca="false">IF(B99="","",IF(AND(AF99&lt;&gt;"",AV99&lt;&gt;"",N(AF99)&gt;N(AV99)*(1+Settings!$C$13)),"Oversized",IF(AX99&gt;Settings!$C$10,"Overtraded",IF(AY99&lt;=-Settings!$C$11*(AW99-AY99),"Daily loss hit",IF(BA99&lt;=-Settings!$C$12*(AW99-BA99),"Weekly loss hit","OK")))))</f>
        <v/>
      </c>
      <c r="BC99" s="69"/>
      <c r="BD99" s="69"/>
      <c r="BE99" s="69"/>
      <c r="BF99" s="73"/>
      <c r="BG99" s="73"/>
      <c r="BH99" s="71"/>
      <c r="BI99" s="71"/>
      <c r="BJ99" s="68" t="str">
        <f aca="false">IF(B99="","",IF(E99="",Settings!$F$5,E99))</f>
        <v/>
      </c>
      <c r="BK99" s="76" t="str">
        <f aca="false">IF(B99="","",IFERROR(INDEX(Settings!$G$5:$G$10,MATCH(BJ99,Settings!$F$5:$F$10,0)),Settings!$G$5))</f>
        <v/>
      </c>
      <c r="BL99" s="82" t="str">
        <f aca="false">IF(I99="","",IFERROR(1/(1/INDEX(Lists!$C$6:$C$17,MATCH(I99,Lists!$B$6:$B$17,0))),""))</f>
        <v/>
      </c>
      <c r="BM99" s="81" t="str">
        <f aca="false">IF(I99="","",IFERROR(1/(1/INDEX(Lists!$D$6:$D$17,MATCH(I99,Lists!$B$6:$B$17,0))),""))</f>
        <v/>
      </c>
      <c r="BN99" s="76" t="str">
        <f aca="false">IF(AN99="","",MAX(BK99,_xlfn.MAXIFS(AN$6:AN99,BJ$6:BJ99,BJ99)))</f>
        <v/>
      </c>
      <c r="BO99" s="83" t="str">
        <f aca="false">IF(AN99="","",(AN99-BN99)/BN99)</f>
        <v/>
      </c>
      <c r="BP99" s="66" t="n">
        <f aca="false">IF(OR(B99="",AL99=""),0,IF(OR(Settings!$C$28="All Accounts",BJ99=Settings!$C$28),1,0))</f>
        <v>0</v>
      </c>
      <c r="BQ99" s="66" t="str">
        <f aca="false">IF(BP99=1,SUM(BP$6:BP99),"")</f>
        <v/>
      </c>
      <c r="BR99" s="76" t="str">
        <f aca="false">IF(BP99=1,ROUND(Settings!$C$29+SUMIFS(AM$6:AM99,BP$6:BP99,1),2),"")</f>
        <v/>
      </c>
      <c r="BS99" s="76" t="str">
        <f aca="false">IF(BP99=1,MAX(Settings!$C$29,MAX(BR$6:BR99)),"")</f>
        <v/>
      </c>
      <c r="BT99" s="83" t="str">
        <f aca="false">IF(BP99=1,(BR99-BS99)/BS99,"")</f>
        <v/>
      </c>
      <c r="BU99" s="66" t="str">
        <f aca="false">IF(BP99=1,IF(AL99="Win",1+IF(BQ99=1,0,INDEX(BU$5:BU98,MATCH(BQ99-1,BQ$5:BQ98,0))),0),"")</f>
        <v/>
      </c>
      <c r="BV99" s="66" t="str">
        <f aca="false">IF(BP99=1,IF(AL99="Loss",1+IF(BQ99=1,0,INDEX(BV$5:BV98,MATCH(BQ99-1,BQ$5:BQ98,0))),0),"")</f>
        <v/>
      </c>
    </row>
    <row r="100" customFormat="false" ht="15" hidden="false" customHeight="false" outlineLevel="0" collapsed="false">
      <c r="A100" s="66" t="str">
        <f aca="false">IF(B100="","",ROW()-5)</f>
        <v/>
      </c>
      <c r="B100" s="67"/>
      <c r="C100" s="68" t="str">
        <f aca="false">IF(B100="","",CHOOSE(WEEKDAY(B100,2),"Mon","Tue","Wed","Thu","Fri","Sat","Sun"))</f>
        <v/>
      </c>
      <c r="D100" s="66" t="str">
        <f aca="false">IF(B100="","",WEEKNUM(B100,2))</f>
        <v/>
      </c>
      <c r="E100" s="69"/>
      <c r="F100" s="69"/>
      <c r="G100" s="70"/>
      <c r="H100" s="70"/>
      <c r="I100" s="69"/>
      <c r="J100" s="69"/>
      <c r="K100" s="69"/>
      <c r="L100" s="71"/>
      <c r="M100" s="69"/>
      <c r="N100" s="69"/>
      <c r="O100" s="69"/>
      <c r="P100" s="71"/>
      <c r="Q100" s="69"/>
      <c r="R100" s="69"/>
      <c r="S100" s="69"/>
      <c r="T100" s="69"/>
      <c r="U100" s="69"/>
      <c r="V100" s="69"/>
      <c r="W100" s="69"/>
      <c r="X100" s="66" t="str">
        <f aca="false">IF(B100="","",COUNTIF(Q100:W100,"Yes"))</f>
        <v/>
      </c>
      <c r="Y100" s="68" t="str">
        <f aca="false">IF(B100="","",IF(X100&gt;=Settings!$C$16,"A+",IF(X100&gt;=Settings!$C$17,"A",IF(X100&gt;=Settings!$C$18,"B","C"))))</f>
        <v/>
      </c>
      <c r="Z100" s="72"/>
      <c r="AA100" s="72"/>
      <c r="AB100" s="72"/>
      <c r="AC100" s="72"/>
      <c r="AD100" s="72"/>
      <c r="AE100" s="72"/>
      <c r="AF100" s="73"/>
      <c r="AG100" s="74"/>
      <c r="AH100" s="75"/>
      <c r="AI100" s="76" t="str">
        <f aca="false">IF(B100="","",ROUND(IF(AG100="",Settings!$C$5,AG100)*AW100,2))</f>
        <v/>
      </c>
      <c r="AJ100" s="77" t="str">
        <f aca="false">IF(OR(B100="",AB100="",AC100="",AD100=""),"",IFERROR(ROUND(ABS(AD100-AB100)/ABS(AB100-AC100),2),""))</f>
        <v/>
      </c>
      <c r="AK100" s="78" t="str">
        <f aca="false">IF(OR(B100="",AB100="",AC100="",AE100=""),"",IFERROR(ROUND(IF(J100="Short",AB100-AE100,AE100-AB100)/ABS(AB100-AC100),2),""))</f>
        <v/>
      </c>
      <c r="AL100" s="68" t="str">
        <f aca="false">IF(AK100="","",IF(ABS(AK100)&lt;=Settings!$C$6,"BE",IF(AK100&gt;0,"Win","Loss")))</f>
        <v/>
      </c>
      <c r="AM100" s="79" t="str">
        <f aca="false">IF(OR(AK100="",AI100=""),"",ROUND(AK100*AI100-N(AH100),2))</f>
        <v/>
      </c>
      <c r="AN100" s="76" t="str">
        <f aca="false">IF(AM100="","",ROUND(BK100+SUMIFS(AM$6:AM100,BJ$6:BJ100,BJ100),2))</f>
        <v/>
      </c>
      <c r="AO100" s="78" t="str">
        <f aca="false">IF(AK100="","",ROUND(SUMIFS(AK$6:AK100,BJ$6:BJ100,BJ100),2))</f>
        <v/>
      </c>
      <c r="AP100" s="80" t="str">
        <f aca="false">IF(OR(AK100="",BL100=""),"",IFERROR(ROUND(IF(J100="Short",AB100-AE100,AE100-AB100)/BL100,1),""))</f>
        <v/>
      </c>
      <c r="AQ100" s="66" t="str">
        <f aca="false">IF(OR(G100="",H100=""),"",ROUND(MOD(H100-G100,1)*1440,0))</f>
        <v/>
      </c>
      <c r="AR100" s="68" t="str">
        <f aca="false">IF(AQ100="","",IF(AQ100&lt;15,"Under 15m",IF(AQ100&lt;60,"15-60m",IF(AQ100&lt;240,"1-4 hours","4+ hours"))))</f>
        <v/>
      </c>
      <c r="AS100" s="66" t="str">
        <f aca="false">IF(G100="","",HOUR(G100))</f>
        <v/>
      </c>
      <c r="AT100" s="80" t="str">
        <f aca="false">IF(OR(Z100="",AB100="",BL100=""),"",IFERROR(ROUND(IF(J100="Short",Z100-AB100,AB100-Z100)/BL100,1),""))</f>
        <v/>
      </c>
      <c r="AU100" s="68" t="str">
        <f aca="false">IF(OR(AA100="",AC100=""),"",IF(AA100=AC100,"No","Yes"))</f>
        <v/>
      </c>
      <c r="AV100" s="81" t="str">
        <f aca="false">IF(OR(B100="",BL100="",BM100="",AB100="",AC100=""),"",IFERROR(ROUND(AI100/(ABS(AB100-AC100)/BL100*BM100),2),""))</f>
        <v/>
      </c>
      <c r="AW100" s="76" t="str">
        <f aca="false">IF(B100="","",ROUND(BK100+SUMIFS(AM$5:AM99,BJ$5:BJ99,BJ100),2))</f>
        <v/>
      </c>
      <c r="AX100" s="66" t="str">
        <f aca="false">IF(B100="","",COUNTIFS(B$6:B100,B100,BJ$6:BJ100,BJ100))</f>
        <v/>
      </c>
      <c r="AY100" s="79" t="str">
        <f aca="false">IF(B100="","",ROUND(SUMIFS(AM$5:AM99,B$5:B99,B100,BJ$5:BJ99,BJ100),2))</f>
        <v/>
      </c>
      <c r="AZ100" s="79" t="str">
        <f aca="false">IF(AM100="","",ROUND(AY100+AM100,2))</f>
        <v/>
      </c>
      <c r="BA100" s="79" t="str">
        <f aca="false">IF(B100="","",ROUND(SUMIFS(AM$5:AM99,B$5:B99,"&gt;="&amp;(B100-WEEKDAY(B100,2)+1),B$5:B99,"&lt;="&amp;B100,BJ$5:BJ99,BJ100),2))</f>
        <v/>
      </c>
      <c r="BB100" s="68" t="str">
        <f aca="false">IF(B100="","",IF(AND(AF100&lt;&gt;"",AV100&lt;&gt;"",N(AF100)&gt;N(AV100)*(1+Settings!$C$13)),"Oversized",IF(AX100&gt;Settings!$C$10,"Overtraded",IF(AY100&lt;=-Settings!$C$11*(AW100-AY100),"Daily loss hit",IF(BA100&lt;=-Settings!$C$12*(AW100-BA100),"Weekly loss hit","OK")))))</f>
        <v/>
      </c>
      <c r="BC100" s="69"/>
      <c r="BD100" s="69"/>
      <c r="BE100" s="69"/>
      <c r="BF100" s="73"/>
      <c r="BG100" s="73"/>
      <c r="BH100" s="71"/>
      <c r="BI100" s="71"/>
      <c r="BJ100" s="68" t="str">
        <f aca="false">IF(B100="","",IF(E100="",Settings!$F$5,E100))</f>
        <v/>
      </c>
      <c r="BK100" s="76" t="str">
        <f aca="false">IF(B100="","",IFERROR(INDEX(Settings!$G$5:$G$10,MATCH(BJ100,Settings!$F$5:$F$10,0)),Settings!$G$5))</f>
        <v/>
      </c>
      <c r="BL100" s="82" t="str">
        <f aca="false">IF(I100="","",IFERROR(1/(1/INDEX(Lists!$C$6:$C$17,MATCH(I100,Lists!$B$6:$B$17,0))),""))</f>
        <v/>
      </c>
      <c r="BM100" s="81" t="str">
        <f aca="false">IF(I100="","",IFERROR(1/(1/INDEX(Lists!$D$6:$D$17,MATCH(I100,Lists!$B$6:$B$17,0))),""))</f>
        <v/>
      </c>
      <c r="BN100" s="76" t="str">
        <f aca="false">IF(AN100="","",MAX(BK100,_xlfn.MAXIFS(AN$6:AN100,BJ$6:BJ100,BJ100)))</f>
        <v/>
      </c>
      <c r="BO100" s="83" t="str">
        <f aca="false">IF(AN100="","",(AN100-BN100)/BN100)</f>
        <v/>
      </c>
      <c r="BP100" s="66" t="n">
        <f aca="false">IF(OR(B100="",AL100=""),0,IF(OR(Settings!$C$28="All Accounts",BJ100=Settings!$C$28),1,0))</f>
        <v>0</v>
      </c>
      <c r="BQ100" s="66" t="str">
        <f aca="false">IF(BP100=1,SUM(BP$6:BP100),"")</f>
        <v/>
      </c>
      <c r="BR100" s="76" t="str">
        <f aca="false">IF(BP100=1,ROUND(Settings!$C$29+SUMIFS(AM$6:AM100,BP$6:BP100,1),2),"")</f>
        <v/>
      </c>
      <c r="BS100" s="76" t="str">
        <f aca="false">IF(BP100=1,MAX(Settings!$C$29,MAX(BR$6:BR100)),"")</f>
        <v/>
      </c>
      <c r="BT100" s="83" t="str">
        <f aca="false">IF(BP100=1,(BR100-BS100)/BS100,"")</f>
        <v/>
      </c>
      <c r="BU100" s="66" t="str">
        <f aca="false">IF(BP100=1,IF(AL100="Win",1+IF(BQ100=1,0,INDEX(BU$5:BU99,MATCH(BQ100-1,BQ$5:BQ99,0))),0),"")</f>
        <v/>
      </c>
      <c r="BV100" s="66" t="str">
        <f aca="false">IF(BP100=1,IF(AL100="Loss",1+IF(BQ100=1,0,INDEX(BV$5:BV99,MATCH(BQ100-1,BQ$5:BQ99,0))),0),"")</f>
        <v/>
      </c>
    </row>
    <row r="101" customFormat="false" ht="15" hidden="false" customHeight="false" outlineLevel="0" collapsed="false">
      <c r="A101" s="66" t="str">
        <f aca="false">IF(B101="","",ROW()-5)</f>
        <v/>
      </c>
      <c r="B101" s="67"/>
      <c r="C101" s="68" t="str">
        <f aca="false">IF(B101="","",CHOOSE(WEEKDAY(B101,2),"Mon","Tue","Wed","Thu","Fri","Sat","Sun"))</f>
        <v/>
      </c>
      <c r="D101" s="66" t="str">
        <f aca="false">IF(B101="","",WEEKNUM(B101,2))</f>
        <v/>
      </c>
      <c r="E101" s="69"/>
      <c r="F101" s="69"/>
      <c r="G101" s="70"/>
      <c r="H101" s="70"/>
      <c r="I101" s="69"/>
      <c r="J101" s="69"/>
      <c r="K101" s="69"/>
      <c r="L101" s="71"/>
      <c r="M101" s="69"/>
      <c r="N101" s="69"/>
      <c r="O101" s="69"/>
      <c r="P101" s="71"/>
      <c r="Q101" s="69"/>
      <c r="R101" s="69"/>
      <c r="S101" s="69"/>
      <c r="T101" s="69"/>
      <c r="U101" s="69"/>
      <c r="V101" s="69"/>
      <c r="W101" s="69"/>
      <c r="X101" s="66" t="str">
        <f aca="false">IF(B101="","",COUNTIF(Q101:W101,"Yes"))</f>
        <v/>
      </c>
      <c r="Y101" s="68" t="str">
        <f aca="false">IF(B101="","",IF(X101&gt;=Settings!$C$16,"A+",IF(X101&gt;=Settings!$C$17,"A",IF(X101&gt;=Settings!$C$18,"B","C"))))</f>
        <v/>
      </c>
      <c r="Z101" s="72"/>
      <c r="AA101" s="72"/>
      <c r="AB101" s="72"/>
      <c r="AC101" s="72"/>
      <c r="AD101" s="72"/>
      <c r="AE101" s="72"/>
      <c r="AF101" s="73"/>
      <c r="AG101" s="74"/>
      <c r="AH101" s="75"/>
      <c r="AI101" s="76" t="str">
        <f aca="false">IF(B101="","",ROUND(IF(AG101="",Settings!$C$5,AG101)*AW101,2))</f>
        <v/>
      </c>
      <c r="AJ101" s="77" t="str">
        <f aca="false">IF(OR(B101="",AB101="",AC101="",AD101=""),"",IFERROR(ROUND(ABS(AD101-AB101)/ABS(AB101-AC101),2),""))</f>
        <v/>
      </c>
      <c r="AK101" s="78" t="str">
        <f aca="false">IF(OR(B101="",AB101="",AC101="",AE101=""),"",IFERROR(ROUND(IF(J101="Short",AB101-AE101,AE101-AB101)/ABS(AB101-AC101),2),""))</f>
        <v/>
      </c>
      <c r="AL101" s="68" t="str">
        <f aca="false">IF(AK101="","",IF(ABS(AK101)&lt;=Settings!$C$6,"BE",IF(AK101&gt;0,"Win","Loss")))</f>
        <v/>
      </c>
      <c r="AM101" s="79" t="str">
        <f aca="false">IF(OR(AK101="",AI101=""),"",ROUND(AK101*AI101-N(AH101),2))</f>
        <v/>
      </c>
      <c r="AN101" s="76" t="str">
        <f aca="false">IF(AM101="","",ROUND(BK101+SUMIFS(AM$6:AM101,BJ$6:BJ101,BJ101),2))</f>
        <v/>
      </c>
      <c r="AO101" s="78" t="str">
        <f aca="false">IF(AK101="","",ROUND(SUMIFS(AK$6:AK101,BJ$6:BJ101,BJ101),2))</f>
        <v/>
      </c>
      <c r="AP101" s="80" t="str">
        <f aca="false">IF(OR(AK101="",BL101=""),"",IFERROR(ROUND(IF(J101="Short",AB101-AE101,AE101-AB101)/BL101,1),""))</f>
        <v/>
      </c>
      <c r="AQ101" s="66" t="str">
        <f aca="false">IF(OR(G101="",H101=""),"",ROUND(MOD(H101-G101,1)*1440,0))</f>
        <v/>
      </c>
      <c r="AR101" s="68" t="str">
        <f aca="false">IF(AQ101="","",IF(AQ101&lt;15,"Under 15m",IF(AQ101&lt;60,"15-60m",IF(AQ101&lt;240,"1-4 hours","4+ hours"))))</f>
        <v/>
      </c>
      <c r="AS101" s="66" t="str">
        <f aca="false">IF(G101="","",HOUR(G101))</f>
        <v/>
      </c>
      <c r="AT101" s="80" t="str">
        <f aca="false">IF(OR(Z101="",AB101="",BL101=""),"",IFERROR(ROUND(IF(J101="Short",Z101-AB101,AB101-Z101)/BL101,1),""))</f>
        <v/>
      </c>
      <c r="AU101" s="68" t="str">
        <f aca="false">IF(OR(AA101="",AC101=""),"",IF(AA101=AC101,"No","Yes"))</f>
        <v/>
      </c>
      <c r="AV101" s="81" t="str">
        <f aca="false">IF(OR(B101="",BL101="",BM101="",AB101="",AC101=""),"",IFERROR(ROUND(AI101/(ABS(AB101-AC101)/BL101*BM101),2),""))</f>
        <v/>
      </c>
      <c r="AW101" s="76" t="str">
        <f aca="false">IF(B101="","",ROUND(BK101+SUMIFS(AM$5:AM100,BJ$5:BJ100,BJ101),2))</f>
        <v/>
      </c>
      <c r="AX101" s="66" t="str">
        <f aca="false">IF(B101="","",COUNTIFS(B$6:B101,B101,BJ$6:BJ101,BJ101))</f>
        <v/>
      </c>
      <c r="AY101" s="79" t="str">
        <f aca="false">IF(B101="","",ROUND(SUMIFS(AM$5:AM100,B$5:B100,B101,BJ$5:BJ100,BJ101),2))</f>
        <v/>
      </c>
      <c r="AZ101" s="79" t="str">
        <f aca="false">IF(AM101="","",ROUND(AY101+AM101,2))</f>
        <v/>
      </c>
      <c r="BA101" s="79" t="str">
        <f aca="false">IF(B101="","",ROUND(SUMIFS(AM$5:AM100,B$5:B100,"&gt;="&amp;(B101-WEEKDAY(B101,2)+1),B$5:B100,"&lt;="&amp;B101,BJ$5:BJ100,BJ101),2))</f>
        <v/>
      </c>
      <c r="BB101" s="68" t="str">
        <f aca="false">IF(B101="","",IF(AND(AF101&lt;&gt;"",AV101&lt;&gt;"",N(AF101)&gt;N(AV101)*(1+Settings!$C$13)),"Oversized",IF(AX101&gt;Settings!$C$10,"Overtraded",IF(AY101&lt;=-Settings!$C$11*(AW101-AY101),"Daily loss hit",IF(BA101&lt;=-Settings!$C$12*(AW101-BA101),"Weekly loss hit","OK")))))</f>
        <v/>
      </c>
      <c r="BC101" s="69"/>
      <c r="BD101" s="69"/>
      <c r="BE101" s="69"/>
      <c r="BF101" s="73"/>
      <c r="BG101" s="73"/>
      <c r="BH101" s="71"/>
      <c r="BI101" s="71"/>
      <c r="BJ101" s="68" t="str">
        <f aca="false">IF(B101="","",IF(E101="",Settings!$F$5,E101))</f>
        <v/>
      </c>
      <c r="BK101" s="76" t="str">
        <f aca="false">IF(B101="","",IFERROR(INDEX(Settings!$G$5:$G$10,MATCH(BJ101,Settings!$F$5:$F$10,0)),Settings!$G$5))</f>
        <v/>
      </c>
      <c r="BL101" s="82" t="str">
        <f aca="false">IF(I101="","",IFERROR(1/(1/INDEX(Lists!$C$6:$C$17,MATCH(I101,Lists!$B$6:$B$17,0))),""))</f>
        <v/>
      </c>
      <c r="BM101" s="81" t="str">
        <f aca="false">IF(I101="","",IFERROR(1/(1/INDEX(Lists!$D$6:$D$17,MATCH(I101,Lists!$B$6:$B$17,0))),""))</f>
        <v/>
      </c>
      <c r="BN101" s="76" t="str">
        <f aca="false">IF(AN101="","",MAX(BK101,_xlfn.MAXIFS(AN$6:AN101,BJ$6:BJ101,BJ101)))</f>
        <v/>
      </c>
      <c r="BO101" s="83" t="str">
        <f aca="false">IF(AN101="","",(AN101-BN101)/BN101)</f>
        <v/>
      </c>
      <c r="BP101" s="66" t="n">
        <f aca="false">IF(OR(B101="",AL101=""),0,IF(OR(Settings!$C$28="All Accounts",BJ101=Settings!$C$28),1,0))</f>
        <v>0</v>
      </c>
      <c r="BQ101" s="66" t="str">
        <f aca="false">IF(BP101=1,SUM(BP$6:BP101),"")</f>
        <v/>
      </c>
      <c r="BR101" s="76" t="str">
        <f aca="false">IF(BP101=1,ROUND(Settings!$C$29+SUMIFS(AM$6:AM101,BP$6:BP101,1),2),"")</f>
        <v/>
      </c>
      <c r="BS101" s="76" t="str">
        <f aca="false">IF(BP101=1,MAX(Settings!$C$29,MAX(BR$6:BR101)),"")</f>
        <v/>
      </c>
      <c r="BT101" s="83" t="str">
        <f aca="false">IF(BP101=1,(BR101-BS101)/BS101,"")</f>
        <v/>
      </c>
      <c r="BU101" s="66" t="str">
        <f aca="false">IF(BP101=1,IF(AL101="Win",1+IF(BQ101=1,0,INDEX(BU$5:BU100,MATCH(BQ101-1,BQ$5:BQ100,0))),0),"")</f>
        <v/>
      </c>
      <c r="BV101" s="66" t="str">
        <f aca="false">IF(BP101=1,IF(AL101="Loss",1+IF(BQ101=1,0,INDEX(BV$5:BV100,MATCH(BQ101-1,BQ$5:BQ100,0))),0),"")</f>
        <v/>
      </c>
    </row>
    <row r="102" customFormat="false" ht="15" hidden="false" customHeight="false" outlineLevel="0" collapsed="false">
      <c r="A102" s="66" t="str">
        <f aca="false">IF(B102="","",ROW()-5)</f>
        <v/>
      </c>
      <c r="B102" s="67"/>
      <c r="C102" s="68" t="str">
        <f aca="false">IF(B102="","",CHOOSE(WEEKDAY(B102,2),"Mon","Tue","Wed","Thu","Fri","Sat","Sun"))</f>
        <v/>
      </c>
      <c r="D102" s="66" t="str">
        <f aca="false">IF(B102="","",WEEKNUM(B102,2))</f>
        <v/>
      </c>
      <c r="E102" s="69"/>
      <c r="F102" s="69"/>
      <c r="G102" s="70"/>
      <c r="H102" s="70"/>
      <c r="I102" s="69"/>
      <c r="J102" s="69"/>
      <c r="K102" s="69"/>
      <c r="L102" s="71"/>
      <c r="M102" s="69"/>
      <c r="N102" s="69"/>
      <c r="O102" s="69"/>
      <c r="P102" s="71"/>
      <c r="Q102" s="69"/>
      <c r="R102" s="69"/>
      <c r="S102" s="69"/>
      <c r="T102" s="69"/>
      <c r="U102" s="69"/>
      <c r="V102" s="69"/>
      <c r="W102" s="69"/>
      <c r="X102" s="66" t="str">
        <f aca="false">IF(B102="","",COUNTIF(Q102:W102,"Yes"))</f>
        <v/>
      </c>
      <c r="Y102" s="68" t="str">
        <f aca="false">IF(B102="","",IF(X102&gt;=Settings!$C$16,"A+",IF(X102&gt;=Settings!$C$17,"A",IF(X102&gt;=Settings!$C$18,"B","C"))))</f>
        <v/>
      </c>
      <c r="Z102" s="72"/>
      <c r="AA102" s="72"/>
      <c r="AB102" s="72"/>
      <c r="AC102" s="72"/>
      <c r="AD102" s="72"/>
      <c r="AE102" s="72"/>
      <c r="AF102" s="73"/>
      <c r="AG102" s="74"/>
      <c r="AH102" s="75"/>
      <c r="AI102" s="76" t="str">
        <f aca="false">IF(B102="","",ROUND(IF(AG102="",Settings!$C$5,AG102)*AW102,2))</f>
        <v/>
      </c>
      <c r="AJ102" s="77" t="str">
        <f aca="false">IF(OR(B102="",AB102="",AC102="",AD102=""),"",IFERROR(ROUND(ABS(AD102-AB102)/ABS(AB102-AC102),2),""))</f>
        <v/>
      </c>
      <c r="AK102" s="78" t="str">
        <f aca="false">IF(OR(B102="",AB102="",AC102="",AE102=""),"",IFERROR(ROUND(IF(J102="Short",AB102-AE102,AE102-AB102)/ABS(AB102-AC102),2),""))</f>
        <v/>
      </c>
      <c r="AL102" s="68" t="str">
        <f aca="false">IF(AK102="","",IF(ABS(AK102)&lt;=Settings!$C$6,"BE",IF(AK102&gt;0,"Win","Loss")))</f>
        <v/>
      </c>
      <c r="AM102" s="79" t="str">
        <f aca="false">IF(OR(AK102="",AI102=""),"",ROUND(AK102*AI102-N(AH102),2))</f>
        <v/>
      </c>
      <c r="AN102" s="76" t="str">
        <f aca="false">IF(AM102="","",ROUND(BK102+SUMIFS(AM$6:AM102,BJ$6:BJ102,BJ102),2))</f>
        <v/>
      </c>
      <c r="AO102" s="78" t="str">
        <f aca="false">IF(AK102="","",ROUND(SUMIFS(AK$6:AK102,BJ$6:BJ102,BJ102),2))</f>
        <v/>
      </c>
      <c r="AP102" s="80" t="str">
        <f aca="false">IF(OR(AK102="",BL102=""),"",IFERROR(ROUND(IF(J102="Short",AB102-AE102,AE102-AB102)/BL102,1),""))</f>
        <v/>
      </c>
      <c r="AQ102" s="66" t="str">
        <f aca="false">IF(OR(G102="",H102=""),"",ROUND(MOD(H102-G102,1)*1440,0))</f>
        <v/>
      </c>
      <c r="AR102" s="68" t="str">
        <f aca="false">IF(AQ102="","",IF(AQ102&lt;15,"Under 15m",IF(AQ102&lt;60,"15-60m",IF(AQ102&lt;240,"1-4 hours","4+ hours"))))</f>
        <v/>
      </c>
      <c r="AS102" s="66" t="str">
        <f aca="false">IF(G102="","",HOUR(G102))</f>
        <v/>
      </c>
      <c r="AT102" s="80" t="str">
        <f aca="false">IF(OR(Z102="",AB102="",BL102=""),"",IFERROR(ROUND(IF(J102="Short",Z102-AB102,AB102-Z102)/BL102,1),""))</f>
        <v/>
      </c>
      <c r="AU102" s="68" t="str">
        <f aca="false">IF(OR(AA102="",AC102=""),"",IF(AA102=AC102,"No","Yes"))</f>
        <v/>
      </c>
      <c r="AV102" s="81" t="str">
        <f aca="false">IF(OR(B102="",BL102="",BM102="",AB102="",AC102=""),"",IFERROR(ROUND(AI102/(ABS(AB102-AC102)/BL102*BM102),2),""))</f>
        <v/>
      </c>
      <c r="AW102" s="76" t="str">
        <f aca="false">IF(B102="","",ROUND(BK102+SUMIFS(AM$5:AM101,BJ$5:BJ101,BJ102),2))</f>
        <v/>
      </c>
      <c r="AX102" s="66" t="str">
        <f aca="false">IF(B102="","",COUNTIFS(B$6:B102,B102,BJ$6:BJ102,BJ102))</f>
        <v/>
      </c>
      <c r="AY102" s="79" t="str">
        <f aca="false">IF(B102="","",ROUND(SUMIFS(AM$5:AM101,B$5:B101,B102,BJ$5:BJ101,BJ102),2))</f>
        <v/>
      </c>
      <c r="AZ102" s="79" t="str">
        <f aca="false">IF(AM102="","",ROUND(AY102+AM102,2))</f>
        <v/>
      </c>
      <c r="BA102" s="79" t="str">
        <f aca="false">IF(B102="","",ROUND(SUMIFS(AM$5:AM101,B$5:B101,"&gt;="&amp;(B102-WEEKDAY(B102,2)+1),B$5:B101,"&lt;="&amp;B102,BJ$5:BJ101,BJ102),2))</f>
        <v/>
      </c>
      <c r="BB102" s="68" t="str">
        <f aca="false">IF(B102="","",IF(AND(AF102&lt;&gt;"",AV102&lt;&gt;"",N(AF102)&gt;N(AV102)*(1+Settings!$C$13)),"Oversized",IF(AX102&gt;Settings!$C$10,"Overtraded",IF(AY102&lt;=-Settings!$C$11*(AW102-AY102),"Daily loss hit",IF(BA102&lt;=-Settings!$C$12*(AW102-BA102),"Weekly loss hit","OK")))))</f>
        <v/>
      </c>
      <c r="BC102" s="69"/>
      <c r="BD102" s="69"/>
      <c r="BE102" s="69"/>
      <c r="BF102" s="73"/>
      <c r="BG102" s="73"/>
      <c r="BH102" s="71"/>
      <c r="BI102" s="71"/>
      <c r="BJ102" s="68" t="str">
        <f aca="false">IF(B102="","",IF(E102="",Settings!$F$5,E102))</f>
        <v/>
      </c>
      <c r="BK102" s="76" t="str">
        <f aca="false">IF(B102="","",IFERROR(INDEX(Settings!$G$5:$G$10,MATCH(BJ102,Settings!$F$5:$F$10,0)),Settings!$G$5))</f>
        <v/>
      </c>
      <c r="BL102" s="82" t="str">
        <f aca="false">IF(I102="","",IFERROR(1/(1/INDEX(Lists!$C$6:$C$17,MATCH(I102,Lists!$B$6:$B$17,0))),""))</f>
        <v/>
      </c>
      <c r="BM102" s="81" t="str">
        <f aca="false">IF(I102="","",IFERROR(1/(1/INDEX(Lists!$D$6:$D$17,MATCH(I102,Lists!$B$6:$B$17,0))),""))</f>
        <v/>
      </c>
      <c r="BN102" s="76" t="str">
        <f aca="false">IF(AN102="","",MAX(BK102,_xlfn.MAXIFS(AN$6:AN102,BJ$6:BJ102,BJ102)))</f>
        <v/>
      </c>
      <c r="BO102" s="83" t="str">
        <f aca="false">IF(AN102="","",(AN102-BN102)/BN102)</f>
        <v/>
      </c>
      <c r="BP102" s="66" t="n">
        <f aca="false">IF(OR(B102="",AL102=""),0,IF(OR(Settings!$C$28="All Accounts",BJ102=Settings!$C$28),1,0))</f>
        <v>0</v>
      </c>
      <c r="BQ102" s="66" t="str">
        <f aca="false">IF(BP102=1,SUM(BP$6:BP102),"")</f>
        <v/>
      </c>
      <c r="BR102" s="76" t="str">
        <f aca="false">IF(BP102=1,ROUND(Settings!$C$29+SUMIFS(AM$6:AM102,BP$6:BP102,1),2),"")</f>
        <v/>
      </c>
      <c r="BS102" s="76" t="str">
        <f aca="false">IF(BP102=1,MAX(Settings!$C$29,MAX(BR$6:BR102)),"")</f>
        <v/>
      </c>
      <c r="BT102" s="83" t="str">
        <f aca="false">IF(BP102=1,(BR102-BS102)/BS102,"")</f>
        <v/>
      </c>
      <c r="BU102" s="66" t="str">
        <f aca="false">IF(BP102=1,IF(AL102="Win",1+IF(BQ102=1,0,INDEX(BU$5:BU101,MATCH(BQ102-1,BQ$5:BQ101,0))),0),"")</f>
        <v/>
      </c>
      <c r="BV102" s="66" t="str">
        <f aca="false">IF(BP102=1,IF(AL102="Loss",1+IF(BQ102=1,0,INDEX(BV$5:BV101,MATCH(BQ102-1,BQ$5:BQ101,0))),0),"")</f>
        <v/>
      </c>
    </row>
    <row r="103" customFormat="false" ht="15" hidden="false" customHeight="false" outlineLevel="0" collapsed="false">
      <c r="A103" s="66" t="str">
        <f aca="false">IF(B103="","",ROW()-5)</f>
        <v/>
      </c>
      <c r="B103" s="67"/>
      <c r="C103" s="68" t="str">
        <f aca="false">IF(B103="","",CHOOSE(WEEKDAY(B103,2),"Mon","Tue","Wed","Thu","Fri","Sat","Sun"))</f>
        <v/>
      </c>
      <c r="D103" s="66" t="str">
        <f aca="false">IF(B103="","",WEEKNUM(B103,2))</f>
        <v/>
      </c>
      <c r="E103" s="69"/>
      <c r="F103" s="69"/>
      <c r="G103" s="70"/>
      <c r="H103" s="70"/>
      <c r="I103" s="69"/>
      <c r="J103" s="69"/>
      <c r="K103" s="69"/>
      <c r="L103" s="71"/>
      <c r="M103" s="69"/>
      <c r="N103" s="69"/>
      <c r="O103" s="69"/>
      <c r="P103" s="71"/>
      <c r="Q103" s="69"/>
      <c r="R103" s="69"/>
      <c r="S103" s="69"/>
      <c r="T103" s="69"/>
      <c r="U103" s="69"/>
      <c r="V103" s="69"/>
      <c r="W103" s="69"/>
      <c r="X103" s="66" t="str">
        <f aca="false">IF(B103="","",COUNTIF(Q103:W103,"Yes"))</f>
        <v/>
      </c>
      <c r="Y103" s="68" t="str">
        <f aca="false">IF(B103="","",IF(X103&gt;=Settings!$C$16,"A+",IF(X103&gt;=Settings!$C$17,"A",IF(X103&gt;=Settings!$C$18,"B","C"))))</f>
        <v/>
      </c>
      <c r="Z103" s="72"/>
      <c r="AA103" s="72"/>
      <c r="AB103" s="72"/>
      <c r="AC103" s="72"/>
      <c r="AD103" s="72"/>
      <c r="AE103" s="72"/>
      <c r="AF103" s="73"/>
      <c r="AG103" s="74"/>
      <c r="AH103" s="75"/>
      <c r="AI103" s="76" t="str">
        <f aca="false">IF(B103="","",ROUND(IF(AG103="",Settings!$C$5,AG103)*AW103,2))</f>
        <v/>
      </c>
      <c r="AJ103" s="77" t="str">
        <f aca="false">IF(OR(B103="",AB103="",AC103="",AD103=""),"",IFERROR(ROUND(ABS(AD103-AB103)/ABS(AB103-AC103),2),""))</f>
        <v/>
      </c>
      <c r="AK103" s="78" t="str">
        <f aca="false">IF(OR(B103="",AB103="",AC103="",AE103=""),"",IFERROR(ROUND(IF(J103="Short",AB103-AE103,AE103-AB103)/ABS(AB103-AC103),2),""))</f>
        <v/>
      </c>
      <c r="AL103" s="68" t="str">
        <f aca="false">IF(AK103="","",IF(ABS(AK103)&lt;=Settings!$C$6,"BE",IF(AK103&gt;0,"Win","Loss")))</f>
        <v/>
      </c>
      <c r="AM103" s="79" t="str">
        <f aca="false">IF(OR(AK103="",AI103=""),"",ROUND(AK103*AI103-N(AH103),2))</f>
        <v/>
      </c>
      <c r="AN103" s="76" t="str">
        <f aca="false">IF(AM103="","",ROUND(BK103+SUMIFS(AM$6:AM103,BJ$6:BJ103,BJ103),2))</f>
        <v/>
      </c>
      <c r="AO103" s="78" t="str">
        <f aca="false">IF(AK103="","",ROUND(SUMIFS(AK$6:AK103,BJ$6:BJ103,BJ103),2))</f>
        <v/>
      </c>
      <c r="AP103" s="80" t="str">
        <f aca="false">IF(OR(AK103="",BL103=""),"",IFERROR(ROUND(IF(J103="Short",AB103-AE103,AE103-AB103)/BL103,1),""))</f>
        <v/>
      </c>
      <c r="AQ103" s="66" t="str">
        <f aca="false">IF(OR(G103="",H103=""),"",ROUND(MOD(H103-G103,1)*1440,0))</f>
        <v/>
      </c>
      <c r="AR103" s="68" t="str">
        <f aca="false">IF(AQ103="","",IF(AQ103&lt;15,"Under 15m",IF(AQ103&lt;60,"15-60m",IF(AQ103&lt;240,"1-4 hours","4+ hours"))))</f>
        <v/>
      </c>
      <c r="AS103" s="66" t="str">
        <f aca="false">IF(G103="","",HOUR(G103))</f>
        <v/>
      </c>
      <c r="AT103" s="80" t="str">
        <f aca="false">IF(OR(Z103="",AB103="",BL103=""),"",IFERROR(ROUND(IF(J103="Short",Z103-AB103,AB103-Z103)/BL103,1),""))</f>
        <v/>
      </c>
      <c r="AU103" s="68" t="str">
        <f aca="false">IF(OR(AA103="",AC103=""),"",IF(AA103=AC103,"No","Yes"))</f>
        <v/>
      </c>
      <c r="AV103" s="81" t="str">
        <f aca="false">IF(OR(B103="",BL103="",BM103="",AB103="",AC103=""),"",IFERROR(ROUND(AI103/(ABS(AB103-AC103)/BL103*BM103),2),""))</f>
        <v/>
      </c>
      <c r="AW103" s="76" t="str">
        <f aca="false">IF(B103="","",ROUND(BK103+SUMIFS(AM$5:AM102,BJ$5:BJ102,BJ103),2))</f>
        <v/>
      </c>
      <c r="AX103" s="66" t="str">
        <f aca="false">IF(B103="","",COUNTIFS(B$6:B103,B103,BJ$6:BJ103,BJ103))</f>
        <v/>
      </c>
      <c r="AY103" s="79" t="str">
        <f aca="false">IF(B103="","",ROUND(SUMIFS(AM$5:AM102,B$5:B102,B103,BJ$5:BJ102,BJ103),2))</f>
        <v/>
      </c>
      <c r="AZ103" s="79" t="str">
        <f aca="false">IF(AM103="","",ROUND(AY103+AM103,2))</f>
        <v/>
      </c>
      <c r="BA103" s="79" t="str">
        <f aca="false">IF(B103="","",ROUND(SUMIFS(AM$5:AM102,B$5:B102,"&gt;="&amp;(B103-WEEKDAY(B103,2)+1),B$5:B102,"&lt;="&amp;B103,BJ$5:BJ102,BJ103),2))</f>
        <v/>
      </c>
      <c r="BB103" s="68" t="str">
        <f aca="false">IF(B103="","",IF(AND(AF103&lt;&gt;"",AV103&lt;&gt;"",N(AF103)&gt;N(AV103)*(1+Settings!$C$13)),"Oversized",IF(AX103&gt;Settings!$C$10,"Overtraded",IF(AY103&lt;=-Settings!$C$11*(AW103-AY103),"Daily loss hit",IF(BA103&lt;=-Settings!$C$12*(AW103-BA103),"Weekly loss hit","OK")))))</f>
        <v/>
      </c>
      <c r="BC103" s="69"/>
      <c r="BD103" s="69"/>
      <c r="BE103" s="69"/>
      <c r="BF103" s="73"/>
      <c r="BG103" s="73"/>
      <c r="BH103" s="71"/>
      <c r="BI103" s="71"/>
      <c r="BJ103" s="68" t="str">
        <f aca="false">IF(B103="","",IF(E103="",Settings!$F$5,E103))</f>
        <v/>
      </c>
      <c r="BK103" s="76" t="str">
        <f aca="false">IF(B103="","",IFERROR(INDEX(Settings!$G$5:$G$10,MATCH(BJ103,Settings!$F$5:$F$10,0)),Settings!$G$5))</f>
        <v/>
      </c>
      <c r="BL103" s="82" t="str">
        <f aca="false">IF(I103="","",IFERROR(1/(1/INDEX(Lists!$C$6:$C$17,MATCH(I103,Lists!$B$6:$B$17,0))),""))</f>
        <v/>
      </c>
      <c r="BM103" s="81" t="str">
        <f aca="false">IF(I103="","",IFERROR(1/(1/INDEX(Lists!$D$6:$D$17,MATCH(I103,Lists!$B$6:$B$17,0))),""))</f>
        <v/>
      </c>
      <c r="BN103" s="76" t="str">
        <f aca="false">IF(AN103="","",MAX(BK103,_xlfn.MAXIFS(AN$6:AN103,BJ$6:BJ103,BJ103)))</f>
        <v/>
      </c>
      <c r="BO103" s="83" t="str">
        <f aca="false">IF(AN103="","",(AN103-BN103)/BN103)</f>
        <v/>
      </c>
      <c r="BP103" s="66" t="n">
        <f aca="false">IF(OR(B103="",AL103=""),0,IF(OR(Settings!$C$28="All Accounts",BJ103=Settings!$C$28),1,0))</f>
        <v>0</v>
      </c>
      <c r="BQ103" s="66" t="str">
        <f aca="false">IF(BP103=1,SUM(BP$6:BP103),"")</f>
        <v/>
      </c>
      <c r="BR103" s="76" t="str">
        <f aca="false">IF(BP103=1,ROUND(Settings!$C$29+SUMIFS(AM$6:AM103,BP$6:BP103,1),2),"")</f>
        <v/>
      </c>
      <c r="BS103" s="76" t="str">
        <f aca="false">IF(BP103=1,MAX(Settings!$C$29,MAX(BR$6:BR103)),"")</f>
        <v/>
      </c>
      <c r="BT103" s="83" t="str">
        <f aca="false">IF(BP103=1,(BR103-BS103)/BS103,"")</f>
        <v/>
      </c>
      <c r="BU103" s="66" t="str">
        <f aca="false">IF(BP103=1,IF(AL103="Win",1+IF(BQ103=1,0,INDEX(BU$5:BU102,MATCH(BQ103-1,BQ$5:BQ102,0))),0),"")</f>
        <v/>
      </c>
      <c r="BV103" s="66" t="str">
        <f aca="false">IF(BP103=1,IF(AL103="Loss",1+IF(BQ103=1,0,INDEX(BV$5:BV102,MATCH(BQ103-1,BQ$5:BQ102,0))),0),"")</f>
        <v/>
      </c>
    </row>
    <row r="104" customFormat="false" ht="15" hidden="false" customHeight="false" outlineLevel="0" collapsed="false">
      <c r="A104" s="66" t="str">
        <f aca="false">IF(B104="","",ROW()-5)</f>
        <v/>
      </c>
      <c r="B104" s="67"/>
      <c r="C104" s="68" t="str">
        <f aca="false">IF(B104="","",CHOOSE(WEEKDAY(B104,2),"Mon","Tue","Wed","Thu","Fri","Sat","Sun"))</f>
        <v/>
      </c>
      <c r="D104" s="66" t="str">
        <f aca="false">IF(B104="","",WEEKNUM(B104,2))</f>
        <v/>
      </c>
      <c r="E104" s="69"/>
      <c r="F104" s="69"/>
      <c r="G104" s="70"/>
      <c r="H104" s="70"/>
      <c r="I104" s="69"/>
      <c r="J104" s="69"/>
      <c r="K104" s="69"/>
      <c r="L104" s="71"/>
      <c r="M104" s="69"/>
      <c r="N104" s="69"/>
      <c r="O104" s="69"/>
      <c r="P104" s="71"/>
      <c r="Q104" s="69"/>
      <c r="R104" s="69"/>
      <c r="S104" s="69"/>
      <c r="T104" s="69"/>
      <c r="U104" s="69"/>
      <c r="V104" s="69"/>
      <c r="W104" s="69"/>
      <c r="X104" s="66" t="str">
        <f aca="false">IF(B104="","",COUNTIF(Q104:W104,"Yes"))</f>
        <v/>
      </c>
      <c r="Y104" s="68" t="str">
        <f aca="false">IF(B104="","",IF(X104&gt;=Settings!$C$16,"A+",IF(X104&gt;=Settings!$C$17,"A",IF(X104&gt;=Settings!$C$18,"B","C"))))</f>
        <v/>
      </c>
      <c r="Z104" s="72"/>
      <c r="AA104" s="72"/>
      <c r="AB104" s="72"/>
      <c r="AC104" s="72"/>
      <c r="AD104" s="72"/>
      <c r="AE104" s="72"/>
      <c r="AF104" s="73"/>
      <c r="AG104" s="74"/>
      <c r="AH104" s="75"/>
      <c r="AI104" s="76" t="str">
        <f aca="false">IF(B104="","",ROUND(IF(AG104="",Settings!$C$5,AG104)*AW104,2))</f>
        <v/>
      </c>
      <c r="AJ104" s="77" t="str">
        <f aca="false">IF(OR(B104="",AB104="",AC104="",AD104=""),"",IFERROR(ROUND(ABS(AD104-AB104)/ABS(AB104-AC104),2),""))</f>
        <v/>
      </c>
      <c r="AK104" s="78" t="str">
        <f aca="false">IF(OR(B104="",AB104="",AC104="",AE104=""),"",IFERROR(ROUND(IF(J104="Short",AB104-AE104,AE104-AB104)/ABS(AB104-AC104),2),""))</f>
        <v/>
      </c>
      <c r="AL104" s="68" t="str">
        <f aca="false">IF(AK104="","",IF(ABS(AK104)&lt;=Settings!$C$6,"BE",IF(AK104&gt;0,"Win","Loss")))</f>
        <v/>
      </c>
      <c r="AM104" s="79" t="str">
        <f aca="false">IF(OR(AK104="",AI104=""),"",ROUND(AK104*AI104-N(AH104),2))</f>
        <v/>
      </c>
      <c r="AN104" s="76" t="str">
        <f aca="false">IF(AM104="","",ROUND(BK104+SUMIFS(AM$6:AM104,BJ$6:BJ104,BJ104),2))</f>
        <v/>
      </c>
      <c r="AO104" s="78" t="str">
        <f aca="false">IF(AK104="","",ROUND(SUMIFS(AK$6:AK104,BJ$6:BJ104,BJ104),2))</f>
        <v/>
      </c>
      <c r="AP104" s="80" t="str">
        <f aca="false">IF(OR(AK104="",BL104=""),"",IFERROR(ROUND(IF(J104="Short",AB104-AE104,AE104-AB104)/BL104,1),""))</f>
        <v/>
      </c>
      <c r="AQ104" s="66" t="str">
        <f aca="false">IF(OR(G104="",H104=""),"",ROUND(MOD(H104-G104,1)*1440,0))</f>
        <v/>
      </c>
      <c r="AR104" s="68" t="str">
        <f aca="false">IF(AQ104="","",IF(AQ104&lt;15,"Under 15m",IF(AQ104&lt;60,"15-60m",IF(AQ104&lt;240,"1-4 hours","4+ hours"))))</f>
        <v/>
      </c>
      <c r="AS104" s="66" t="str">
        <f aca="false">IF(G104="","",HOUR(G104))</f>
        <v/>
      </c>
      <c r="AT104" s="80" t="str">
        <f aca="false">IF(OR(Z104="",AB104="",BL104=""),"",IFERROR(ROUND(IF(J104="Short",Z104-AB104,AB104-Z104)/BL104,1),""))</f>
        <v/>
      </c>
      <c r="AU104" s="68" t="str">
        <f aca="false">IF(OR(AA104="",AC104=""),"",IF(AA104=AC104,"No","Yes"))</f>
        <v/>
      </c>
      <c r="AV104" s="81" t="str">
        <f aca="false">IF(OR(B104="",BL104="",BM104="",AB104="",AC104=""),"",IFERROR(ROUND(AI104/(ABS(AB104-AC104)/BL104*BM104),2),""))</f>
        <v/>
      </c>
      <c r="AW104" s="76" t="str">
        <f aca="false">IF(B104="","",ROUND(BK104+SUMIFS(AM$5:AM103,BJ$5:BJ103,BJ104),2))</f>
        <v/>
      </c>
      <c r="AX104" s="66" t="str">
        <f aca="false">IF(B104="","",COUNTIFS(B$6:B104,B104,BJ$6:BJ104,BJ104))</f>
        <v/>
      </c>
      <c r="AY104" s="79" t="str">
        <f aca="false">IF(B104="","",ROUND(SUMIFS(AM$5:AM103,B$5:B103,B104,BJ$5:BJ103,BJ104),2))</f>
        <v/>
      </c>
      <c r="AZ104" s="79" t="str">
        <f aca="false">IF(AM104="","",ROUND(AY104+AM104,2))</f>
        <v/>
      </c>
      <c r="BA104" s="79" t="str">
        <f aca="false">IF(B104="","",ROUND(SUMIFS(AM$5:AM103,B$5:B103,"&gt;="&amp;(B104-WEEKDAY(B104,2)+1),B$5:B103,"&lt;="&amp;B104,BJ$5:BJ103,BJ104),2))</f>
        <v/>
      </c>
      <c r="BB104" s="68" t="str">
        <f aca="false">IF(B104="","",IF(AND(AF104&lt;&gt;"",AV104&lt;&gt;"",N(AF104)&gt;N(AV104)*(1+Settings!$C$13)),"Oversized",IF(AX104&gt;Settings!$C$10,"Overtraded",IF(AY104&lt;=-Settings!$C$11*(AW104-AY104),"Daily loss hit",IF(BA104&lt;=-Settings!$C$12*(AW104-BA104),"Weekly loss hit","OK")))))</f>
        <v/>
      </c>
      <c r="BC104" s="69"/>
      <c r="BD104" s="69"/>
      <c r="BE104" s="69"/>
      <c r="BF104" s="73"/>
      <c r="BG104" s="73"/>
      <c r="BH104" s="71"/>
      <c r="BI104" s="71"/>
      <c r="BJ104" s="68" t="str">
        <f aca="false">IF(B104="","",IF(E104="",Settings!$F$5,E104))</f>
        <v/>
      </c>
      <c r="BK104" s="76" t="str">
        <f aca="false">IF(B104="","",IFERROR(INDEX(Settings!$G$5:$G$10,MATCH(BJ104,Settings!$F$5:$F$10,0)),Settings!$G$5))</f>
        <v/>
      </c>
      <c r="BL104" s="82" t="str">
        <f aca="false">IF(I104="","",IFERROR(1/(1/INDEX(Lists!$C$6:$C$17,MATCH(I104,Lists!$B$6:$B$17,0))),""))</f>
        <v/>
      </c>
      <c r="BM104" s="81" t="str">
        <f aca="false">IF(I104="","",IFERROR(1/(1/INDEX(Lists!$D$6:$D$17,MATCH(I104,Lists!$B$6:$B$17,0))),""))</f>
        <v/>
      </c>
      <c r="BN104" s="76" t="str">
        <f aca="false">IF(AN104="","",MAX(BK104,_xlfn.MAXIFS(AN$6:AN104,BJ$6:BJ104,BJ104)))</f>
        <v/>
      </c>
      <c r="BO104" s="83" t="str">
        <f aca="false">IF(AN104="","",(AN104-BN104)/BN104)</f>
        <v/>
      </c>
      <c r="BP104" s="66" t="n">
        <f aca="false">IF(OR(B104="",AL104=""),0,IF(OR(Settings!$C$28="All Accounts",BJ104=Settings!$C$28),1,0))</f>
        <v>0</v>
      </c>
      <c r="BQ104" s="66" t="str">
        <f aca="false">IF(BP104=1,SUM(BP$6:BP104),"")</f>
        <v/>
      </c>
      <c r="BR104" s="76" t="str">
        <f aca="false">IF(BP104=1,ROUND(Settings!$C$29+SUMIFS(AM$6:AM104,BP$6:BP104,1),2),"")</f>
        <v/>
      </c>
      <c r="BS104" s="76" t="str">
        <f aca="false">IF(BP104=1,MAX(Settings!$C$29,MAX(BR$6:BR104)),"")</f>
        <v/>
      </c>
      <c r="BT104" s="83" t="str">
        <f aca="false">IF(BP104=1,(BR104-BS104)/BS104,"")</f>
        <v/>
      </c>
      <c r="BU104" s="66" t="str">
        <f aca="false">IF(BP104=1,IF(AL104="Win",1+IF(BQ104=1,0,INDEX(BU$5:BU103,MATCH(BQ104-1,BQ$5:BQ103,0))),0),"")</f>
        <v/>
      </c>
      <c r="BV104" s="66" t="str">
        <f aca="false">IF(BP104=1,IF(AL104="Loss",1+IF(BQ104=1,0,INDEX(BV$5:BV103,MATCH(BQ104-1,BQ$5:BQ103,0))),0),"")</f>
        <v/>
      </c>
    </row>
    <row r="105" customFormat="false" ht="15" hidden="false" customHeight="false" outlineLevel="0" collapsed="false">
      <c r="A105" s="66" t="str">
        <f aca="false">IF(B105="","",ROW()-5)</f>
        <v/>
      </c>
      <c r="B105" s="67"/>
      <c r="C105" s="68" t="str">
        <f aca="false">IF(B105="","",CHOOSE(WEEKDAY(B105,2),"Mon","Tue","Wed","Thu","Fri","Sat","Sun"))</f>
        <v/>
      </c>
      <c r="D105" s="66" t="str">
        <f aca="false">IF(B105="","",WEEKNUM(B105,2))</f>
        <v/>
      </c>
      <c r="E105" s="69"/>
      <c r="F105" s="69"/>
      <c r="G105" s="70"/>
      <c r="H105" s="70"/>
      <c r="I105" s="69"/>
      <c r="J105" s="69"/>
      <c r="K105" s="69"/>
      <c r="L105" s="71"/>
      <c r="M105" s="69"/>
      <c r="N105" s="69"/>
      <c r="O105" s="69"/>
      <c r="P105" s="71"/>
      <c r="Q105" s="69"/>
      <c r="R105" s="69"/>
      <c r="S105" s="69"/>
      <c r="T105" s="69"/>
      <c r="U105" s="69"/>
      <c r="V105" s="69"/>
      <c r="W105" s="69"/>
      <c r="X105" s="66" t="str">
        <f aca="false">IF(B105="","",COUNTIF(Q105:W105,"Yes"))</f>
        <v/>
      </c>
      <c r="Y105" s="68" t="str">
        <f aca="false">IF(B105="","",IF(X105&gt;=Settings!$C$16,"A+",IF(X105&gt;=Settings!$C$17,"A",IF(X105&gt;=Settings!$C$18,"B","C"))))</f>
        <v/>
      </c>
      <c r="Z105" s="72"/>
      <c r="AA105" s="72"/>
      <c r="AB105" s="72"/>
      <c r="AC105" s="72"/>
      <c r="AD105" s="72"/>
      <c r="AE105" s="72"/>
      <c r="AF105" s="73"/>
      <c r="AG105" s="74"/>
      <c r="AH105" s="75"/>
      <c r="AI105" s="76" t="str">
        <f aca="false">IF(B105="","",ROUND(IF(AG105="",Settings!$C$5,AG105)*AW105,2))</f>
        <v/>
      </c>
      <c r="AJ105" s="77" t="str">
        <f aca="false">IF(OR(B105="",AB105="",AC105="",AD105=""),"",IFERROR(ROUND(ABS(AD105-AB105)/ABS(AB105-AC105),2),""))</f>
        <v/>
      </c>
      <c r="AK105" s="78" t="str">
        <f aca="false">IF(OR(B105="",AB105="",AC105="",AE105=""),"",IFERROR(ROUND(IF(J105="Short",AB105-AE105,AE105-AB105)/ABS(AB105-AC105),2),""))</f>
        <v/>
      </c>
      <c r="AL105" s="68" t="str">
        <f aca="false">IF(AK105="","",IF(ABS(AK105)&lt;=Settings!$C$6,"BE",IF(AK105&gt;0,"Win","Loss")))</f>
        <v/>
      </c>
      <c r="AM105" s="79" t="str">
        <f aca="false">IF(OR(AK105="",AI105=""),"",ROUND(AK105*AI105-N(AH105),2))</f>
        <v/>
      </c>
      <c r="AN105" s="76" t="str">
        <f aca="false">IF(AM105="","",ROUND(BK105+SUMIFS(AM$6:AM105,BJ$6:BJ105,BJ105),2))</f>
        <v/>
      </c>
      <c r="AO105" s="78" t="str">
        <f aca="false">IF(AK105="","",ROUND(SUMIFS(AK$6:AK105,BJ$6:BJ105,BJ105),2))</f>
        <v/>
      </c>
      <c r="AP105" s="80" t="str">
        <f aca="false">IF(OR(AK105="",BL105=""),"",IFERROR(ROUND(IF(J105="Short",AB105-AE105,AE105-AB105)/BL105,1),""))</f>
        <v/>
      </c>
      <c r="AQ105" s="66" t="str">
        <f aca="false">IF(OR(G105="",H105=""),"",ROUND(MOD(H105-G105,1)*1440,0))</f>
        <v/>
      </c>
      <c r="AR105" s="68" t="str">
        <f aca="false">IF(AQ105="","",IF(AQ105&lt;15,"Under 15m",IF(AQ105&lt;60,"15-60m",IF(AQ105&lt;240,"1-4 hours","4+ hours"))))</f>
        <v/>
      </c>
      <c r="AS105" s="66" t="str">
        <f aca="false">IF(G105="","",HOUR(G105))</f>
        <v/>
      </c>
      <c r="AT105" s="80" t="str">
        <f aca="false">IF(OR(Z105="",AB105="",BL105=""),"",IFERROR(ROUND(IF(J105="Short",Z105-AB105,AB105-Z105)/BL105,1),""))</f>
        <v/>
      </c>
      <c r="AU105" s="68" t="str">
        <f aca="false">IF(OR(AA105="",AC105=""),"",IF(AA105=AC105,"No","Yes"))</f>
        <v/>
      </c>
      <c r="AV105" s="81" t="str">
        <f aca="false">IF(OR(B105="",BL105="",BM105="",AB105="",AC105=""),"",IFERROR(ROUND(AI105/(ABS(AB105-AC105)/BL105*BM105),2),""))</f>
        <v/>
      </c>
      <c r="AW105" s="76" t="str">
        <f aca="false">IF(B105="","",ROUND(BK105+SUMIFS(AM$5:AM104,BJ$5:BJ104,BJ105),2))</f>
        <v/>
      </c>
      <c r="AX105" s="66" t="str">
        <f aca="false">IF(B105="","",COUNTIFS(B$6:B105,B105,BJ$6:BJ105,BJ105))</f>
        <v/>
      </c>
      <c r="AY105" s="79" t="str">
        <f aca="false">IF(B105="","",ROUND(SUMIFS(AM$5:AM104,B$5:B104,B105,BJ$5:BJ104,BJ105),2))</f>
        <v/>
      </c>
      <c r="AZ105" s="79" t="str">
        <f aca="false">IF(AM105="","",ROUND(AY105+AM105,2))</f>
        <v/>
      </c>
      <c r="BA105" s="79" t="str">
        <f aca="false">IF(B105="","",ROUND(SUMIFS(AM$5:AM104,B$5:B104,"&gt;="&amp;(B105-WEEKDAY(B105,2)+1),B$5:B104,"&lt;="&amp;B105,BJ$5:BJ104,BJ105),2))</f>
        <v/>
      </c>
      <c r="BB105" s="68" t="str">
        <f aca="false">IF(B105="","",IF(AND(AF105&lt;&gt;"",AV105&lt;&gt;"",N(AF105)&gt;N(AV105)*(1+Settings!$C$13)),"Oversized",IF(AX105&gt;Settings!$C$10,"Overtraded",IF(AY105&lt;=-Settings!$C$11*(AW105-AY105),"Daily loss hit",IF(BA105&lt;=-Settings!$C$12*(AW105-BA105),"Weekly loss hit","OK")))))</f>
        <v/>
      </c>
      <c r="BC105" s="69"/>
      <c r="BD105" s="69"/>
      <c r="BE105" s="69"/>
      <c r="BF105" s="73"/>
      <c r="BG105" s="73"/>
      <c r="BH105" s="71"/>
      <c r="BI105" s="71"/>
      <c r="BJ105" s="68" t="str">
        <f aca="false">IF(B105="","",IF(E105="",Settings!$F$5,E105))</f>
        <v/>
      </c>
      <c r="BK105" s="76" t="str">
        <f aca="false">IF(B105="","",IFERROR(INDEX(Settings!$G$5:$G$10,MATCH(BJ105,Settings!$F$5:$F$10,0)),Settings!$G$5))</f>
        <v/>
      </c>
      <c r="BL105" s="82" t="str">
        <f aca="false">IF(I105="","",IFERROR(1/(1/INDEX(Lists!$C$6:$C$17,MATCH(I105,Lists!$B$6:$B$17,0))),""))</f>
        <v/>
      </c>
      <c r="BM105" s="81" t="str">
        <f aca="false">IF(I105="","",IFERROR(1/(1/INDEX(Lists!$D$6:$D$17,MATCH(I105,Lists!$B$6:$B$17,0))),""))</f>
        <v/>
      </c>
      <c r="BN105" s="76" t="str">
        <f aca="false">IF(AN105="","",MAX(BK105,_xlfn.MAXIFS(AN$6:AN105,BJ$6:BJ105,BJ105)))</f>
        <v/>
      </c>
      <c r="BO105" s="83" t="str">
        <f aca="false">IF(AN105="","",(AN105-BN105)/BN105)</f>
        <v/>
      </c>
      <c r="BP105" s="66" t="n">
        <f aca="false">IF(OR(B105="",AL105=""),0,IF(OR(Settings!$C$28="All Accounts",BJ105=Settings!$C$28),1,0))</f>
        <v>0</v>
      </c>
      <c r="BQ105" s="66" t="str">
        <f aca="false">IF(BP105=1,SUM(BP$6:BP105),"")</f>
        <v/>
      </c>
      <c r="BR105" s="76" t="str">
        <f aca="false">IF(BP105=1,ROUND(Settings!$C$29+SUMIFS(AM$6:AM105,BP$6:BP105,1),2),"")</f>
        <v/>
      </c>
      <c r="BS105" s="76" t="str">
        <f aca="false">IF(BP105=1,MAX(Settings!$C$29,MAX(BR$6:BR105)),"")</f>
        <v/>
      </c>
      <c r="BT105" s="83" t="str">
        <f aca="false">IF(BP105=1,(BR105-BS105)/BS105,"")</f>
        <v/>
      </c>
      <c r="BU105" s="66" t="str">
        <f aca="false">IF(BP105=1,IF(AL105="Win",1+IF(BQ105=1,0,INDEX(BU$5:BU104,MATCH(BQ105-1,BQ$5:BQ104,0))),0),"")</f>
        <v/>
      </c>
      <c r="BV105" s="66" t="str">
        <f aca="false">IF(BP105=1,IF(AL105="Loss",1+IF(BQ105=1,0,INDEX(BV$5:BV104,MATCH(BQ105-1,BQ$5:BQ104,0))),0),"")</f>
        <v/>
      </c>
    </row>
    <row r="106" customFormat="false" ht="15" hidden="false" customHeight="false" outlineLevel="0" collapsed="false">
      <c r="A106" s="66" t="str">
        <f aca="false">IF(B106="","",ROW()-5)</f>
        <v/>
      </c>
      <c r="B106" s="67"/>
      <c r="C106" s="68" t="str">
        <f aca="false">IF(B106="","",CHOOSE(WEEKDAY(B106,2),"Mon","Tue","Wed","Thu","Fri","Sat","Sun"))</f>
        <v/>
      </c>
      <c r="D106" s="66" t="str">
        <f aca="false">IF(B106="","",WEEKNUM(B106,2))</f>
        <v/>
      </c>
      <c r="E106" s="69"/>
      <c r="F106" s="69"/>
      <c r="G106" s="70"/>
      <c r="H106" s="70"/>
      <c r="I106" s="69"/>
      <c r="J106" s="69"/>
      <c r="K106" s="69"/>
      <c r="L106" s="71"/>
      <c r="M106" s="69"/>
      <c r="N106" s="69"/>
      <c r="O106" s="69"/>
      <c r="P106" s="71"/>
      <c r="Q106" s="69"/>
      <c r="R106" s="69"/>
      <c r="S106" s="69"/>
      <c r="T106" s="69"/>
      <c r="U106" s="69"/>
      <c r="V106" s="69"/>
      <c r="W106" s="69"/>
      <c r="X106" s="66" t="str">
        <f aca="false">IF(B106="","",COUNTIF(Q106:W106,"Yes"))</f>
        <v/>
      </c>
      <c r="Y106" s="68" t="str">
        <f aca="false">IF(B106="","",IF(X106&gt;=Settings!$C$16,"A+",IF(X106&gt;=Settings!$C$17,"A",IF(X106&gt;=Settings!$C$18,"B","C"))))</f>
        <v/>
      </c>
      <c r="Z106" s="72"/>
      <c r="AA106" s="72"/>
      <c r="AB106" s="72"/>
      <c r="AC106" s="72"/>
      <c r="AD106" s="72"/>
      <c r="AE106" s="72"/>
      <c r="AF106" s="73"/>
      <c r="AG106" s="74"/>
      <c r="AH106" s="75"/>
      <c r="AI106" s="76" t="str">
        <f aca="false">IF(B106="","",ROUND(IF(AG106="",Settings!$C$5,AG106)*AW106,2))</f>
        <v/>
      </c>
      <c r="AJ106" s="77" t="str">
        <f aca="false">IF(OR(B106="",AB106="",AC106="",AD106=""),"",IFERROR(ROUND(ABS(AD106-AB106)/ABS(AB106-AC106),2),""))</f>
        <v/>
      </c>
      <c r="AK106" s="78" t="str">
        <f aca="false">IF(OR(B106="",AB106="",AC106="",AE106=""),"",IFERROR(ROUND(IF(J106="Short",AB106-AE106,AE106-AB106)/ABS(AB106-AC106),2),""))</f>
        <v/>
      </c>
      <c r="AL106" s="68" t="str">
        <f aca="false">IF(AK106="","",IF(ABS(AK106)&lt;=Settings!$C$6,"BE",IF(AK106&gt;0,"Win","Loss")))</f>
        <v/>
      </c>
      <c r="AM106" s="79" t="str">
        <f aca="false">IF(OR(AK106="",AI106=""),"",ROUND(AK106*AI106-N(AH106),2))</f>
        <v/>
      </c>
      <c r="AN106" s="76" t="str">
        <f aca="false">IF(AM106="","",ROUND(BK106+SUMIFS(AM$6:AM106,BJ$6:BJ106,BJ106),2))</f>
        <v/>
      </c>
      <c r="AO106" s="78" t="str">
        <f aca="false">IF(AK106="","",ROUND(SUMIFS(AK$6:AK106,BJ$6:BJ106,BJ106),2))</f>
        <v/>
      </c>
      <c r="AP106" s="80" t="str">
        <f aca="false">IF(OR(AK106="",BL106=""),"",IFERROR(ROUND(IF(J106="Short",AB106-AE106,AE106-AB106)/BL106,1),""))</f>
        <v/>
      </c>
      <c r="AQ106" s="66" t="str">
        <f aca="false">IF(OR(G106="",H106=""),"",ROUND(MOD(H106-G106,1)*1440,0))</f>
        <v/>
      </c>
      <c r="AR106" s="68" t="str">
        <f aca="false">IF(AQ106="","",IF(AQ106&lt;15,"Under 15m",IF(AQ106&lt;60,"15-60m",IF(AQ106&lt;240,"1-4 hours","4+ hours"))))</f>
        <v/>
      </c>
      <c r="AS106" s="66" t="str">
        <f aca="false">IF(G106="","",HOUR(G106))</f>
        <v/>
      </c>
      <c r="AT106" s="80" t="str">
        <f aca="false">IF(OR(Z106="",AB106="",BL106=""),"",IFERROR(ROUND(IF(J106="Short",Z106-AB106,AB106-Z106)/BL106,1),""))</f>
        <v/>
      </c>
      <c r="AU106" s="68" t="str">
        <f aca="false">IF(OR(AA106="",AC106=""),"",IF(AA106=AC106,"No","Yes"))</f>
        <v/>
      </c>
      <c r="AV106" s="81" t="str">
        <f aca="false">IF(OR(B106="",BL106="",BM106="",AB106="",AC106=""),"",IFERROR(ROUND(AI106/(ABS(AB106-AC106)/BL106*BM106),2),""))</f>
        <v/>
      </c>
      <c r="AW106" s="76" t="str">
        <f aca="false">IF(B106="","",ROUND(BK106+SUMIFS(AM$5:AM105,BJ$5:BJ105,BJ106),2))</f>
        <v/>
      </c>
      <c r="AX106" s="66" t="str">
        <f aca="false">IF(B106="","",COUNTIFS(B$6:B106,B106,BJ$6:BJ106,BJ106))</f>
        <v/>
      </c>
      <c r="AY106" s="79" t="str">
        <f aca="false">IF(B106="","",ROUND(SUMIFS(AM$5:AM105,B$5:B105,B106,BJ$5:BJ105,BJ106),2))</f>
        <v/>
      </c>
      <c r="AZ106" s="79" t="str">
        <f aca="false">IF(AM106="","",ROUND(AY106+AM106,2))</f>
        <v/>
      </c>
      <c r="BA106" s="79" t="str">
        <f aca="false">IF(B106="","",ROUND(SUMIFS(AM$5:AM105,B$5:B105,"&gt;="&amp;(B106-WEEKDAY(B106,2)+1),B$5:B105,"&lt;="&amp;B106,BJ$5:BJ105,BJ106),2))</f>
        <v/>
      </c>
      <c r="BB106" s="68" t="str">
        <f aca="false">IF(B106="","",IF(AND(AF106&lt;&gt;"",AV106&lt;&gt;"",N(AF106)&gt;N(AV106)*(1+Settings!$C$13)),"Oversized",IF(AX106&gt;Settings!$C$10,"Overtraded",IF(AY106&lt;=-Settings!$C$11*(AW106-AY106),"Daily loss hit",IF(BA106&lt;=-Settings!$C$12*(AW106-BA106),"Weekly loss hit","OK")))))</f>
        <v/>
      </c>
      <c r="BC106" s="69"/>
      <c r="BD106" s="69"/>
      <c r="BE106" s="69"/>
      <c r="BF106" s="73"/>
      <c r="BG106" s="73"/>
      <c r="BH106" s="71"/>
      <c r="BI106" s="71"/>
      <c r="BJ106" s="68" t="str">
        <f aca="false">IF(B106="","",IF(E106="",Settings!$F$5,E106))</f>
        <v/>
      </c>
      <c r="BK106" s="76" t="str">
        <f aca="false">IF(B106="","",IFERROR(INDEX(Settings!$G$5:$G$10,MATCH(BJ106,Settings!$F$5:$F$10,0)),Settings!$G$5))</f>
        <v/>
      </c>
      <c r="BL106" s="82" t="str">
        <f aca="false">IF(I106="","",IFERROR(1/(1/INDEX(Lists!$C$6:$C$17,MATCH(I106,Lists!$B$6:$B$17,0))),""))</f>
        <v/>
      </c>
      <c r="BM106" s="81" t="str">
        <f aca="false">IF(I106="","",IFERROR(1/(1/INDEX(Lists!$D$6:$D$17,MATCH(I106,Lists!$B$6:$B$17,0))),""))</f>
        <v/>
      </c>
      <c r="BN106" s="76" t="str">
        <f aca="false">IF(AN106="","",MAX(BK106,_xlfn.MAXIFS(AN$6:AN106,BJ$6:BJ106,BJ106)))</f>
        <v/>
      </c>
      <c r="BO106" s="83" t="str">
        <f aca="false">IF(AN106="","",(AN106-BN106)/BN106)</f>
        <v/>
      </c>
      <c r="BP106" s="66" t="n">
        <f aca="false">IF(OR(B106="",AL106=""),0,IF(OR(Settings!$C$28="All Accounts",BJ106=Settings!$C$28),1,0))</f>
        <v>0</v>
      </c>
      <c r="BQ106" s="66" t="str">
        <f aca="false">IF(BP106=1,SUM(BP$6:BP106),"")</f>
        <v/>
      </c>
      <c r="BR106" s="76" t="str">
        <f aca="false">IF(BP106=1,ROUND(Settings!$C$29+SUMIFS(AM$6:AM106,BP$6:BP106,1),2),"")</f>
        <v/>
      </c>
      <c r="BS106" s="76" t="str">
        <f aca="false">IF(BP106=1,MAX(Settings!$C$29,MAX(BR$6:BR106)),"")</f>
        <v/>
      </c>
      <c r="BT106" s="83" t="str">
        <f aca="false">IF(BP106=1,(BR106-BS106)/BS106,"")</f>
        <v/>
      </c>
      <c r="BU106" s="66" t="str">
        <f aca="false">IF(BP106=1,IF(AL106="Win",1+IF(BQ106=1,0,INDEX(BU$5:BU105,MATCH(BQ106-1,BQ$5:BQ105,0))),0),"")</f>
        <v/>
      </c>
      <c r="BV106" s="66" t="str">
        <f aca="false">IF(BP106=1,IF(AL106="Loss",1+IF(BQ106=1,0,INDEX(BV$5:BV105,MATCH(BQ106-1,BQ$5:BQ105,0))),0),"")</f>
        <v/>
      </c>
    </row>
    <row r="107" customFormat="false" ht="15" hidden="false" customHeight="false" outlineLevel="0" collapsed="false">
      <c r="A107" s="66" t="str">
        <f aca="false">IF(B107="","",ROW()-5)</f>
        <v/>
      </c>
      <c r="B107" s="67"/>
      <c r="C107" s="68" t="str">
        <f aca="false">IF(B107="","",CHOOSE(WEEKDAY(B107,2),"Mon","Tue","Wed","Thu","Fri","Sat","Sun"))</f>
        <v/>
      </c>
      <c r="D107" s="66" t="str">
        <f aca="false">IF(B107="","",WEEKNUM(B107,2))</f>
        <v/>
      </c>
      <c r="E107" s="69"/>
      <c r="F107" s="69"/>
      <c r="G107" s="70"/>
      <c r="H107" s="70"/>
      <c r="I107" s="69"/>
      <c r="J107" s="69"/>
      <c r="K107" s="69"/>
      <c r="L107" s="71"/>
      <c r="M107" s="69"/>
      <c r="N107" s="69"/>
      <c r="O107" s="69"/>
      <c r="P107" s="71"/>
      <c r="Q107" s="69"/>
      <c r="R107" s="69"/>
      <c r="S107" s="69"/>
      <c r="T107" s="69"/>
      <c r="U107" s="69"/>
      <c r="V107" s="69"/>
      <c r="W107" s="69"/>
      <c r="X107" s="66" t="str">
        <f aca="false">IF(B107="","",COUNTIF(Q107:W107,"Yes"))</f>
        <v/>
      </c>
      <c r="Y107" s="68" t="str">
        <f aca="false">IF(B107="","",IF(X107&gt;=Settings!$C$16,"A+",IF(X107&gt;=Settings!$C$17,"A",IF(X107&gt;=Settings!$C$18,"B","C"))))</f>
        <v/>
      </c>
      <c r="Z107" s="72"/>
      <c r="AA107" s="72"/>
      <c r="AB107" s="72"/>
      <c r="AC107" s="72"/>
      <c r="AD107" s="72"/>
      <c r="AE107" s="72"/>
      <c r="AF107" s="73"/>
      <c r="AG107" s="74"/>
      <c r="AH107" s="75"/>
      <c r="AI107" s="76" t="str">
        <f aca="false">IF(B107="","",ROUND(IF(AG107="",Settings!$C$5,AG107)*AW107,2))</f>
        <v/>
      </c>
      <c r="AJ107" s="77" t="str">
        <f aca="false">IF(OR(B107="",AB107="",AC107="",AD107=""),"",IFERROR(ROUND(ABS(AD107-AB107)/ABS(AB107-AC107),2),""))</f>
        <v/>
      </c>
      <c r="AK107" s="78" t="str">
        <f aca="false">IF(OR(B107="",AB107="",AC107="",AE107=""),"",IFERROR(ROUND(IF(J107="Short",AB107-AE107,AE107-AB107)/ABS(AB107-AC107),2),""))</f>
        <v/>
      </c>
      <c r="AL107" s="68" t="str">
        <f aca="false">IF(AK107="","",IF(ABS(AK107)&lt;=Settings!$C$6,"BE",IF(AK107&gt;0,"Win","Loss")))</f>
        <v/>
      </c>
      <c r="AM107" s="79" t="str">
        <f aca="false">IF(OR(AK107="",AI107=""),"",ROUND(AK107*AI107-N(AH107),2))</f>
        <v/>
      </c>
      <c r="AN107" s="76" t="str">
        <f aca="false">IF(AM107="","",ROUND(BK107+SUMIFS(AM$6:AM107,BJ$6:BJ107,BJ107),2))</f>
        <v/>
      </c>
      <c r="AO107" s="78" t="str">
        <f aca="false">IF(AK107="","",ROUND(SUMIFS(AK$6:AK107,BJ$6:BJ107,BJ107),2))</f>
        <v/>
      </c>
      <c r="AP107" s="80" t="str">
        <f aca="false">IF(OR(AK107="",BL107=""),"",IFERROR(ROUND(IF(J107="Short",AB107-AE107,AE107-AB107)/BL107,1),""))</f>
        <v/>
      </c>
      <c r="AQ107" s="66" t="str">
        <f aca="false">IF(OR(G107="",H107=""),"",ROUND(MOD(H107-G107,1)*1440,0))</f>
        <v/>
      </c>
      <c r="AR107" s="68" t="str">
        <f aca="false">IF(AQ107="","",IF(AQ107&lt;15,"Under 15m",IF(AQ107&lt;60,"15-60m",IF(AQ107&lt;240,"1-4 hours","4+ hours"))))</f>
        <v/>
      </c>
      <c r="AS107" s="66" t="str">
        <f aca="false">IF(G107="","",HOUR(G107))</f>
        <v/>
      </c>
      <c r="AT107" s="80" t="str">
        <f aca="false">IF(OR(Z107="",AB107="",BL107=""),"",IFERROR(ROUND(IF(J107="Short",Z107-AB107,AB107-Z107)/BL107,1),""))</f>
        <v/>
      </c>
      <c r="AU107" s="68" t="str">
        <f aca="false">IF(OR(AA107="",AC107=""),"",IF(AA107=AC107,"No","Yes"))</f>
        <v/>
      </c>
      <c r="AV107" s="81" t="str">
        <f aca="false">IF(OR(B107="",BL107="",BM107="",AB107="",AC107=""),"",IFERROR(ROUND(AI107/(ABS(AB107-AC107)/BL107*BM107),2),""))</f>
        <v/>
      </c>
      <c r="AW107" s="76" t="str">
        <f aca="false">IF(B107="","",ROUND(BK107+SUMIFS(AM$5:AM106,BJ$5:BJ106,BJ107),2))</f>
        <v/>
      </c>
      <c r="AX107" s="66" t="str">
        <f aca="false">IF(B107="","",COUNTIFS(B$6:B107,B107,BJ$6:BJ107,BJ107))</f>
        <v/>
      </c>
      <c r="AY107" s="79" t="str">
        <f aca="false">IF(B107="","",ROUND(SUMIFS(AM$5:AM106,B$5:B106,B107,BJ$5:BJ106,BJ107),2))</f>
        <v/>
      </c>
      <c r="AZ107" s="79" t="str">
        <f aca="false">IF(AM107="","",ROUND(AY107+AM107,2))</f>
        <v/>
      </c>
      <c r="BA107" s="79" t="str">
        <f aca="false">IF(B107="","",ROUND(SUMIFS(AM$5:AM106,B$5:B106,"&gt;="&amp;(B107-WEEKDAY(B107,2)+1),B$5:B106,"&lt;="&amp;B107,BJ$5:BJ106,BJ107),2))</f>
        <v/>
      </c>
      <c r="BB107" s="68" t="str">
        <f aca="false">IF(B107="","",IF(AND(AF107&lt;&gt;"",AV107&lt;&gt;"",N(AF107)&gt;N(AV107)*(1+Settings!$C$13)),"Oversized",IF(AX107&gt;Settings!$C$10,"Overtraded",IF(AY107&lt;=-Settings!$C$11*(AW107-AY107),"Daily loss hit",IF(BA107&lt;=-Settings!$C$12*(AW107-BA107),"Weekly loss hit","OK")))))</f>
        <v/>
      </c>
      <c r="BC107" s="69"/>
      <c r="BD107" s="69"/>
      <c r="BE107" s="69"/>
      <c r="BF107" s="73"/>
      <c r="BG107" s="73"/>
      <c r="BH107" s="71"/>
      <c r="BI107" s="71"/>
      <c r="BJ107" s="68" t="str">
        <f aca="false">IF(B107="","",IF(E107="",Settings!$F$5,E107))</f>
        <v/>
      </c>
      <c r="BK107" s="76" t="str">
        <f aca="false">IF(B107="","",IFERROR(INDEX(Settings!$G$5:$G$10,MATCH(BJ107,Settings!$F$5:$F$10,0)),Settings!$G$5))</f>
        <v/>
      </c>
      <c r="BL107" s="82" t="str">
        <f aca="false">IF(I107="","",IFERROR(1/(1/INDEX(Lists!$C$6:$C$17,MATCH(I107,Lists!$B$6:$B$17,0))),""))</f>
        <v/>
      </c>
      <c r="BM107" s="81" t="str">
        <f aca="false">IF(I107="","",IFERROR(1/(1/INDEX(Lists!$D$6:$D$17,MATCH(I107,Lists!$B$6:$B$17,0))),""))</f>
        <v/>
      </c>
      <c r="BN107" s="76" t="str">
        <f aca="false">IF(AN107="","",MAX(BK107,_xlfn.MAXIFS(AN$6:AN107,BJ$6:BJ107,BJ107)))</f>
        <v/>
      </c>
      <c r="BO107" s="83" t="str">
        <f aca="false">IF(AN107="","",(AN107-BN107)/BN107)</f>
        <v/>
      </c>
      <c r="BP107" s="66" t="n">
        <f aca="false">IF(OR(B107="",AL107=""),0,IF(OR(Settings!$C$28="All Accounts",BJ107=Settings!$C$28),1,0))</f>
        <v>0</v>
      </c>
      <c r="BQ107" s="66" t="str">
        <f aca="false">IF(BP107=1,SUM(BP$6:BP107),"")</f>
        <v/>
      </c>
      <c r="BR107" s="76" t="str">
        <f aca="false">IF(BP107=1,ROUND(Settings!$C$29+SUMIFS(AM$6:AM107,BP$6:BP107,1),2),"")</f>
        <v/>
      </c>
      <c r="BS107" s="76" t="str">
        <f aca="false">IF(BP107=1,MAX(Settings!$C$29,MAX(BR$6:BR107)),"")</f>
        <v/>
      </c>
      <c r="BT107" s="83" t="str">
        <f aca="false">IF(BP107=1,(BR107-BS107)/BS107,"")</f>
        <v/>
      </c>
      <c r="BU107" s="66" t="str">
        <f aca="false">IF(BP107=1,IF(AL107="Win",1+IF(BQ107=1,0,INDEX(BU$5:BU106,MATCH(BQ107-1,BQ$5:BQ106,0))),0),"")</f>
        <v/>
      </c>
      <c r="BV107" s="66" t="str">
        <f aca="false">IF(BP107=1,IF(AL107="Loss",1+IF(BQ107=1,0,INDEX(BV$5:BV106,MATCH(BQ107-1,BQ$5:BQ106,0))),0),"")</f>
        <v/>
      </c>
    </row>
    <row r="108" customFormat="false" ht="15" hidden="false" customHeight="false" outlineLevel="0" collapsed="false">
      <c r="A108" s="66" t="str">
        <f aca="false">IF(B108="","",ROW()-5)</f>
        <v/>
      </c>
      <c r="B108" s="67"/>
      <c r="C108" s="68" t="str">
        <f aca="false">IF(B108="","",CHOOSE(WEEKDAY(B108,2),"Mon","Tue","Wed","Thu","Fri","Sat","Sun"))</f>
        <v/>
      </c>
      <c r="D108" s="66" t="str">
        <f aca="false">IF(B108="","",WEEKNUM(B108,2))</f>
        <v/>
      </c>
      <c r="E108" s="69"/>
      <c r="F108" s="69"/>
      <c r="G108" s="70"/>
      <c r="H108" s="70"/>
      <c r="I108" s="69"/>
      <c r="J108" s="69"/>
      <c r="K108" s="69"/>
      <c r="L108" s="71"/>
      <c r="M108" s="69"/>
      <c r="N108" s="69"/>
      <c r="O108" s="69"/>
      <c r="P108" s="71"/>
      <c r="Q108" s="69"/>
      <c r="R108" s="69"/>
      <c r="S108" s="69"/>
      <c r="T108" s="69"/>
      <c r="U108" s="69"/>
      <c r="V108" s="69"/>
      <c r="W108" s="69"/>
      <c r="X108" s="66" t="str">
        <f aca="false">IF(B108="","",COUNTIF(Q108:W108,"Yes"))</f>
        <v/>
      </c>
      <c r="Y108" s="68" t="str">
        <f aca="false">IF(B108="","",IF(X108&gt;=Settings!$C$16,"A+",IF(X108&gt;=Settings!$C$17,"A",IF(X108&gt;=Settings!$C$18,"B","C"))))</f>
        <v/>
      </c>
      <c r="Z108" s="72"/>
      <c r="AA108" s="72"/>
      <c r="AB108" s="72"/>
      <c r="AC108" s="72"/>
      <c r="AD108" s="72"/>
      <c r="AE108" s="72"/>
      <c r="AF108" s="73"/>
      <c r="AG108" s="74"/>
      <c r="AH108" s="75"/>
      <c r="AI108" s="76" t="str">
        <f aca="false">IF(B108="","",ROUND(IF(AG108="",Settings!$C$5,AG108)*AW108,2))</f>
        <v/>
      </c>
      <c r="AJ108" s="77" t="str">
        <f aca="false">IF(OR(B108="",AB108="",AC108="",AD108=""),"",IFERROR(ROUND(ABS(AD108-AB108)/ABS(AB108-AC108),2),""))</f>
        <v/>
      </c>
      <c r="AK108" s="78" t="str">
        <f aca="false">IF(OR(B108="",AB108="",AC108="",AE108=""),"",IFERROR(ROUND(IF(J108="Short",AB108-AE108,AE108-AB108)/ABS(AB108-AC108),2),""))</f>
        <v/>
      </c>
      <c r="AL108" s="68" t="str">
        <f aca="false">IF(AK108="","",IF(ABS(AK108)&lt;=Settings!$C$6,"BE",IF(AK108&gt;0,"Win","Loss")))</f>
        <v/>
      </c>
      <c r="AM108" s="79" t="str">
        <f aca="false">IF(OR(AK108="",AI108=""),"",ROUND(AK108*AI108-N(AH108),2))</f>
        <v/>
      </c>
      <c r="AN108" s="76" t="str">
        <f aca="false">IF(AM108="","",ROUND(BK108+SUMIFS(AM$6:AM108,BJ$6:BJ108,BJ108),2))</f>
        <v/>
      </c>
      <c r="AO108" s="78" t="str">
        <f aca="false">IF(AK108="","",ROUND(SUMIFS(AK$6:AK108,BJ$6:BJ108,BJ108),2))</f>
        <v/>
      </c>
      <c r="AP108" s="80" t="str">
        <f aca="false">IF(OR(AK108="",BL108=""),"",IFERROR(ROUND(IF(J108="Short",AB108-AE108,AE108-AB108)/BL108,1),""))</f>
        <v/>
      </c>
      <c r="AQ108" s="66" t="str">
        <f aca="false">IF(OR(G108="",H108=""),"",ROUND(MOD(H108-G108,1)*1440,0))</f>
        <v/>
      </c>
      <c r="AR108" s="68" t="str">
        <f aca="false">IF(AQ108="","",IF(AQ108&lt;15,"Under 15m",IF(AQ108&lt;60,"15-60m",IF(AQ108&lt;240,"1-4 hours","4+ hours"))))</f>
        <v/>
      </c>
      <c r="AS108" s="66" t="str">
        <f aca="false">IF(G108="","",HOUR(G108))</f>
        <v/>
      </c>
      <c r="AT108" s="80" t="str">
        <f aca="false">IF(OR(Z108="",AB108="",BL108=""),"",IFERROR(ROUND(IF(J108="Short",Z108-AB108,AB108-Z108)/BL108,1),""))</f>
        <v/>
      </c>
      <c r="AU108" s="68" t="str">
        <f aca="false">IF(OR(AA108="",AC108=""),"",IF(AA108=AC108,"No","Yes"))</f>
        <v/>
      </c>
      <c r="AV108" s="81" t="str">
        <f aca="false">IF(OR(B108="",BL108="",BM108="",AB108="",AC108=""),"",IFERROR(ROUND(AI108/(ABS(AB108-AC108)/BL108*BM108),2),""))</f>
        <v/>
      </c>
      <c r="AW108" s="76" t="str">
        <f aca="false">IF(B108="","",ROUND(BK108+SUMIFS(AM$5:AM107,BJ$5:BJ107,BJ108),2))</f>
        <v/>
      </c>
      <c r="AX108" s="66" t="str">
        <f aca="false">IF(B108="","",COUNTIFS(B$6:B108,B108,BJ$6:BJ108,BJ108))</f>
        <v/>
      </c>
      <c r="AY108" s="79" t="str">
        <f aca="false">IF(B108="","",ROUND(SUMIFS(AM$5:AM107,B$5:B107,B108,BJ$5:BJ107,BJ108),2))</f>
        <v/>
      </c>
      <c r="AZ108" s="79" t="str">
        <f aca="false">IF(AM108="","",ROUND(AY108+AM108,2))</f>
        <v/>
      </c>
      <c r="BA108" s="79" t="str">
        <f aca="false">IF(B108="","",ROUND(SUMIFS(AM$5:AM107,B$5:B107,"&gt;="&amp;(B108-WEEKDAY(B108,2)+1),B$5:B107,"&lt;="&amp;B108,BJ$5:BJ107,BJ108),2))</f>
        <v/>
      </c>
      <c r="BB108" s="68" t="str">
        <f aca="false">IF(B108="","",IF(AND(AF108&lt;&gt;"",AV108&lt;&gt;"",N(AF108)&gt;N(AV108)*(1+Settings!$C$13)),"Oversized",IF(AX108&gt;Settings!$C$10,"Overtraded",IF(AY108&lt;=-Settings!$C$11*(AW108-AY108),"Daily loss hit",IF(BA108&lt;=-Settings!$C$12*(AW108-BA108),"Weekly loss hit","OK")))))</f>
        <v/>
      </c>
      <c r="BC108" s="69"/>
      <c r="BD108" s="69"/>
      <c r="BE108" s="69"/>
      <c r="BF108" s="73"/>
      <c r="BG108" s="73"/>
      <c r="BH108" s="71"/>
      <c r="BI108" s="71"/>
      <c r="BJ108" s="68" t="str">
        <f aca="false">IF(B108="","",IF(E108="",Settings!$F$5,E108))</f>
        <v/>
      </c>
      <c r="BK108" s="76" t="str">
        <f aca="false">IF(B108="","",IFERROR(INDEX(Settings!$G$5:$G$10,MATCH(BJ108,Settings!$F$5:$F$10,0)),Settings!$G$5))</f>
        <v/>
      </c>
      <c r="BL108" s="82" t="str">
        <f aca="false">IF(I108="","",IFERROR(1/(1/INDEX(Lists!$C$6:$C$17,MATCH(I108,Lists!$B$6:$B$17,0))),""))</f>
        <v/>
      </c>
      <c r="BM108" s="81" t="str">
        <f aca="false">IF(I108="","",IFERROR(1/(1/INDEX(Lists!$D$6:$D$17,MATCH(I108,Lists!$B$6:$B$17,0))),""))</f>
        <v/>
      </c>
      <c r="BN108" s="76" t="str">
        <f aca="false">IF(AN108="","",MAX(BK108,_xlfn.MAXIFS(AN$6:AN108,BJ$6:BJ108,BJ108)))</f>
        <v/>
      </c>
      <c r="BO108" s="83" t="str">
        <f aca="false">IF(AN108="","",(AN108-BN108)/BN108)</f>
        <v/>
      </c>
      <c r="BP108" s="66" t="n">
        <f aca="false">IF(OR(B108="",AL108=""),0,IF(OR(Settings!$C$28="All Accounts",BJ108=Settings!$C$28),1,0))</f>
        <v>0</v>
      </c>
      <c r="BQ108" s="66" t="str">
        <f aca="false">IF(BP108=1,SUM(BP$6:BP108),"")</f>
        <v/>
      </c>
      <c r="BR108" s="76" t="str">
        <f aca="false">IF(BP108=1,ROUND(Settings!$C$29+SUMIFS(AM$6:AM108,BP$6:BP108,1),2),"")</f>
        <v/>
      </c>
      <c r="BS108" s="76" t="str">
        <f aca="false">IF(BP108=1,MAX(Settings!$C$29,MAX(BR$6:BR108)),"")</f>
        <v/>
      </c>
      <c r="BT108" s="83" t="str">
        <f aca="false">IF(BP108=1,(BR108-BS108)/BS108,"")</f>
        <v/>
      </c>
      <c r="BU108" s="66" t="str">
        <f aca="false">IF(BP108=1,IF(AL108="Win",1+IF(BQ108=1,0,INDEX(BU$5:BU107,MATCH(BQ108-1,BQ$5:BQ107,0))),0),"")</f>
        <v/>
      </c>
      <c r="BV108" s="66" t="str">
        <f aca="false">IF(BP108=1,IF(AL108="Loss",1+IF(BQ108=1,0,INDEX(BV$5:BV107,MATCH(BQ108-1,BQ$5:BQ107,0))),0),"")</f>
        <v/>
      </c>
    </row>
    <row r="109" customFormat="false" ht="15" hidden="false" customHeight="false" outlineLevel="0" collapsed="false">
      <c r="A109" s="66" t="str">
        <f aca="false">IF(B109="","",ROW()-5)</f>
        <v/>
      </c>
      <c r="B109" s="67"/>
      <c r="C109" s="68" t="str">
        <f aca="false">IF(B109="","",CHOOSE(WEEKDAY(B109,2),"Mon","Tue","Wed","Thu","Fri","Sat","Sun"))</f>
        <v/>
      </c>
      <c r="D109" s="66" t="str">
        <f aca="false">IF(B109="","",WEEKNUM(B109,2))</f>
        <v/>
      </c>
      <c r="E109" s="69"/>
      <c r="F109" s="69"/>
      <c r="G109" s="70"/>
      <c r="H109" s="70"/>
      <c r="I109" s="69"/>
      <c r="J109" s="69"/>
      <c r="K109" s="69"/>
      <c r="L109" s="71"/>
      <c r="M109" s="69"/>
      <c r="N109" s="69"/>
      <c r="O109" s="69"/>
      <c r="P109" s="71"/>
      <c r="Q109" s="69"/>
      <c r="R109" s="69"/>
      <c r="S109" s="69"/>
      <c r="T109" s="69"/>
      <c r="U109" s="69"/>
      <c r="V109" s="69"/>
      <c r="W109" s="69"/>
      <c r="X109" s="66" t="str">
        <f aca="false">IF(B109="","",COUNTIF(Q109:W109,"Yes"))</f>
        <v/>
      </c>
      <c r="Y109" s="68" t="str">
        <f aca="false">IF(B109="","",IF(X109&gt;=Settings!$C$16,"A+",IF(X109&gt;=Settings!$C$17,"A",IF(X109&gt;=Settings!$C$18,"B","C"))))</f>
        <v/>
      </c>
      <c r="Z109" s="72"/>
      <c r="AA109" s="72"/>
      <c r="AB109" s="72"/>
      <c r="AC109" s="72"/>
      <c r="AD109" s="72"/>
      <c r="AE109" s="72"/>
      <c r="AF109" s="73"/>
      <c r="AG109" s="74"/>
      <c r="AH109" s="75"/>
      <c r="AI109" s="76" t="str">
        <f aca="false">IF(B109="","",ROUND(IF(AG109="",Settings!$C$5,AG109)*AW109,2))</f>
        <v/>
      </c>
      <c r="AJ109" s="77" t="str">
        <f aca="false">IF(OR(B109="",AB109="",AC109="",AD109=""),"",IFERROR(ROUND(ABS(AD109-AB109)/ABS(AB109-AC109),2),""))</f>
        <v/>
      </c>
      <c r="AK109" s="78" t="str">
        <f aca="false">IF(OR(B109="",AB109="",AC109="",AE109=""),"",IFERROR(ROUND(IF(J109="Short",AB109-AE109,AE109-AB109)/ABS(AB109-AC109),2),""))</f>
        <v/>
      </c>
      <c r="AL109" s="68" t="str">
        <f aca="false">IF(AK109="","",IF(ABS(AK109)&lt;=Settings!$C$6,"BE",IF(AK109&gt;0,"Win","Loss")))</f>
        <v/>
      </c>
      <c r="AM109" s="79" t="str">
        <f aca="false">IF(OR(AK109="",AI109=""),"",ROUND(AK109*AI109-N(AH109),2))</f>
        <v/>
      </c>
      <c r="AN109" s="76" t="str">
        <f aca="false">IF(AM109="","",ROUND(BK109+SUMIFS(AM$6:AM109,BJ$6:BJ109,BJ109),2))</f>
        <v/>
      </c>
      <c r="AO109" s="78" t="str">
        <f aca="false">IF(AK109="","",ROUND(SUMIFS(AK$6:AK109,BJ$6:BJ109,BJ109),2))</f>
        <v/>
      </c>
      <c r="AP109" s="80" t="str">
        <f aca="false">IF(OR(AK109="",BL109=""),"",IFERROR(ROUND(IF(J109="Short",AB109-AE109,AE109-AB109)/BL109,1),""))</f>
        <v/>
      </c>
      <c r="AQ109" s="66" t="str">
        <f aca="false">IF(OR(G109="",H109=""),"",ROUND(MOD(H109-G109,1)*1440,0))</f>
        <v/>
      </c>
      <c r="AR109" s="68" t="str">
        <f aca="false">IF(AQ109="","",IF(AQ109&lt;15,"Under 15m",IF(AQ109&lt;60,"15-60m",IF(AQ109&lt;240,"1-4 hours","4+ hours"))))</f>
        <v/>
      </c>
      <c r="AS109" s="66" t="str">
        <f aca="false">IF(G109="","",HOUR(G109))</f>
        <v/>
      </c>
      <c r="AT109" s="80" t="str">
        <f aca="false">IF(OR(Z109="",AB109="",BL109=""),"",IFERROR(ROUND(IF(J109="Short",Z109-AB109,AB109-Z109)/BL109,1),""))</f>
        <v/>
      </c>
      <c r="AU109" s="68" t="str">
        <f aca="false">IF(OR(AA109="",AC109=""),"",IF(AA109=AC109,"No","Yes"))</f>
        <v/>
      </c>
      <c r="AV109" s="81" t="str">
        <f aca="false">IF(OR(B109="",BL109="",BM109="",AB109="",AC109=""),"",IFERROR(ROUND(AI109/(ABS(AB109-AC109)/BL109*BM109),2),""))</f>
        <v/>
      </c>
      <c r="AW109" s="76" t="str">
        <f aca="false">IF(B109="","",ROUND(BK109+SUMIFS(AM$5:AM108,BJ$5:BJ108,BJ109),2))</f>
        <v/>
      </c>
      <c r="AX109" s="66" t="str">
        <f aca="false">IF(B109="","",COUNTIFS(B$6:B109,B109,BJ$6:BJ109,BJ109))</f>
        <v/>
      </c>
      <c r="AY109" s="79" t="str">
        <f aca="false">IF(B109="","",ROUND(SUMIFS(AM$5:AM108,B$5:B108,B109,BJ$5:BJ108,BJ109),2))</f>
        <v/>
      </c>
      <c r="AZ109" s="79" t="str">
        <f aca="false">IF(AM109="","",ROUND(AY109+AM109,2))</f>
        <v/>
      </c>
      <c r="BA109" s="79" t="str">
        <f aca="false">IF(B109="","",ROUND(SUMIFS(AM$5:AM108,B$5:B108,"&gt;="&amp;(B109-WEEKDAY(B109,2)+1),B$5:B108,"&lt;="&amp;B109,BJ$5:BJ108,BJ109),2))</f>
        <v/>
      </c>
      <c r="BB109" s="68" t="str">
        <f aca="false">IF(B109="","",IF(AND(AF109&lt;&gt;"",AV109&lt;&gt;"",N(AF109)&gt;N(AV109)*(1+Settings!$C$13)),"Oversized",IF(AX109&gt;Settings!$C$10,"Overtraded",IF(AY109&lt;=-Settings!$C$11*(AW109-AY109),"Daily loss hit",IF(BA109&lt;=-Settings!$C$12*(AW109-BA109),"Weekly loss hit","OK")))))</f>
        <v/>
      </c>
      <c r="BC109" s="69"/>
      <c r="BD109" s="69"/>
      <c r="BE109" s="69"/>
      <c r="BF109" s="73"/>
      <c r="BG109" s="73"/>
      <c r="BH109" s="71"/>
      <c r="BI109" s="71"/>
      <c r="BJ109" s="68" t="str">
        <f aca="false">IF(B109="","",IF(E109="",Settings!$F$5,E109))</f>
        <v/>
      </c>
      <c r="BK109" s="76" t="str">
        <f aca="false">IF(B109="","",IFERROR(INDEX(Settings!$G$5:$G$10,MATCH(BJ109,Settings!$F$5:$F$10,0)),Settings!$G$5))</f>
        <v/>
      </c>
      <c r="BL109" s="82" t="str">
        <f aca="false">IF(I109="","",IFERROR(1/(1/INDEX(Lists!$C$6:$C$17,MATCH(I109,Lists!$B$6:$B$17,0))),""))</f>
        <v/>
      </c>
      <c r="BM109" s="81" t="str">
        <f aca="false">IF(I109="","",IFERROR(1/(1/INDEX(Lists!$D$6:$D$17,MATCH(I109,Lists!$B$6:$B$17,0))),""))</f>
        <v/>
      </c>
      <c r="BN109" s="76" t="str">
        <f aca="false">IF(AN109="","",MAX(BK109,_xlfn.MAXIFS(AN$6:AN109,BJ$6:BJ109,BJ109)))</f>
        <v/>
      </c>
      <c r="BO109" s="83" t="str">
        <f aca="false">IF(AN109="","",(AN109-BN109)/BN109)</f>
        <v/>
      </c>
      <c r="BP109" s="66" t="n">
        <f aca="false">IF(OR(B109="",AL109=""),0,IF(OR(Settings!$C$28="All Accounts",BJ109=Settings!$C$28),1,0))</f>
        <v>0</v>
      </c>
      <c r="BQ109" s="66" t="str">
        <f aca="false">IF(BP109=1,SUM(BP$6:BP109),"")</f>
        <v/>
      </c>
      <c r="BR109" s="76" t="str">
        <f aca="false">IF(BP109=1,ROUND(Settings!$C$29+SUMIFS(AM$6:AM109,BP$6:BP109,1),2),"")</f>
        <v/>
      </c>
      <c r="BS109" s="76" t="str">
        <f aca="false">IF(BP109=1,MAX(Settings!$C$29,MAX(BR$6:BR109)),"")</f>
        <v/>
      </c>
      <c r="BT109" s="83" t="str">
        <f aca="false">IF(BP109=1,(BR109-BS109)/BS109,"")</f>
        <v/>
      </c>
      <c r="BU109" s="66" t="str">
        <f aca="false">IF(BP109=1,IF(AL109="Win",1+IF(BQ109=1,0,INDEX(BU$5:BU108,MATCH(BQ109-1,BQ$5:BQ108,0))),0),"")</f>
        <v/>
      </c>
      <c r="BV109" s="66" t="str">
        <f aca="false">IF(BP109=1,IF(AL109="Loss",1+IF(BQ109=1,0,INDEX(BV$5:BV108,MATCH(BQ109-1,BQ$5:BQ108,0))),0),"")</f>
        <v/>
      </c>
    </row>
    <row r="110" customFormat="false" ht="15" hidden="false" customHeight="false" outlineLevel="0" collapsed="false">
      <c r="A110" s="66" t="str">
        <f aca="false">IF(B110="","",ROW()-5)</f>
        <v/>
      </c>
      <c r="B110" s="67"/>
      <c r="C110" s="68" t="str">
        <f aca="false">IF(B110="","",CHOOSE(WEEKDAY(B110,2),"Mon","Tue","Wed","Thu","Fri","Sat","Sun"))</f>
        <v/>
      </c>
      <c r="D110" s="66" t="str">
        <f aca="false">IF(B110="","",WEEKNUM(B110,2))</f>
        <v/>
      </c>
      <c r="E110" s="69"/>
      <c r="F110" s="69"/>
      <c r="G110" s="70"/>
      <c r="H110" s="70"/>
      <c r="I110" s="69"/>
      <c r="J110" s="69"/>
      <c r="K110" s="69"/>
      <c r="L110" s="71"/>
      <c r="M110" s="69"/>
      <c r="N110" s="69"/>
      <c r="O110" s="69"/>
      <c r="P110" s="71"/>
      <c r="Q110" s="69"/>
      <c r="R110" s="69"/>
      <c r="S110" s="69"/>
      <c r="T110" s="69"/>
      <c r="U110" s="69"/>
      <c r="V110" s="69"/>
      <c r="W110" s="69"/>
      <c r="X110" s="66" t="str">
        <f aca="false">IF(B110="","",COUNTIF(Q110:W110,"Yes"))</f>
        <v/>
      </c>
      <c r="Y110" s="68" t="str">
        <f aca="false">IF(B110="","",IF(X110&gt;=Settings!$C$16,"A+",IF(X110&gt;=Settings!$C$17,"A",IF(X110&gt;=Settings!$C$18,"B","C"))))</f>
        <v/>
      </c>
      <c r="Z110" s="72"/>
      <c r="AA110" s="72"/>
      <c r="AB110" s="72"/>
      <c r="AC110" s="72"/>
      <c r="AD110" s="72"/>
      <c r="AE110" s="72"/>
      <c r="AF110" s="73"/>
      <c r="AG110" s="74"/>
      <c r="AH110" s="75"/>
      <c r="AI110" s="76" t="str">
        <f aca="false">IF(B110="","",ROUND(IF(AG110="",Settings!$C$5,AG110)*AW110,2))</f>
        <v/>
      </c>
      <c r="AJ110" s="77" t="str">
        <f aca="false">IF(OR(B110="",AB110="",AC110="",AD110=""),"",IFERROR(ROUND(ABS(AD110-AB110)/ABS(AB110-AC110),2),""))</f>
        <v/>
      </c>
      <c r="AK110" s="78" t="str">
        <f aca="false">IF(OR(B110="",AB110="",AC110="",AE110=""),"",IFERROR(ROUND(IF(J110="Short",AB110-AE110,AE110-AB110)/ABS(AB110-AC110),2),""))</f>
        <v/>
      </c>
      <c r="AL110" s="68" t="str">
        <f aca="false">IF(AK110="","",IF(ABS(AK110)&lt;=Settings!$C$6,"BE",IF(AK110&gt;0,"Win","Loss")))</f>
        <v/>
      </c>
      <c r="AM110" s="79" t="str">
        <f aca="false">IF(OR(AK110="",AI110=""),"",ROUND(AK110*AI110-N(AH110),2))</f>
        <v/>
      </c>
      <c r="AN110" s="76" t="str">
        <f aca="false">IF(AM110="","",ROUND(BK110+SUMIFS(AM$6:AM110,BJ$6:BJ110,BJ110),2))</f>
        <v/>
      </c>
      <c r="AO110" s="78" t="str">
        <f aca="false">IF(AK110="","",ROUND(SUMIFS(AK$6:AK110,BJ$6:BJ110,BJ110),2))</f>
        <v/>
      </c>
      <c r="AP110" s="80" t="str">
        <f aca="false">IF(OR(AK110="",BL110=""),"",IFERROR(ROUND(IF(J110="Short",AB110-AE110,AE110-AB110)/BL110,1),""))</f>
        <v/>
      </c>
      <c r="AQ110" s="66" t="str">
        <f aca="false">IF(OR(G110="",H110=""),"",ROUND(MOD(H110-G110,1)*1440,0))</f>
        <v/>
      </c>
      <c r="AR110" s="68" t="str">
        <f aca="false">IF(AQ110="","",IF(AQ110&lt;15,"Under 15m",IF(AQ110&lt;60,"15-60m",IF(AQ110&lt;240,"1-4 hours","4+ hours"))))</f>
        <v/>
      </c>
      <c r="AS110" s="66" t="str">
        <f aca="false">IF(G110="","",HOUR(G110))</f>
        <v/>
      </c>
      <c r="AT110" s="80" t="str">
        <f aca="false">IF(OR(Z110="",AB110="",BL110=""),"",IFERROR(ROUND(IF(J110="Short",Z110-AB110,AB110-Z110)/BL110,1),""))</f>
        <v/>
      </c>
      <c r="AU110" s="68" t="str">
        <f aca="false">IF(OR(AA110="",AC110=""),"",IF(AA110=AC110,"No","Yes"))</f>
        <v/>
      </c>
      <c r="AV110" s="81" t="str">
        <f aca="false">IF(OR(B110="",BL110="",BM110="",AB110="",AC110=""),"",IFERROR(ROUND(AI110/(ABS(AB110-AC110)/BL110*BM110),2),""))</f>
        <v/>
      </c>
      <c r="AW110" s="76" t="str">
        <f aca="false">IF(B110="","",ROUND(BK110+SUMIFS(AM$5:AM109,BJ$5:BJ109,BJ110),2))</f>
        <v/>
      </c>
      <c r="AX110" s="66" t="str">
        <f aca="false">IF(B110="","",COUNTIFS(B$6:B110,B110,BJ$6:BJ110,BJ110))</f>
        <v/>
      </c>
      <c r="AY110" s="79" t="str">
        <f aca="false">IF(B110="","",ROUND(SUMIFS(AM$5:AM109,B$5:B109,B110,BJ$5:BJ109,BJ110),2))</f>
        <v/>
      </c>
      <c r="AZ110" s="79" t="str">
        <f aca="false">IF(AM110="","",ROUND(AY110+AM110,2))</f>
        <v/>
      </c>
      <c r="BA110" s="79" t="str">
        <f aca="false">IF(B110="","",ROUND(SUMIFS(AM$5:AM109,B$5:B109,"&gt;="&amp;(B110-WEEKDAY(B110,2)+1),B$5:B109,"&lt;="&amp;B110,BJ$5:BJ109,BJ110),2))</f>
        <v/>
      </c>
      <c r="BB110" s="68" t="str">
        <f aca="false">IF(B110="","",IF(AND(AF110&lt;&gt;"",AV110&lt;&gt;"",N(AF110)&gt;N(AV110)*(1+Settings!$C$13)),"Oversized",IF(AX110&gt;Settings!$C$10,"Overtraded",IF(AY110&lt;=-Settings!$C$11*(AW110-AY110),"Daily loss hit",IF(BA110&lt;=-Settings!$C$12*(AW110-BA110),"Weekly loss hit","OK")))))</f>
        <v/>
      </c>
      <c r="BC110" s="69"/>
      <c r="BD110" s="69"/>
      <c r="BE110" s="69"/>
      <c r="BF110" s="73"/>
      <c r="BG110" s="73"/>
      <c r="BH110" s="71"/>
      <c r="BI110" s="71"/>
      <c r="BJ110" s="68" t="str">
        <f aca="false">IF(B110="","",IF(E110="",Settings!$F$5,E110))</f>
        <v/>
      </c>
      <c r="BK110" s="76" t="str">
        <f aca="false">IF(B110="","",IFERROR(INDEX(Settings!$G$5:$G$10,MATCH(BJ110,Settings!$F$5:$F$10,0)),Settings!$G$5))</f>
        <v/>
      </c>
      <c r="BL110" s="82" t="str">
        <f aca="false">IF(I110="","",IFERROR(1/(1/INDEX(Lists!$C$6:$C$17,MATCH(I110,Lists!$B$6:$B$17,0))),""))</f>
        <v/>
      </c>
      <c r="BM110" s="81" t="str">
        <f aca="false">IF(I110="","",IFERROR(1/(1/INDEX(Lists!$D$6:$D$17,MATCH(I110,Lists!$B$6:$B$17,0))),""))</f>
        <v/>
      </c>
      <c r="BN110" s="76" t="str">
        <f aca="false">IF(AN110="","",MAX(BK110,_xlfn.MAXIFS(AN$6:AN110,BJ$6:BJ110,BJ110)))</f>
        <v/>
      </c>
      <c r="BO110" s="83" t="str">
        <f aca="false">IF(AN110="","",(AN110-BN110)/BN110)</f>
        <v/>
      </c>
      <c r="BP110" s="66" t="n">
        <f aca="false">IF(OR(B110="",AL110=""),0,IF(OR(Settings!$C$28="All Accounts",BJ110=Settings!$C$28),1,0))</f>
        <v>0</v>
      </c>
      <c r="BQ110" s="66" t="str">
        <f aca="false">IF(BP110=1,SUM(BP$6:BP110),"")</f>
        <v/>
      </c>
      <c r="BR110" s="76" t="str">
        <f aca="false">IF(BP110=1,ROUND(Settings!$C$29+SUMIFS(AM$6:AM110,BP$6:BP110,1),2),"")</f>
        <v/>
      </c>
      <c r="BS110" s="76" t="str">
        <f aca="false">IF(BP110=1,MAX(Settings!$C$29,MAX(BR$6:BR110)),"")</f>
        <v/>
      </c>
      <c r="BT110" s="83" t="str">
        <f aca="false">IF(BP110=1,(BR110-BS110)/BS110,"")</f>
        <v/>
      </c>
      <c r="BU110" s="66" t="str">
        <f aca="false">IF(BP110=1,IF(AL110="Win",1+IF(BQ110=1,0,INDEX(BU$5:BU109,MATCH(BQ110-1,BQ$5:BQ109,0))),0),"")</f>
        <v/>
      </c>
      <c r="BV110" s="66" t="str">
        <f aca="false">IF(BP110=1,IF(AL110="Loss",1+IF(BQ110=1,0,INDEX(BV$5:BV109,MATCH(BQ110-1,BQ$5:BQ109,0))),0),"")</f>
        <v/>
      </c>
    </row>
    <row r="111" customFormat="false" ht="15" hidden="false" customHeight="false" outlineLevel="0" collapsed="false">
      <c r="A111" s="66" t="str">
        <f aca="false">IF(B111="","",ROW()-5)</f>
        <v/>
      </c>
      <c r="B111" s="67"/>
      <c r="C111" s="68" t="str">
        <f aca="false">IF(B111="","",CHOOSE(WEEKDAY(B111,2),"Mon","Tue","Wed","Thu","Fri","Sat","Sun"))</f>
        <v/>
      </c>
      <c r="D111" s="66" t="str">
        <f aca="false">IF(B111="","",WEEKNUM(B111,2))</f>
        <v/>
      </c>
      <c r="E111" s="69"/>
      <c r="F111" s="69"/>
      <c r="G111" s="70"/>
      <c r="H111" s="70"/>
      <c r="I111" s="69"/>
      <c r="J111" s="69"/>
      <c r="K111" s="69"/>
      <c r="L111" s="71"/>
      <c r="M111" s="69"/>
      <c r="N111" s="69"/>
      <c r="O111" s="69"/>
      <c r="P111" s="71"/>
      <c r="Q111" s="69"/>
      <c r="R111" s="69"/>
      <c r="S111" s="69"/>
      <c r="T111" s="69"/>
      <c r="U111" s="69"/>
      <c r="V111" s="69"/>
      <c r="W111" s="69"/>
      <c r="X111" s="66" t="str">
        <f aca="false">IF(B111="","",COUNTIF(Q111:W111,"Yes"))</f>
        <v/>
      </c>
      <c r="Y111" s="68" t="str">
        <f aca="false">IF(B111="","",IF(X111&gt;=Settings!$C$16,"A+",IF(X111&gt;=Settings!$C$17,"A",IF(X111&gt;=Settings!$C$18,"B","C"))))</f>
        <v/>
      </c>
      <c r="Z111" s="72"/>
      <c r="AA111" s="72"/>
      <c r="AB111" s="72"/>
      <c r="AC111" s="72"/>
      <c r="AD111" s="72"/>
      <c r="AE111" s="72"/>
      <c r="AF111" s="73"/>
      <c r="AG111" s="74"/>
      <c r="AH111" s="75"/>
      <c r="AI111" s="76" t="str">
        <f aca="false">IF(B111="","",ROUND(IF(AG111="",Settings!$C$5,AG111)*AW111,2))</f>
        <v/>
      </c>
      <c r="AJ111" s="77" t="str">
        <f aca="false">IF(OR(B111="",AB111="",AC111="",AD111=""),"",IFERROR(ROUND(ABS(AD111-AB111)/ABS(AB111-AC111),2),""))</f>
        <v/>
      </c>
      <c r="AK111" s="78" t="str">
        <f aca="false">IF(OR(B111="",AB111="",AC111="",AE111=""),"",IFERROR(ROUND(IF(J111="Short",AB111-AE111,AE111-AB111)/ABS(AB111-AC111),2),""))</f>
        <v/>
      </c>
      <c r="AL111" s="68" t="str">
        <f aca="false">IF(AK111="","",IF(ABS(AK111)&lt;=Settings!$C$6,"BE",IF(AK111&gt;0,"Win","Loss")))</f>
        <v/>
      </c>
      <c r="AM111" s="79" t="str">
        <f aca="false">IF(OR(AK111="",AI111=""),"",ROUND(AK111*AI111-N(AH111),2))</f>
        <v/>
      </c>
      <c r="AN111" s="76" t="str">
        <f aca="false">IF(AM111="","",ROUND(BK111+SUMIFS(AM$6:AM111,BJ$6:BJ111,BJ111),2))</f>
        <v/>
      </c>
      <c r="AO111" s="78" t="str">
        <f aca="false">IF(AK111="","",ROUND(SUMIFS(AK$6:AK111,BJ$6:BJ111,BJ111),2))</f>
        <v/>
      </c>
      <c r="AP111" s="80" t="str">
        <f aca="false">IF(OR(AK111="",BL111=""),"",IFERROR(ROUND(IF(J111="Short",AB111-AE111,AE111-AB111)/BL111,1),""))</f>
        <v/>
      </c>
      <c r="AQ111" s="66" t="str">
        <f aca="false">IF(OR(G111="",H111=""),"",ROUND(MOD(H111-G111,1)*1440,0))</f>
        <v/>
      </c>
      <c r="AR111" s="68" t="str">
        <f aca="false">IF(AQ111="","",IF(AQ111&lt;15,"Under 15m",IF(AQ111&lt;60,"15-60m",IF(AQ111&lt;240,"1-4 hours","4+ hours"))))</f>
        <v/>
      </c>
      <c r="AS111" s="66" t="str">
        <f aca="false">IF(G111="","",HOUR(G111))</f>
        <v/>
      </c>
      <c r="AT111" s="80" t="str">
        <f aca="false">IF(OR(Z111="",AB111="",BL111=""),"",IFERROR(ROUND(IF(J111="Short",Z111-AB111,AB111-Z111)/BL111,1),""))</f>
        <v/>
      </c>
      <c r="AU111" s="68" t="str">
        <f aca="false">IF(OR(AA111="",AC111=""),"",IF(AA111=AC111,"No","Yes"))</f>
        <v/>
      </c>
      <c r="AV111" s="81" t="str">
        <f aca="false">IF(OR(B111="",BL111="",BM111="",AB111="",AC111=""),"",IFERROR(ROUND(AI111/(ABS(AB111-AC111)/BL111*BM111),2),""))</f>
        <v/>
      </c>
      <c r="AW111" s="76" t="str">
        <f aca="false">IF(B111="","",ROUND(BK111+SUMIFS(AM$5:AM110,BJ$5:BJ110,BJ111),2))</f>
        <v/>
      </c>
      <c r="AX111" s="66" t="str">
        <f aca="false">IF(B111="","",COUNTIFS(B$6:B111,B111,BJ$6:BJ111,BJ111))</f>
        <v/>
      </c>
      <c r="AY111" s="79" t="str">
        <f aca="false">IF(B111="","",ROUND(SUMIFS(AM$5:AM110,B$5:B110,B111,BJ$5:BJ110,BJ111),2))</f>
        <v/>
      </c>
      <c r="AZ111" s="79" t="str">
        <f aca="false">IF(AM111="","",ROUND(AY111+AM111,2))</f>
        <v/>
      </c>
      <c r="BA111" s="79" t="str">
        <f aca="false">IF(B111="","",ROUND(SUMIFS(AM$5:AM110,B$5:B110,"&gt;="&amp;(B111-WEEKDAY(B111,2)+1),B$5:B110,"&lt;="&amp;B111,BJ$5:BJ110,BJ111),2))</f>
        <v/>
      </c>
      <c r="BB111" s="68" t="str">
        <f aca="false">IF(B111="","",IF(AND(AF111&lt;&gt;"",AV111&lt;&gt;"",N(AF111)&gt;N(AV111)*(1+Settings!$C$13)),"Oversized",IF(AX111&gt;Settings!$C$10,"Overtraded",IF(AY111&lt;=-Settings!$C$11*(AW111-AY111),"Daily loss hit",IF(BA111&lt;=-Settings!$C$12*(AW111-BA111),"Weekly loss hit","OK")))))</f>
        <v/>
      </c>
      <c r="BC111" s="69"/>
      <c r="BD111" s="69"/>
      <c r="BE111" s="69"/>
      <c r="BF111" s="73"/>
      <c r="BG111" s="73"/>
      <c r="BH111" s="71"/>
      <c r="BI111" s="71"/>
      <c r="BJ111" s="68" t="str">
        <f aca="false">IF(B111="","",IF(E111="",Settings!$F$5,E111))</f>
        <v/>
      </c>
      <c r="BK111" s="76" t="str">
        <f aca="false">IF(B111="","",IFERROR(INDEX(Settings!$G$5:$G$10,MATCH(BJ111,Settings!$F$5:$F$10,0)),Settings!$G$5))</f>
        <v/>
      </c>
      <c r="BL111" s="82" t="str">
        <f aca="false">IF(I111="","",IFERROR(1/(1/INDEX(Lists!$C$6:$C$17,MATCH(I111,Lists!$B$6:$B$17,0))),""))</f>
        <v/>
      </c>
      <c r="BM111" s="81" t="str">
        <f aca="false">IF(I111="","",IFERROR(1/(1/INDEX(Lists!$D$6:$D$17,MATCH(I111,Lists!$B$6:$B$17,0))),""))</f>
        <v/>
      </c>
      <c r="BN111" s="76" t="str">
        <f aca="false">IF(AN111="","",MAX(BK111,_xlfn.MAXIFS(AN$6:AN111,BJ$6:BJ111,BJ111)))</f>
        <v/>
      </c>
      <c r="BO111" s="83" t="str">
        <f aca="false">IF(AN111="","",(AN111-BN111)/BN111)</f>
        <v/>
      </c>
      <c r="BP111" s="66" t="n">
        <f aca="false">IF(OR(B111="",AL111=""),0,IF(OR(Settings!$C$28="All Accounts",BJ111=Settings!$C$28),1,0))</f>
        <v>0</v>
      </c>
      <c r="BQ111" s="66" t="str">
        <f aca="false">IF(BP111=1,SUM(BP$6:BP111),"")</f>
        <v/>
      </c>
      <c r="BR111" s="76" t="str">
        <f aca="false">IF(BP111=1,ROUND(Settings!$C$29+SUMIFS(AM$6:AM111,BP$6:BP111,1),2),"")</f>
        <v/>
      </c>
      <c r="BS111" s="76" t="str">
        <f aca="false">IF(BP111=1,MAX(Settings!$C$29,MAX(BR$6:BR111)),"")</f>
        <v/>
      </c>
      <c r="BT111" s="83" t="str">
        <f aca="false">IF(BP111=1,(BR111-BS111)/BS111,"")</f>
        <v/>
      </c>
      <c r="BU111" s="66" t="str">
        <f aca="false">IF(BP111=1,IF(AL111="Win",1+IF(BQ111=1,0,INDEX(BU$5:BU110,MATCH(BQ111-1,BQ$5:BQ110,0))),0),"")</f>
        <v/>
      </c>
      <c r="BV111" s="66" t="str">
        <f aca="false">IF(BP111=1,IF(AL111="Loss",1+IF(BQ111=1,0,INDEX(BV$5:BV110,MATCH(BQ111-1,BQ$5:BQ110,0))),0),"")</f>
        <v/>
      </c>
    </row>
    <row r="112" customFormat="false" ht="15" hidden="false" customHeight="false" outlineLevel="0" collapsed="false">
      <c r="A112" s="66" t="str">
        <f aca="false">IF(B112="","",ROW()-5)</f>
        <v/>
      </c>
      <c r="B112" s="67"/>
      <c r="C112" s="68" t="str">
        <f aca="false">IF(B112="","",CHOOSE(WEEKDAY(B112,2),"Mon","Tue","Wed","Thu","Fri","Sat","Sun"))</f>
        <v/>
      </c>
      <c r="D112" s="66" t="str">
        <f aca="false">IF(B112="","",WEEKNUM(B112,2))</f>
        <v/>
      </c>
      <c r="E112" s="69"/>
      <c r="F112" s="69"/>
      <c r="G112" s="70"/>
      <c r="H112" s="70"/>
      <c r="I112" s="69"/>
      <c r="J112" s="69"/>
      <c r="K112" s="69"/>
      <c r="L112" s="71"/>
      <c r="M112" s="69"/>
      <c r="N112" s="69"/>
      <c r="O112" s="69"/>
      <c r="P112" s="71"/>
      <c r="Q112" s="69"/>
      <c r="R112" s="69"/>
      <c r="S112" s="69"/>
      <c r="T112" s="69"/>
      <c r="U112" s="69"/>
      <c r="V112" s="69"/>
      <c r="W112" s="69"/>
      <c r="X112" s="66" t="str">
        <f aca="false">IF(B112="","",COUNTIF(Q112:W112,"Yes"))</f>
        <v/>
      </c>
      <c r="Y112" s="68" t="str">
        <f aca="false">IF(B112="","",IF(X112&gt;=Settings!$C$16,"A+",IF(X112&gt;=Settings!$C$17,"A",IF(X112&gt;=Settings!$C$18,"B","C"))))</f>
        <v/>
      </c>
      <c r="Z112" s="72"/>
      <c r="AA112" s="72"/>
      <c r="AB112" s="72"/>
      <c r="AC112" s="72"/>
      <c r="AD112" s="72"/>
      <c r="AE112" s="72"/>
      <c r="AF112" s="73"/>
      <c r="AG112" s="74"/>
      <c r="AH112" s="75"/>
      <c r="AI112" s="76" t="str">
        <f aca="false">IF(B112="","",ROUND(IF(AG112="",Settings!$C$5,AG112)*AW112,2))</f>
        <v/>
      </c>
      <c r="AJ112" s="77" t="str">
        <f aca="false">IF(OR(B112="",AB112="",AC112="",AD112=""),"",IFERROR(ROUND(ABS(AD112-AB112)/ABS(AB112-AC112),2),""))</f>
        <v/>
      </c>
      <c r="AK112" s="78" t="str">
        <f aca="false">IF(OR(B112="",AB112="",AC112="",AE112=""),"",IFERROR(ROUND(IF(J112="Short",AB112-AE112,AE112-AB112)/ABS(AB112-AC112),2),""))</f>
        <v/>
      </c>
      <c r="AL112" s="68" t="str">
        <f aca="false">IF(AK112="","",IF(ABS(AK112)&lt;=Settings!$C$6,"BE",IF(AK112&gt;0,"Win","Loss")))</f>
        <v/>
      </c>
      <c r="AM112" s="79" t="str">
        <f aca="false">IF(OR(AK112="",AI112=""),"",ROUND(AK112*AI112-N(AH112),2))</f>
        <v/>
      </c>
      <c r="AN112" s="76" t="str">
        <f aca="false">IF(AM112="","",ROUND(BK112+SUMIFS(AM$6:AM112,BJ$6:BJ112,BJ112),2))</f>
        <v/>
      </c>
      <c r="AO112" s="78" t="str">
        <f aca="false">IF(AK112="","",ROUND(SUMIFS(AK$6:AK112,BJ$6:BJ112,BJ112),2))</f>
        <v/>
      </c>
      <c r="AP112" s="80" t="str">
        <f aca="false">IF(OR(AK112="",BL112=""),"",IFERROR(ROUND(IF(J112="Short",AB112-AE112,AE112-AB112)/BL112,1),""))</f>
        <v/>
      </c>
      <c r="AQ112" s="66" t="str">
        <f aca="false">IF(OR(G112="",H112=""),"",ROUND(MOD(H112-G112,1)*1440,0))</f>
        <v/>
      </c>
      <c r="AR112" s="68" t="str">
        <f aca="false">IF(AQ112="","",IF(AQ112&lt;15,"Under 15m",IF(AQ112&lt;60,"15-60m",IF(AQ112&lt;240,"1-4 hours","4+ hours"))))</f>
        <v/>
      </c>
      <c r="AS112" s="66" t="str">
        <f aca="false">IF(G112="","",HOUR(G112))</f>
        <v/>
      </c>
      <c r="AT112" s="80" t="str">
        <f aca="false">IF(OR(Z112="",AB112="",BL112=""),"",IFERROR(ROUND(IF(J112="Short",Z112-AB112,AB112-Z112)/BL112,1),""))</f>
        <v/>
      </c>
      <c r="AU112" s="68" t="str">
        <f aca="false">IF(OR(AA112="",AC112=""),"",IF(AA112=AC112,"No","Yes"))</f>
        <v/>
      </c>
      <c r="AV112" s="81" t="str">
        <f aca="false">IF(OR(B112="",BL112="",BM112="",AB112="",AC112=""),"",IFERROR(ROUND(AI112/(ABS(AB112-AC112)/BL112*BM112),2),""))</f>
        <v/>
      </c>
      <c r="AW112" s="76" t="str">
        <f aca="false">IF(B112="","",ROUND(BK112+SUMIFS(AM$5:AM111,BJ$5:BJ111,BJ112),2))</f>
        <v/>
      </c>
      <c r="AX112" s="66" t="str">
        <f aca="false">IF(B112="","",COUNTIFS(B$6:B112,B112,BJ$6:BJ112,BJ112))</f>
        <v/>
      </c>
      <c r="AY112" s="79" t="str">
        <f aca="false">IF(B112="","",ROUND(SUMIFS(AM$5:AM111,B$5:B111,B112,BJ$5:BJ111,BJ112),2))</f>
        <v/>
      </c>
      <c r="AZ112" s="79" t="str">
        <f aca="false">IF(AM112="","",ROUND(AY112+AM112,2))</f>
        <v/>
      </c>
      <c r="BA112" s="79" t="str">
        <f aca="false">IF(B112="","",ROUND(SUMIFS(AM$5:AM111,B$5:B111,"&gt;="&amp;(B112-WEEKDAY(B112,2)+1),B$5:B111,"&lt;="&amp;B112,BJ$5:BJ111,BJ112),2))</f>
        <v/>
      </c>
      <c r="BB112" s="68" t="str">
        <f aca="false">IF(B112="","",IF(AND(AF112&lt;&gt;"",AV112&lt;&gt;"",N(AF112)&gt;N(AV112)*(1+Settings!$C$13)),"Oversized",IF(AX112&gt;Settings!$C$10,"Overtraded",IF(AY112&lt;=-Settings!$C$11*(AW112-AY112),"Daily loss hit",IF(BA112&lt;=-Settings!$C$12*(AW112-BA112),"Weekly loss hit","OK")))))</f>
        <v/>
      </c>
      <c r="BC112" s="69"/>
      <c r="BD112" s="69"/>
      <c r="BE112" s="69"/>
      <c r="BF112" s="73"/>
      <c r="BG112" s="73"/>
      <c r="BH112" s="71"/>
      <c r="BI112" s="71"/>
      <c r="BJ112" s="68" t="str">
        <f aca="false">IF(B112="","",IF(E112="",Settings!$F$5,E112))</f>
        <v/>
      </c>
      <c r="BK112" s="76" t="str">
        <f aca="false">IF(B112="","",IFERROR(INDEX(Settings!$G$5:$G$10,MATCH(BJ112,Settings!$F$5:$F$10,0)),Settings!$G$5))</f>
        <v/>
      </c>
      <c r="BL112" s="82" t="str">
        <f aca="false">IF(I112="","",IFERROR(1/(1/INDEX(Lists!$C$6:$C$17,MATCH(I112,Lists!$B$6:$B$17,0))),""))</f>
        <v/>
      </c>
      <c r="BM112" s="81" t="str">
        <f aca="false">IF(I112="","",IFERROR(1/(1/INDEX(Lists!$D$6:$D$17,MATCH(I112,Lists!$B$6:$B$17,0))),""))</f>
        <v/>
      </c>
      <c r="BN112" s="76" t="str">
        <f aca="false">IF(AN112="","",MAX(BK112,_xlfn.MAXIFS(AN$6:AN112,BJ$6:BJ112,BJ112)))</f>
        <v/>
      </c>
      <c r="BO112" s="83" t="str">
        <f aca="false">IF(AN112="","",(AN112-BN112)/BN112)</f>
        <v/>
      </c>
      <c r="BP112" s="66" t="n">
        <f aca="false">IF(OR(B112="",AL112=""),0,IF(OR(Settings!$C$28="All Accounts",BJ112=Settings!$C$28),1,0))</f>
        <v>0</v>
      </c>
      <c r="BQ112" s="66" t="str">
        <f aca="false">IF(BP112=1,SUM(BP$6:BP112),"")</f>
        <v/>
      </c>
      <c r="BR112" s="76" t="str">
        <f aca="false">IF(BP112=1,ROUND(Settings!$C$29+SUMIFS(AM$6:AM112,BP$6:BP112,1),2),"")</f>
        <v/>
      </c>
      <c r="BS112" s="76" t="str">
        <f aca="false">IF(BP112=1,MAX(Settings!$C$29,MAX(BR$6:BR112)),"")</f>
        <v/>
      </c>
      <c r="BT112" s="83" t="str">
        <f aca="false">IF(BP112=1,(BR112-BS112)/BS112,"")</f>
        <v/>
      </c>
      <c r="BU112" s="66" t="str">
        <f aca="false">IF(BP112=1,IF(AL112="Win",1+IF(BQ112=1,0,INDEX(BU$5:BU111,MATCH(BQ112-1,BQ$5:BQ111,0))),0),"")</f>
        <v/>
      </c>
      <c r="BV112" s="66" t="str">
        <f aca="false">IF(BP112=1,IF(AL112="Loss",1+IF(BQ112=1,0,INDEX(BV$5:BV111,MATCH(BQ112-1,BQ$5:BQ111,0))),0),"")</f>
        <v/>
      </c>
    </row>
    <row r="113" customFormat="false" ht="15" hidden="false" customHeight="false" outlineLevel="0" collapsed="false">
      <c r="A113" s="66" t="str">
        <f aca="false">IF(B113="","",ROW()-5)</f>
        <v/>
      </c>
      <c r="B113" s="67"/>
      <c r="C113" s="68" t="str">
        <f aca="false">IF(B113="","",CHOOSE(WEEKDAY(B113,2),"Mon","Tue","Wed","Thu","Fri","Sat","Sun"))</f>
        <v/>
      </c>
      <c r="D113" s="66" t="str">
        <f aca="false">IF(B113="","",WEEKNUM(B113,2))</f>
        <v/>
      </c>
      <c r="E113" s="69"/>
      <c r="F113" s="69"/>
      <c r="G113" s="70"/>
      <c r="H113" s="70"/>
      <c r="I113" s="69"/>
      <c r="J113" s="69"/>
      <c r="K113" s="69"/>
      <c r="L113" s="71"/>
      <c r="M113" s="69"/>
      <c r="N113" s="69"/>
      <c r="O113" s="69"/>
      <c r="P113" s="71"/>
      <c r="Q113" s="69"/>
      <c r="R113" s="69"/>
      <c r="S113" s="69"/>
      <c r="T113" s="69"/>
      <c r="U113" s="69"/>
      <c r="V113" s="69"/>
      <c r="W113" s="69"/>
      <c r="X113" s="66" t="str">
        <f aca="false">IF(B113="","",COUNTIF(Q113:W113,"Yes"))</f>
        <v/>
      </c>
      <c r="Y113" s="68" t="str">
        <f aca="false">IF(B113="","",IF(X113&gt;=Settings!$C$16,"A+",IF(X113&gt;=Settings!$C$17,"A",IF(X113&gt;=Settings!$C$18,"B","C"))))</f>
        <v/>
      </c>
      <c r="Z113" s="72"/>
      <c r="AA113" s="72"/>
      <c r="AB113" s="72"/>
      <c r="AC113" s="72"/>
      <c r="AD113" s="72"/>
      <c r="AE113" s="72"/>
      <c r="AF113" s="73"/>
      <c r="AG113" s="74"/>
      <c r="AH113" s="75"/>
      <c r="AI113" s="76" t="str">
        <f aca="false">IF(B113="","",ROUND(IF(AG113="",Settings!$C$5,AG113)*AW113,2))</f>
        <v/>
      </c>
      <c r="AJ113" s="77" t="str">
        <f aca="false">IF(OR(B113="",AB113="",AC113="",AD113=""),"",IFERROR(ROUND(ABS(AD113-AB113)/ABS(AB113-AC113),2),""))</f>
        <v/>
      </c>
      <c r="AK113" s="78" t="str">
        <f aca="false">IF(OR(B113="",AB113="",AC113="",AE113=""),"",IFERROR(ROUND(IF(J113="Short",AB113-AE113,AE113-AB113)/ABS(AB113-AC113),2),""))</f>
        <v/>
      </c>
      <c r="AL113" s="68" t="str">
        <f aca="false">IF(AK113="","",IF(ABS(AK113)&lt;=Settings!$C$6,"BE",IF(AK113&gt;0,"Win","Loss")))</f>
        <v/>
      </c>
      <c r="AM113" s="79" t="str">
        <f aca="false">IF(OR(AK113="",AI113=""),"",ROUND(AK113*AI113-N(AH113),2))</f>
        <v/>
      </c>
      <c r="AN113" s="76" t="str">
        <f aca="false">IF(AM113="","",ROUND(BK113+SUMIFS(AM$6:AM113,BJ$6:BJ113,BJ113),2))</f>
        <v/>
      </c>
      <c r="AO113" s="78" t="str">
        <f aca="false">IF(AK113="","",ROUND(SUMIFS(AK$6:AK113,BJ$6:BJ113,BJ113),2))</f>
        <v/>
      </c>
      <c r="AP113" s="80" t="str">
        <f aca="false">IF(OR(AK113="",BL113=""),"",IFERROR(ROUND(IF(J113="Short",AB113-AE113,AE113-AB113)/BL113,1),""))</f>
        <v/>
      </c>
      <c r="AQ113" s="66" t="str">
        <f aca="false">IF(OR(G113="",H113=""),"",ROUND(MOD(H113-G113,1)*1440,0))</f>
        <v/>
      </c>
      <c r="AR113" s="68" t="str">
        <f aca="false">IF(AQ113="","",IF(AQ113&lt;15,"Under 15m",IF(AQ113&lt;60,"15-60m",IF(AQ113&lt;240,"1-4 hours","4+ hours"))))</f>
        <v/>
      </c>
      <c r="AS113" s="66" t="str">
        <f aca="false">IF(G113="","",HOUR(G113))</f>
        <v/>
      </c>
      <c r="AT113" s="80" t="str">
        <f aca="false">IF(OR(Z113="",AB113="",BL113=""),"",IFERROR(ROUND(IF(J113="Short",Z113-AB113,AB113-Z113)/BL113,1),""))</f>
        <v/>
      </c>
      <c r="AU113" s="68" t="str">
        <f aca="false">IF(OR(AA113="",AC113=""),"",IF(AA113=AC113,"No","Yes"))</f>
        <v/>
      </c>
      <c r="AV113" s="81" t="str">
        <f aca="false">IF(OR(B113="",BL113="",BM113="",AB113="",AC113=""),"",IFERROR(ROUND(AI113/(ABS(AB113-AC113)/BL113*BM113),2),""))</f>
        <v/>
      </c>
      <c r="AW113" s="76" t="str">
        <f aca="false">IF(B113="","",ROUND(BK113+SUMIFS(AM$5:AM112,BJ$5:BJ112,BJ113),2))</f>
        <v/>
      </c>
      <c r="AX113" s="66" t="str">
        <f aca="false">IF(B113="","",COUNTIFS(B$6:B113,B113,BJ$6:BJ113,BJ113))</f>
        <v/>
      </c>
      <c r="AY113" s="79" t="str">
        <f aca="false">IF(B113="","",ROUND(SUMIFS(AM$5:AM112,B$5:B112,B113,BJ$5:BJ112,BJ113),2))</f>
        <v/>
      </c>
      <c r="AZ113" s="79" t="str">
        <f aca="false">IF(AM113="","",ROUND(AY113+AM113,2))</f>
        <v/>
      </c>
      <c r="BA113" s="79" t="str">
        <f aca="false">IF(B113="","",ROUND(SUMIFS(AM$5:AM112,B$5:B112,"&gt;="&amp;(B113-WEEKDAY(B113,2)+1),B$5:B112,"&lt;="&amp;B113,BJ$5:BJ112,BJ113),2))</f>
        <v/>
      </c>
      <c r="BB113" s="68" t="str">
        <f aca="false">IF(B113="","",IF(AND(AF113&lt;&gt;"",AV113&lt;&gt;"",N(AF113)&gt;N(AV113)*(1+Settings!$C$13)),"Oversized",IF(AX113&gt;Settings!$C$10,"Overtraded",IF(AY113&lt;=-Settings!$C$11*(AW113-AY113),"Daily loss hit",IF(BA113&lt;=-Settings!$C$12*(AW113-BA113),"Weekly loss hit","OK")))))</f>
        <v/>
      </c>
      <c r="BC113" s="69"/>
      <c r="BD113" s="69"/>
      <c r="BE113" s="69"/>
      <c r="BF113" s="73"/>
      <c r="BG113" s="73"/>
      <c r="BH113" s="71"/>
      <c r="BI113" s="71"/>
      <c r="BJ113" s="68" t="str">
        <f aca="false">IF(B113="","",IF(E113="",Settings!$F$5,E113))</f>
        <v/>
      </c>
      <c r="BK113" s="76" t="str">
        <f aca="false">IF(B113="","",IFERROR(INDEX(Settings!$G$5:$G$10,MATCH(BJ113,Settings!$F$5:$F$10,0)),Settings!$G$5))</f>
        <v/>
      </c>
      <c r="BL113" s="82" t="str">
        <f aca="false">IF(I113="","",IFERROR(1/(1/INDEX(Lists!$C$6:$C$17,MATCH(I113,Lists!$B$6:$B$17,0))),""))</f>
        <v/>
      </c>
      <c r="BM113" s="81" t="str">
        <f aca="false">IF(I113="","",IFERROR(1/(1/INDEX(Lists!$D$6:$D$17,MATCH(I113,Lists!$B$6:$B$17,0))),""))</f>
        <v/>
      </c>
      <c r="BN113" s="76" t="str">
        <f aca="false">IF(AN113="","",MAX(BK113,_xlfn.MAXIFS(AN$6:AN113,BJ$6:BJ113,BJ113)))</f>
        <v/>
      </c>
      <c r="BO113" s="83" t="str">
        <f aca="false">IF(AN113="","",(AN113-BN113)/BN113)</f>
        <v/>
      </c>
      <c r="BP113" s="66" t="n">
        <f aca="false">IF(OR(B113="",AL113=""),0,IF(OR(Settings!$C$28="All Accounts",BJ113=Settings!$C$28),1,0))</f>
        <v>0</v>
      </c>
      <c r="BQ113" s="66" t="str">
        <f aca="false">IF(BP113=1,SUM(BP$6:BP113),"")</f>
        <v/>
      </c>
      <c r="BR113" s="76" t="str">
        <f aca="false">IF(BP113=1,ROUND(Settings!$C$29+SUMIFS(AM$6:AM113,BP$6:BP113,1),2),"")</f>
        <v/>
      </c>
      <c r="BS113" s="76" t="str">
        <f aca="false">IF(BP113=1,MAX(Settings!$C$29,MAX(BR$6:BR113)),"")</f>
        <v/>
      </c>
      <c r="BT113" s="83" t="str">
        <f aca="false">IF(BP113=1,(BR113-BS113)/BS113,"")</f>
        <v/>
      </c>
      <c r="BU113" s="66" t="str">
        <f aca="false">IF(BP113=1,IF(AL113="Win",1+IF(BQ113=1,0,INDEX(BU$5:BU112,MATCH(BQ113-1,BQ$5:BQ112,0))),0),"")</f>
        <v/>
      </c>
      <c r="BV113" s="66" t="str">
        <f aca="false">IF(BP113=1,IF(AL113="Loss",1+IF(BQ113=1,0,INDEX(BV$5:BV112,MATCH(BQ113-1,BQ$5:BQ112,0))),0),"")</f>
        <v/>
      </c>
    </row>
    <row r="114" customFormat="false" ht="15" hidden="false" customHeight="false" outlineLevel="0" collapsed="false">
      <c r="A114" s="66" t="str">
        <f aca="false">IF(B114="","",ROW()-5)</f>
        <v/>
      </c>
      <c r="B114" s="67"/>
      <c r="C114" s="68" t="str">
        <f aca="false">IF(B114="","",CHOOSE(WEEKDAY(B114,2),"Mon","Tue","Wed","Thu","Fri","Sat","Sun"))</f>
        <v/>
      </c>
      <c r="D114" s="66" t="str">
        <f aca="false">IF(B114="","",WEEKNUM(B114,2))</f>
        <v/>
      </c>
      <c r="E114" s="69"/>
      <c r="F114" s="69"/>
      <c r="G114" s="70"/>
      <c r="H114" s="70"/>
      <c r="I114" s="69"/>
      <c r="J114" s="69"/>
      <c r="K114" s="69"/>
      <c r="L114" s="71"/>
      <c r="M114" s="69"/>
      <c r="N114" s="69"/>
      <c r="O114" s="69"/>
      <c r="P114" s="71"/>
      <c r="Q114" s="69"/>
      <c r="R114" s="69"/>
      <c r="S114" s="69"/>
      <c r="T114" s="69"/>
      <c r="U114" s="69"/>
      <c r="V114" s="69"/>
      <c r="W114" s="69"/>
      <c r="X114" s="66" t="str">
        <f aca="false">IF(B114="","",COUNTIF(Q114:W114,"Yes"))</f>
        <v/>
      </c>
      <c r="Y114" s="68" t="str">
        <f aca="false">IF(B114="","",IF(X114&gt;=Settings!$C$16,"A+",IF(X114&gt;=Settings!$C$17,"A",IF(X114&gt;=Settings!$C$18,"B","C"))))</f>
        <v/>
      </c>
      <c r="Z114" s="72"/>
      <c r="AA114" s="72"/>
      <c r="AB114" s="72"/>
      <c r="AC114" s="72"/>
      <c r="AD114" s="72"/>
      <c r="AE114" s="72"/>
      <c r="AF114" s="73"/>
      <c r="AG114" s="74"/>
      <c r="AH114" s="75"/>
      <c r="AI114" s="76" t="str">
        <f aca="false">IF(B114="","",ROUND(IF(AG114="",Settings!$C$5,AG114)*AW114,2))</f>
        <v/>
      </c>
      <c r="AJ114" s="77" t="str">
        <f aca="false">IF(OR(B114="",AB114="",AC114="",AD114=""),"",IFERROR(ROUND(ABS(AD114-AB114)/ABS(AB114-AC114),2),""))</f>
        <v/>
      </c>
      <c r="AK114" s="78" t="str">
        <f aca="false">IF(OR(B114="",AB114="",AC114="",AE114=""),"",IFERROR(ROUND(IF(J114="Short",AB114-AE114,AE114-AB114)/ABS(AB114-AC114),2),""))</f>
        <v/>
      </c>
      <c r="AL114" s="68" t="str">
        <f aca="false">IF(AK114="","",IF(ABS(AK114)&lt;=Settings!$C$6,"BE",IF(AK114&gt;0,"Win","Loss")))</f>
        <v/>
      </c>
      <c r="AM114" s="79" t="str">
        <f aca="false">IF(OR(AK114="",AI114=""),"",ROUND(AK114*AI114-N(AH114),2))</f>
        <v/>
      </c>
      <c r="AN114" s="76" t="str">
        <f aca="false">IF(AM114="","",ROUND(BK114+SUMIFS(AM$6:AM114,BJ$6:BJ114,BJ114),2))</f>
        <v/>
      </c>
      <c r="AO114" s="78" t="str">
        <f aca="false">IF(AK114="","",ROUND(SUMIFS(AK$6:AK114,BJ$6:BJ114,BJ114),2))</f>
        <v/>
      </c>
      <c r="AP114" s="80" t="str">
        <f aca="false">IF(OR(AK114="",BL114=""),"",IFERROR(ROUND(IF(J114="Short",AB114-AE114,AE114-AB114)/BL114,1),""))</f>
        <v/>
      </c>
      <c r="AQ114" s="66" t="str">
        <f aca="false">IF(OR(G114="",H114=""),"",ROUND(MOD(H114-G114,1)*1440,0))</f>
        <v/>
      </c>
      <c r="AR114" s="68" t="str">
        <f aca="false">IF(AQ114="","",IF(AQ114&lt;15,"Under 15m",IF(AQ114&lt;60,"15-60m",IF(AQ114&lt;240,"1-4 hours","4+ hours"))))</f>
        <v/>
      </c>
      <c r="AS114" s="66" t="str">
        <f aca="false">IF(G114="","",HOUR(G114))</f>
        <v/>
      </c>
      <c r="AT114" s="80" t="str">
        <f aca="false">IF(OR(Z114="",AB114="",BL114=""),"",IFERROR(ROUND(IF(J114="Short",Z114-AB114,AB114-Z114)/BL114,1),""))</f>
        <v/>
      </c>
      <c r="AU114" s="68" t="str">
        <f aca="false">IF(OR(AA114="",AC114=""),"",IF(AA114=AC114,"No","Yes"))</f>
        <v/>
      </c>
      <c r="AV114" s="81" t="str">
        <f aca="false">IF(OR(B114="",BL114="",BM114="",AB114="",AC114=""),"",IFERROR(ROUND(AI114/(ABS(AB114-AC114)/BL114*BM114),2),""))</f>
        <v/>
      </c>
      <c r="AW114" s="76" t="str">
        <f aca="false">IF(B114="","",ROUND(BK114+SUMIFS(AM$5:AM113,BJ$5:BJ113,BJ114),2))</f>
        <v/>
      </c>
      <c r="AX114" s="66" t="str">
        <f aca="false">IF(B114="","",COUNTIFS(B$6:B114,B114,BJ$6:BJ114,BJ114))</f>
        <v/>
      </c>
      <c r="AY114" s="79" t="str">
        <f aca="false">IF(B114="","",ROUND(SUMIFS(AM$5:AM113,B$5:B113,B114,BJ$5:BJ113,BJ114),2))</f>
        <v/>
      </c>
      <c r="AZ114" s="79" t="str">
        <f aca="false">IF(AM114="","",ROUND(AY114+AM114,2))</f>
        <v/>
      </c>
      <c r="BA114" s="79" t="str">
        <f aca="false">IF(B114="","",ROUND(SUMIFS(AM$5:AM113,B$5:B113,"&gt;="&amp;(B114-WEEKDAY(B114,2)+1),B$5:B113,"&lt;="&amp;B114,BJ$5:BJ113,BJ114),2))</f>
        <v/>
      </c>
      <c r="BB114" s="68" t="str">
        <f aca="false">IF(B114="","",IF(AND(AF114&lt;&gt;"",AV114&lt;&gt;"",N(AF114)&gt;N(AV114)*(1+Settings!$C$13)),"Oversized",IF(AX114&gt;Settings!$C$10,"Overtraded",IF(AY114&lt;=-Settings!$C$11*(AW114-AY114),"Daily loss hit",IF(BA114&lt;=-Settings!$C$12*(AW114-BA114),"Weekly loss hit","OK")))))</f>
        <v/>
      </c>
      <c r="BC114" s="69"/>
      <c r="BD114" s="69"/>
      <c r="BE114" s="69"/>
      <c r="BF114" s="73"/>
      <c r="BG114" s="73"/>
      <c r="BH114" s="71"/>
      <c r="BI114" s="71"/>
      <c r="BJ114" s="68" t="str">
        <f aca="false">IF(B114="","",IF(E114="",Settings!$F$5,E114))</f>
        <v/>
      </c>
      <c r="BK114" s="76" t="str">
        <f aca="false">IF(B114="","",IFERROR(INDEX(Settings!$G$5:$G$10,MATCH(BJ114,Settings!$F$5:$F$10,0)),Settings!$G$5))</f>
        <v/>
      </c>
      <c r="BL114" s="82" t="str">
        <f aca="false">IF(I114="","",IFERROR(1/(1/INDEX(Lists!$C$6:$C$17,MATCH(I114,Lists!$B$6:$B$17,0))),""))</f>
        <v/>
      </c>
      <c r="BM114" s="81" t="str">
        <f aca="false">IF(I114="","",IFERROR(1/(1/INDEX(Lists!$D$6:$D$17,MATCH(I114,Lists!$B$6:$B$17,0))),""))</f>
        <v/>
      </c>
      <c r="BN114" s="76" t="str">
        <f aca="false">IF(AN114="","",MAX(BK114,_xlfn.MAXIFS(AN$6:AN114,BJ$6:BJ114,BJ114)))</f>
        <v/>
      </c>
      <c r="BO114" s="83" t="str">
        <f aca="false">IF(AN114="","",(AN114-BN114)/BN114)</f>
        <v/>
      </c>
      <c r="BP114" s="66" t="n">
        <f aca="false">IF(OR(B114="",AL114=""),0,IF(OR(Settings!$C$28="All Accounts",BJ114=Settings!$C$28),1,0))</f>
        <v>0</v>
      </c>
      <c r="BQ114" s="66" t="str">
        <f aca="false">IF(BP114=1,SUM(BP$6:BP114),"")</f>
        <v/>
      </c>
      <c r="BR114" s="76" t="str">
        <f aca="false">IF(BP114=1,ROUND(Settings!$C$29+SUMIFS(AM$6:AM114,BP$6:BP114,1),2),"")</f>
        <v/>
      </c>
      <c r="BS114" s="76" t="str">
        <f aca="false">IF(BP114=1,MAX(Settings!$C$29,MAX(BR$6:BR114)),"")</f>
        <v/>
      </c>
      <c r="BT114" s="83" t="str">
        <f aca="false">IF(BP114=1,(BR114-BS114)/BS114,"")</f>
        <v/>
      </c>
      <c r="BU114" s="66" t="str">
        <f aca="false">IF(BP114=1,IF(AL114="Win",1+IF(BQ114=1,0,INDEX(BU$5:BU113,MATCH(BQ114-1,BQ$5:BQ113,0))),0),"")</f>
        <v/>
      </c>
      <c r="BV114" s="66" t="str">
        <f aca="false">IF(BP114=1,IF(AL114="Loss",1+IF(BQ114=1,0,INDEX(BV$5:BV113,MATCH(BQ114-1,BQ$5:BQ113,0))),0),"")</f>
        <v/>
      </c>
    </row>
    <row r="115" customFormat="false" ht="15" hidden="false" customHeight="false" outlineLevel="0" collapsed="false">
      <c r="A115" s="66" t="str">
        <f aca="false">IF(B115="","",ROW()-5)</f>
        <v/>
      </c>
      <c r="B115" s="67"/>
      <c r="C115" s="68" t="str">
        <f aca="false">IF(B115="","",CHOOSE(WEEKDAY(B115,2),"Mon","Tue","Wed","Thu","Fri","Sat","Sun"))</f>
        <v/>
      </c>
      <c r="D115" s="66" t="str">
        <f aca="false">IF(B115="","",WEEKNUM(B115,2))</f>
        <v/>
      </c>
      <c r="E115" s="69"/>
      <c r="F115" s="69"/>
      <c r="G115" s="70"/>
      <c r="H115" s="70"/>
      <c r="I115" s="69"/>
      <c r="J115" s="69"/>
      <c r="K115" s="69"/>
      <c r="L115" s="71"/>
      <c r="M115" s="69"/>
      <c r="N115" s="69"/>
      <c r="O115" s="69"/>
      <c r="P115" s="71"/>
      <c r="Q115" s="69"/>
      <c r="R115" s="69"/>
      <c r="S115" s="69"/>
      <c r="T115" s="69"/>
      <c r="U115" s="69"/>
      <c r="V115" s="69"/>
      <c r="W115" s="69"/>
      <c r="X115" s="66" t="str">
        <f aca="false">IF(B115="","",COUNTIF(Q115:W115,"Yes"))</f>
        <v/>
      </c>
      <c r="Y115" s="68" t="str">
        <f aca="false">IF(B115="","",IF(X115&gt;=Settings!$C$16,"A+",IF(X115&gt;=Settings!$C$17,"A",IF(X115&gt;=Settings!$C$18,"B","C"))))</f>
        <v/>
      </c>
      <c r="Z115" s="72"/>
      <c r="AA115" s="72"/>
      <c r="AB115" s="72"/>
      <c r="AC115" s="72"/>
      <c r="AD115" s="72"/>
      <c r="AE115" s="72"/>
      <c r="AF115" s="73"/>
      <c r="AG115" s="74"/>
      <c r="AH115" s="75"/>
      <c r="AI115" s="76" t="str">
        <f aca="false">IF(B115="","",ROUND(IF(AG115="",Settings!$C$5,AG115)*AW115,2))</f>
        <v/>
      </c>
      <c r="AJ115" s="77" t="str">
        <f aca="false">IF(OR(B115="",AB115="",AC115="",AD115=""),"",IFERROR(ROUND(ABS(AD115-AB115)/ABS(AB115-AC115),2),""))</f>
        <v/>
      </c>
      <c r="AK115" s="78" t="str">
        <f aca="false">IF(OR(B115="",AB115="",AC115="",AE115=""),"",IFERROR(ROUND(IF(J115="Short",AB115-AE115,AE115-AB115)/ABS(AB115-AC115),2),""))</f>
        <v/>
      </c>
      <c r="AL115" s="68" t="str">
        <f aca="false">IF(AK115="","",IF(ABS(AK115)&lt;=Settings!$C$6,"BE",IF(AK115&gt;0,"Win","Loss")))</f>
        <v/>
      </c>
      <c r="AM115" s="79" t="str">
        <f aca="false">IF(OR(AK115="",AI115=""),"",ROUND(AK115*AI115-N(AH115),2))</f>
        <v/>
      </c>
      <c r="AN115" s="76" t="str">
        <f aca="false">IF(AM115="","",ROUND(BK115+SUMIFS(AM$6:AM115,BJ$6:BJ115,BJ115),2))</f>
        <v/>
      </c>
      <c r="AO115" s="78" t="str">
        <f aca="false">IF(AK115="","",ROUND(SUMIFS(AK$6:AK115,BJ$6:BJ115,BJ115),2))</f>
        <v/>
      </c>
      <c r="AP115" s="80" t="str">
        <f aca="false">IF(OR(AK115="",BL115=""),"",IFERROR(ROUND(IF(J115="Short",AB115-AE115,AE115-AB115)/BL115,1),""))</f>
        <v/>
      </c>
      <c r="AQ115" s="66" t="str">
        <f aca="false">IF(OR(G115="",H115=""),"",ROUND(MOD(H115-G115,1)*1440,0))</f>
        <v/>
      </c>
      <c r="AR115" s="68" t="str">
        <f aca="false">IF(AQ115="","",IF(AQ115&lt;15,"Under 15m",IF(AQ115&lt;60,"15-60m",IF(AQ115&lt;240,"1-4 hours","4+ hours"))))</f>
        <v/>
      </c>
      <c r="AS115" s="66" t="str">
        <f aca="false">IF(G115="","",HOUR(G115))</f>
        <v/>
      </c>
      <c r="AT115" s="80" t="str">
        <f aca="false">IF(OR(Z115="",AB115="",BL115=""),"",IFERROR(ROUND(IF(J115="Short",Z115-AB115,AB115-Z115)/BL115,1),""))</f>
        <v/>
      </c>
      <c r="AU115" s="68" t="str">
        <f aca="false">IF(OR(AA115="",AC115=""),"",IF(AA115=AC115,"No","Yes"))</f>
        <v/>
      </c>
      <c r="AV115" s="81" t="str">
        <f aca="false">IF(OR(B115="",BL115="",BM115="",AB115="",AC115=""),"",IFERROR(ROUND(AI115/(ABS(AB115-AC115)/BL115*BM115),2),""))</f>
        <v/>
      </c>
      <c r="AW115" s="76" t="str">
        <f aca="false">IF(B115="","",ROUND(BK115+SUMIFS(AM$5:AM114,BJ$5:BJ114,BJ115),2))</f>
        <v/>
      </c>
      <c r="AX115" s="66" t="str">
        <f aca="false">IF(B115="","",COUNTIFS(B$6:B115,B115,BJ$6:BJ115,BJ115))</f>
        <v/>
      </c>
      <c r="AY115" s="79" t="str">
        <f aca="false">IF(B115="","",ROUND(SUMIFS(AM$5:AM114,B$5:B114,B115,BJ$5:BJ114,BJ115),2))</f>
        <v/>
      </c>
      <c r="AZ115" s="79" t="str">
        <f aca="false">IF(AM115="","",ROUND(AY115+AM115,2))</f>
        <v/>
      </c>
      <c r="BA115" s="79" t="str">
        <f aca="false">IF(B115="","",ROUND(SUMIFS(AM$5:AM114,B$5:B114,"&gt;="&amp;(B115-WEEKDAY(B115,2)+1),B$5:B114,"&lt;="&amp;B115,BJ$5:BJ114,BJ115),2))</f>
        <v/>
      </c>
      <c r="BB115" s="68" t="str">
        <f aca="false">IF(B115="","",IF(AND(AF115&lt;&gt;"",AV115&lt;&gt;"",N(AF115)&gt;N(AV115)*(1+Settings!$C$13)),"Oversized",IF(AX115&gt;Settings!$C$10,"Overtraded",IF(AY115&lt;=-Settings!$C$11*(AW115-AY115),"Daily loss hit",IF(BA115&lt;=-Settings!$C$12*(AW115-BA115),"Weekly loss hit","OK")))))</f>
        <v/>
      </c>
      <c r="BC115" s="69"/>
      <c r="BD115" s="69"/>
      <c r="BE115" s="69"/>
      <c r="BF115" s="73"/>
      <c r="BG115" s="73"/>
      <c r="BH115" s="71"/>
      <c r="BI115" s="71"/>
      <c r="BJ115" s="68" t="str">
        <f aca="false">IF(B115="","",IF(E115="",Settings!$F$5,E115))</f>
        <v/>
      </c>
      <c r="BK115" s="76" t="str">
        <f aca="false">IF(B115="","",IFERROR(INDEX(Settings!$G$5:$G$10,MATCH(BJ115,Settings!$F$5:$F$10,0)),Settings!$G$5))</f>
        <v/>
      </c>
      <c r="BL115" s="82" t="str">
        <f aca="false">IF(I115="","",IFERROR(1/(1/INDEX(Lists!$C$6:$C$17,MATCH(I115,Lists!$B$6:$B$17,0))),""))</f>
        <v/>
      </c>
      <c r="BM115" s="81" t="str">
        <f aca="false">IF(I115="","",IFERROR(1/(1/INDEX(Lists!$D$6:$D$17,MATCH(I115,Lists!$B$6:$B$17,0))),""))</f>
        <v/>
      </c>
      <c r="BN115" s="76" t="str">
        <f aca="false">IF(AN115="","",MAX(BK115,_xlfn.MAXIFS(AN$6:AN115,BJ$6:BJ115,BJ115)))</f>
        <v/>
      </c>
      <c r="BO115" s="83" t="str">
        <f aca="false">IF(AN115="","",(AN115-BN115)/BN115)</f>
        <v/>
      </c>
      <c r="BP115" s="66" t="n">
        <f aca="false">IF(OR(B115="",AL115=""),0,IF(OR(Settings!$C$28="All Accounts",BJ115=Settings!$C$28),1,0))</f>
        <v>0</v>
      </c>
      <c r="BQ115" s="66" t="str">
        <f aca="false">IF(BP115=1,SUM(BP$6:BP115),"")</f>
        <v/>
      </c>
      <c r="BR115" s="76" t="str">
        <f aca="false">IF(BP115=1,ROUND(Settings!$C$29+SUMIFS(AM$6:AM115,BP$6:BP115,1),2),"")</f>
        <v/>
      </c>
      <c r="BS115" s="76" t="str">
        <f aca="false">IF(BP115=1,MAX(Settings!$C$29,MAX(BR$6:BR115)),"")</f>
        <v/>
      </c>
      <c r="BT115" s="83" t="str">
        <f aca="false">IF(BP115=1,(BR115-BS115)/BS115,"")</f>
        <v/>
      </c>
      <c r="BU115" s="66" t="str">
        <f aca="false">IF(BP115=1,IF(AL115="Win",1+IF(BQ115=1,0,INDEX(BU$5:BU114,MATCH(BQ115-1,BQ$5:BQ114,0))),0),"")</f>
        <v/>
      </c>
      <c r="BV115" s="66" t="str">
        <f aca="false">IF(BP115=1,IF(AL115="Loss",1+IF(BQ115=1,0,INDEX(BV$5:BV114,MATCH(BQ115-1,BQ$5:BQ114,0))),0),"")</f>
        <v/>
      </c>
    </row>
    <row r="116" customFormat="false" ht="15" hidden="false" customHeight="false" outlineLevel="0" collapsed="false">
      <c r="A116" s="66" t="str">
        <f aca="false">IF(B116="","",ROW()-5)</f>
        <v/>
      </c>
      <c r="B116" s="67"/>
      <c r="C116" s="68" t="str">
        <f aca="false">IF(B116="","",CHOOSE(WEEKDAY(B116,2),"Mon","Tue","Wed","Thu","Fri","Sat","Sun"))</f>
        <v/>
      </c>
      <c r="D116" s="66" t="str">
        <f aca="false">IF(B116="","",WEEKNUM(B116,2))</f>
        <v/>
      </c>
      <c r="E116" s="69"/>
      <c r="F116" s="69"/>
      <c r="G116" s="70"/>
      <c r="H116" s="70"/>
      <c r="I116" s="69"/>
      <c r="J116" s="69"/>
      <c r="K116" s="69"/>
      <c r="L116" s="71"/>
      <c r="M116" s="69"/>
      <c r="N116" s="69"/>
      <c r="O116" s="69"/>
      <c r="P116" s="71"/>
      <c r="Q116" s="69"/>
      <c r="R116" s="69"/>
      <c r="S116" s="69"/>
      <c r="T116" s="69"/>
      <c r="U116" s="69"/>
      <c r="V116" s="69"/>
      <c r="W116" s="69"/>
      <c r="X116" s="66" t="str">
        <f aca="false">IF(B116="","",COUNTIF(Q116:W116,"Yes"))</f>
        <v/>
      </c>
      <c r="Y116" s="68" t="str">
        <f aca="false">IF(B116="","",IF(X116&gt;=Settings!$C$16,"A+",IF(X116&gt;=Settings!$C$17,"A",IF(X116&gt;=Settings!$C$18,"B","C"))))</f>
        <v/>
      </c>
      <c r="Z116" s="72"/>
      <c r="AA116" s="72"/>
      <c r="AB116" s="72"/>
      <c r="AC116" s="72"/>
      <c r="AD116" s="72"/>
      <c r="AE116" s="72"/>
      <c r="AF116" s="73"/>
      <c r="AG116" s="74"/>
      <c r="AH116" s="75"/>
      <c r="AI116" s="76" t="str">
        <f aca="false">IF(B116="","",ROUND(IF(AG116="",Settings!$C$5,AG116)*AW116,2))</f>
        <v/>
      </c>
      <c r="AJ116" s="77" t="str">
        <f aca="false">IF(OR(B116="",AB116="",AC116="",AD116=""),"",IFERROR(ROUND(ABS(AD116-AB116)/ABS(AB116-AC116),2),""))</f>
        <v/>
      </c>
      <c r="AK116" s="78" t="str">
        <f aca="false">IF(OR(B116="",AB116="",AC116="",AE116=""),"",IFERROR(ROUND(IF(J116="Short",AB116-AE116,AE116-AB116)/ABS(AB116-AC116),2),""))</f>
        <v/>
      </c>
      <c r="AL116" s="68" t="str">
        <f aca="false">IF(AK116="","",IF(ABS(AK116)&lt;=Settings!$C$6,"BE",IF(AK116&gt;0,"Win","Loss")))</f>
        <v/>
      </c>
      <c r="AM116" s="79" t="str">
        <f aca="false">IF(OR(AK116="",AI116=""),"",ROUND(AK116*AI116-N(AH116),2))</f>
        <v/>
      </c>
      <c r="AN116" s="76" t="str">
        <f aca="false">IF(AM116="","",ROUND(BK116+SUMIFS(AM$6:AM116,BJ$6:BJ116,BJ116),2))</f>
        <v/>
      </c>
      <c r="AO116" s="78" t="str">
        <f aca="false">IF(AK116="","",ROUND(SUMIFS(AK$6:AK116,BJ$6:BJ116,BJ116),2))</f>
        <v/>
      </c>
      <c r="AP116" s="80" t="str">
        <f aca="false">IF(OR(AK116="",BL116=""),"",IFERROR(ROUND(IF(J116="Short",AB116-AE116,AE116-AB116)/BL116,1),""))</f>
        <v/>
      </c>
      <c r="AQ116" s="66" t="str">
        <f aca="false">IF(OR(G116="",H116=""),"",ROUND(MOD(H116-G116,1)*1440,0))</f>
        <v/>
      </c>
      <c r="AR116" s="68" t="str">
        <f aca="false">IF(AQ116="","",IF(AQ116&lt;15,"Under 15m",IF(AQ116&lt;60,"15-60m",IF(AQ116&lt;240,"1-4 hours","4+ hours"))))</f>
        <v/>
      </c>
      <c r="AS116" s="66" t="str">
        <f aca="false">IF(G116="","",HOUR(G116))</f>
        <v/>
      </c>
      <c r="AT116" s="80" t="str">
        <f aca="false">IF(OR(Z116="",AB116="",BL116=""),"",IFERROR(ROUND(IF(J116="Short",Z116-AB116,AB116-Z116)/BL116,1),""))</f>
        <v/>
      </c>
      <c r="AU116" s="68" t="str">
        <f aca="false">IF(OR(AA116="",AC116=""),"",IF(AA116=AC116,"No","Yes"))</f>
        <v/>
      </c>
      <c r="AV116" s="81" t="str">
        <f aca="false">IF(OR(B116="",BL116="",BM116="",AB116="",AC116=""),"",IFERROR(ROUND(AI116/(ABS(AB116-AC116)/BL116*BM116),2),""))</f>
        <v/>
      </c>
      <c r="AW116" s="76" t="str">
        <f aca="false">IF(B116="","",ROUND(BK116+SUMIFS(AM$5:AM115,BJ$5:BJ115,BJ116),2))</f>
        <v/>
      </c>
      <c r="AX116" s="66" t="str">
        <f aca="false">IF(B116="","",COUNTIFS(B$6:B116,B116,BJ$6:BJ116,BJ116))</f>
        <v/>
      </c>
      <c r="AY116" s="79" t="str">
        <f aca="false">IF(B116="","",ROUND(SUMIFS(AM$5:AM115,B$5:B115,B116,BJ$5:BJ115,BJ116),2))</f>
        <v/>
      </c>
      <c r="AZ116" s="79" t="str">
        <f aca="false">IF(AM116="","",ROUND(AY116+AM116,2))</f>
        <v/>
      </c>
      <c r="BA116" s="79" t="str">
        <f aca="false">IF(B116="","",ROUND(SUMIFS(AM$5:AM115,B$5:B115,"&gt;="&amp;(B116-WEEKDAY(B116,2)+1),B$5:B115,"&lt;="&amp;B116,BJ$5:BJ115,BJ116),2))</f>
        <v/>
      </c>
      <c r="BB116" s="68" t="str">
        <f aca="false">IF(B116="","",IF(AND(AF116&lt;&gt;"",AV116&lt;&gt;"",N(AF116)&gt;N(AV116)*(1+Settings!$C$13)),"Oversized",IF(AX116&gt;Settings!$C$10,"Overtraded",IF(AY116&lt;=-Settings!$C$11*(AW116-AY116),"Daily loss hit",IF(BA116&lt;=-Settings!$C$12*(AW116-BA116),"Weekly loss hit","OK")))))</f>
        <v/>
      </c>
      <c r="BC116" s="69"/>
      <c r="BD116" s="69"/>
      <c r="BE116" s="69"/>
      <c r="BF116" s="73"/>
      <c r="BG116" s="73"/>
      <c r="BH116" s="71"/>
      <c r="BI116" s="71"/>
      <c r="BJ116" s="68" t="str">
        <f aca="false">IF(B116="","",IF(E116="",Settings!$F$5,E116))</f>
        <v/>
      </c>
      <c r="BK116" s="76" t="str">
        <f aca="false">IF(B116="","",IFERROR(INDEX(Settings!$G$5:$G$10,MATCH(BJ116,Settings!$F$5:$F$10,0)),Settings!$G$5))</f>
        <v/>
      </c>
      <c r="BL116" s="82" t="str">
        <f aca="false">IF(I116="","",IFERROR(1/(1/INDEX(Lists!$C$6:$C$17,MATCH(I116,Lists!$B$6:$B$17,0))),""))</f>
        <v/>
      </c>
      <c r="BM116" s="81" t="str">
        <f aca="false">IF(I116="","",IFERROR(1/(1/INDEX(Lists!$D$6:$D$17,MATCH(I116,Lists!$B$6:$B$17,0))),""))</f>
        <v/>
      </c>
      <c r="BN116" s="76" t="str">
        <f aca="false">IF(AN116="","",MAX(BK116,_xlfn.MAXIFS(AN$6:AN116,BJ$6:BJ116,BJ116)))</f>
        <v/>
      </c>
      <c r="BO116" s="83" t="str">
        <f aca="false">IF(AN116="","",(AN116-BN116)/BN116)</f>
        <v/>
      </c>
      <c r="BP116" s="66" t="n">
        <f aca="false">IF(OR(B116="",AL116=""),0,IF(OR(Settings!$C$28="All Accounts",BJ116=Settings!$C$28),1,0))</f>
        <v>0</v>
      </c>
      <c r="BQ116" s="66" t="str">
        <f aca="false">IF(BP116=1,SUM(BP$6:BP116),"")</f>
        <v/>
      </c>
      <c r="BR116" s="76" t="str">
        <f aca="false">IF(BP116=1,ROUND(Settings!$C$29+SUMIFS(AM$6:AM116,BP$6:BP116,1),2),"")</f>
        <v/>
      </c>
      <c r="BS116" s="76" t="str">
        <f aca="false">IF(BP116=1,MAX(Settings!$C$29,MAX(BR$6:BR116)),"")</f>
        <v/>
      </c>
      <c r="BT116" s="83" t="str">
        <f aca="false">IF(BP116=1,(BR116-BS116)/BS116,"")</f>
        <v/>
      </c>
      <c r="BU116" s="66" t="str">
        <f aca="false">IF(BP116=1,IF(AL116="Win",1+IF(BQ116=1,0,INDEX(BU$5:BU115,MATCH(BQ116-1,BQ$5:BQ115,0))),0),"")</f>
        <v/>
      </c>
      <c r="BV116" s="66" t="str">
        <f aca="false">IF(BP116=1,IF(AL116="Loss",1+IF(BQ116=1,0,INDEX(BV$5:BV115,MATCH(BQ116-1,BQ$5:BQ115,0))),0),"")</f>
        <v/>
      </c>
    </row>
    <row r="117" customFormat="false" ht="15" hidden="false" customHeight="false" outlineLevel="0" collapsed="false">
      <c r="A117" s="66" t="str">
        <f aca="false">IF(B117="","",ROW()-5)</f>
        <v/>
      </c>
      <c r="B117" s="67"/>
      <c r="C117" s="68" t="str">
        <f aca="false">IF(B117="","",CHOOSE(WEEKDAY(B117,2),"Mon","Tue","Wed","Thu","Fri","Sat","Sun"))</f>
        <v/>
      </c>
      <c r="D117" s="66" t="str">
        <f aca="false">IF(B117="","",WEEKNUM(B117,2))</f>
        <v/>
      </c>
      <c r="E117" s="69"/>
      <c r="F117" s="69"/>
      <c r="G117" s="70"/>
      <c r="H117" s="70"/>
      <c r="I117" s="69"/>
      <c r="J117" s="69"/>
      <c r="K117" s="69"/>
      <c r="L117" s="71"/>
      <c r="M117" s="69"/>
      <c r="N117" s="69"/>
      <c r="O117" s="69"/>
      <c r="P117" s="71"/>
      <c r="Q117" s="69"/>
      <c r="R117" s="69"/>
      <c r="S117" s="69"/>
      <c r="T117" s="69"/>
      <c r="U117" s="69"/>
      <c r="V117" s="69"/>
      <c r="W117" s="69"/>
      <c r="X117" s="66" t="str">
        <f aca="false">IF(B117="","",COUNTIF(Q117:W117,"Yes"))</f>
        <v/>
      </c>
      <c r="Y117" s="68" t="str">
        <f aca="false">IF(B117="","",IF(X117&gt;=Settings!$C$16,"A+",IF(X117&gt;=Settings!$C$17,"A",IF(X117&gt;=Settings!$C$18,"B","C"))))</f>
        <v/>
      </c>
      <c r="Z117" s="72"/>
      <c r="AA117" s="72"/>
      <c r="AB117" s="72"/>
      <c r="AC117" s="72"/>
      <c r="AD117" s="72"/>
      <c r="AE117" s="72"/>
      <c r="AF117" s="73"/>
      <c r="AG117" s="74"/>
      <c r="AH117" s="75"/>
      <c r="AI117" s="76" t="str">
        <f aca="false">IF(B117="","",ROUND(IF(AG117="",Settings!$C$5,AG117)*AW117,2))</f>
        <v/>
      </c>
      <c r="AJ117" s="77" t="str">
        <f aca="false">IF(OR(B117="",AB117="",AC117="",AD117=""),"",IFERROR(ROUND(ABS(AD117-AB117)/ABS(AB117-AC117),2),""))</f>
        <v/>
      </c>
      <c r="AK117" s="78" t="str">
        <f aca="false">IF(OR(B117="",AB117="",AC117="",AE117=""),"",IFERROR(ROUND(IF(J117="Short",AB117-AE117,AE117-AB117)/ABS(AB117-AC117),2),""))</f>
        <v/>
      </c>
      <c r="AL117" s="68" t="str">
        <f aca="false">IF(AK117="","",IF(ABS(AK117)&lt;=Settings!$C$6,"BE",IF(AK117&gt;0,"Win","Loss")))</f>
        <v/>
      </c>
      <c r="AM117" s="79" t="str">
        <f aca="false">IF(OR(AK117="",AI117=""),"",ROUND(AK117*AI117-N(AH117),2))</f>
        <v/>
      </c>
      <c r="AN117" s="76" t="str">
        <f aca="false">IF(AM117="","",ROUND(BK117+SUMIFS(AM$6:AM117,BJ$6:BJ117,BJ117),2))</f>
        <v/>
      </c>
      <c r="AO117" s="78" t="str">
        <f aca="false">IF(AK117="","",ROUND(SUMIFS(AK$6:AK117,BJ$6:BJ117,BJ117),2))</f>
        <v/>
      </c>
      <c r="AP117" s="80" t="str">
        <f aca="false">IF(OR(AK117="",BL117=""),"",IFERROR(ROUND(IF(J117="Short",AB117-AE117,AE117-AB117)/BL117,1),""))</f>
        <v/>
      </c>
      <c r="AQ117" s="66" t="str">
        <f aca="false">IF(OR(G117="",H117=""),"",ROUND(MOD(H117-G117,1)*1440,0))</f>
        <v/>
      </c>
      <c r="AR117" s="68" t="str">
        <f aca="false">IF(AQ117="","",IF(AQ117&lt;15,"Under 15m",IF(AQ117&lt;60,"15-60m",IF(AQ117&lt;240,"1-4 hours","4+ hours"))))</f>
        <v/>
      </c>
      <c r="AS117" s="66" t="str">
        <f aca="false">IF(G117="","",HOUR(G117))</f>
        <v/>
      </c>
      <c r="AT117" s="80" t="str">
        <f aca="false">IF(OR(Z117="",AB117="",BL117=""),"",IFERROR(ROUND(IF(J117="Short",Z117-AB117,AB117-Z117)/BL117,1),""))</f>
        <v/>
      </c>
      <c r="AU117" s="68" t="str">
        <f aca="false">IF(OR(AA117="",AC117=""),"",IF(AA117=AC117,"No","Yes"))</f>
        <v/>
      </c>
      <c r="AV117" s="81" t="str">
        <f aca="false">IF(OR(B117="",BL117="",BM117="",AB117="",AC117=""),"",IFERROR(ROUND(AI117/(ABS(AB117-AC117)/BL117*BM117),2),""))</f>
        <v/>
      </c>
      <c r="AW117" s="76" t="str">
        <f aca="false">IF(B117="","",ROUND(BK117+SUMIFS(AM$5:AM116,BJ$5:BJ116,BJ117),2))</f>
        <v/>
      </c>
      <c r="AX117" s="66" t="str">
        <f aca="false">IF(B117="","",COUNTIFS(B$6:B117,B117,BJ$6:BJ117,BJ117))</f>
        <v/>
      </c>
      <c r="AY117" s="79" t="str">
        <f aca="false">IF(B117="","",ROUND(SUMIFS(AM$5:AM116,B$5:B116,B117,BJ$5:BJ116,BJ117),2))</f>
        <v/>
      </c>
      <c r="AZ117" s="79" t="str">
        <f aca="false">IF(AM117="","",ROUND(AY117+AM117,2))</f>
        <v/>
      </c>
      <c r="BA117" s="79" t="str">
        <f aca="false">IF(B117="","",ROUND(SUMIFS(AM$5:AM116,B$5:B116,"&gt;="&amp;(B117-WEEKDAY(B117,2)+1),B$5:B116,"&lt;="&amp;B117,BJ$5:BJ116,BJ117),2))</f>
        <v/>
      </c>
      <c r="BB117" s="68" t="str">
        <f aca="false">IF(B117="","",IF(AND(AF117&lt;&gt;"",AV117&lt;&gt;"",N(AF117)&gt;N(AV117)*(1+Settings!$C$13)),"Oversized",IF(AX117&gt;Settings!$C$10,"Overtraded",IF(AY117&lt;=-Settings!$C$11*(AW117-AY117),"Daily loss hit",IF(BA117&lt;=-Settings!$C$12*(AW117-BA117),"Weekly loss hit","OK")))))</f>
        <v/>
      </c>
      <c r="BC117" s="69"/>
      <c r="BD117" s="69"/>
      <c r="BE117" s="69"/>
      <c r="BF117" s="73"/>
      <c r="BG117" s="73"/>
      <c r="BH117" s="71"/>
      <c r="BI117" s="71"/>
      <c r="BJ117" s="68" t="str">
        <f aca="false">IF(B117="","",IF(E117="",Settings!$F$5,E117))</f>
        <v/>
      </c>
      <c r="BK117" s="76" t="str">
        <f aca="false">IF(B117="","",IFERROR(INDEX(Settings!$G$5:$G$10,MATCH(BJ117,Settings!$F$5:$F$10,0)),Settings!$G$5))</f>
        <v/>
      </c>
      <c r="BL117" s="82" t="str">
        <f aca="false">IF(I117="","",IFERROR(1/(1/INDEX(Lists!$C$6:$C$17,MATCH(I117,Lists!$B$6:$B$17,0))),""))</f>
        <v/>
      </c>
      <c r="BM117" s="81" t="str">
        <f aca="false">IF(I117="","",IFERROR(1/(1/INDEX(Lists!$D$6:$D$17,MATCH(I117,Lists!$B$6:$B$17,0))),""))</f>
        <v/>
      </c>
      <c r="BN117" s="76" t="str">
        <f aca="false">IF(AN117="","",MAX(BK117,_xlfn.MAXIFS(AN$6:AN117,BJ$6:BJ117,BJ117)))</f>
        <v/>
      </c>
      <c r="BO117" s="83" t="str">
        <f aca="false">IF(AN117="","",(AN117-BN117)/BN117)</f>
        <v/>
      </c>
      <c r="BP117" s="66" t="n">
        <f aca="false">IF(OR(B117="",AL117=""),0,IF(OR(Settings!$C$28="All Accounts",BJ117=Settings!$C$28),1,0))</f>
        <v>0</v>
      </c>
      <c r="BQ117" s="66" t="str">
        <f aca="false">IF(BP117=1,SUM(BP$6:BP117),"")</f>
        <v/>
      </c>
      <c r="BR117" s="76" t="str">
        <f aca="false">IF(BP117=1,ROUND(Settings!$C$29+SUMIFS(AM$6:AM117,BP$6:BP117,1),2),"")</f>
        <v/>
      </c>
      <c r="BS117" s="76" t="str">
        <f aca="false">IF(BP117=1,MAX(Settings!$C$29,MAX(BR$6:BR117)),"")</f>
        <v/>
      </c>
      <c r="BT117" s="83" t="str">
        <f aca="false">IF(BP117=1,(BR117-BS117)/BS117,"")</f>
        <v/>
      </c>
      <c r="BU117" s="66" t="str">
        <f aca="false">IF(BP117=1,IF(AL117="Win",1+IF(BQ117=1,0,INDEX(BU$5:BU116,MATCH(BQ117-1,BQ$5:BQ116,0))),0),"")</f>
        <v/>
      </c>
      <c r="BV117" s="66" t="str">
        <f aca="false">IF(BP117=1,IF(AL117="Loss",1+IF(BQ117=1,0,INDEX(BV$5:BV116,MATCH(BQ117-1,BQ$5:BQ116,0))),0),"")</f>
        <v/>
      </c>
    </row>
    <row r="118" customFormat="false" ht="15" hidden="false" customHeight="false" outlineLevel="0" collapsed="false">
      <c r="A118" s="66" t="str">
        <f aca="false">IF(B118="","",ROW()-5)</f>
        <v/>
      </c>
      <c r="B118" s="67"/>
      <c r="C118" s="68" t="str">
        <f aca="false">IF(B118="","",CHOOSE(WEEKDAY(B118,2),"Mon","Tue","Wed","Thu","Fri","Sat","Sun"))</f>
        <v/>
      </c>
      <c r="D118" s="66" t="str">
        <f aca="false">IF(B118="","",WEEKNUM(B118,2))</f>
        <v/>
      </c>
      <c r="E118" s="69"/>
      <c r="F118" s="69"/>
      <c r="G118" s="70"/>
      <c r="H118" s="70"/>
      <c r="I118" s="69"/>
      <c r="J118" s="69"/>
      <c r="K118" s="69"/>
      <c r="L118" s="71"/>
      <c r="M118" s="69"/>
      <c r="N118" s="69"/>
      <c r="O118" s="69"/>
      <c r="P118" s="71"/>
      <c r="Q118" s="69"/>
      <c r="R118" s="69"/>
      <c r="S118" s="69"/>
      <c r="T118" s="69"/>
      <c r="U118" s="69"/>
      <c r="V118" s="69"/>
      <c r="W118" s="69"/>
      <c r="X118" s="66" t="str">
        <f aca="false">IF(B118="","",COUNTIF(Q118:W118,"Yes"))</f>
        <v/>
      </c>
      <c r="Y118" s="68" t="str">
        <f aca="false">IF(B118="","",IF(X118&gt;=Settings!$C$16,"A+",IF(X118&gt;=Settings!$C$17,"A",IF(X118&gt;=Settings!$C$18,"B","C"))))</f>
        <v/>
      </c>
      <c r="Z118" s="72"/>
      <c r="AA118" s="72"/>
      <c r="AB118" s="72"/>
      <c r="AC118" s="72"/>
      <c r="AD118" s="72"/>
      <c r="AE118" s="72"/>
      <c r="AF118" s="73"/>
      <c r="AG118" s="74"/>
      <c r="AH118" s="75"/>
      <c r="AI118" s="76" t="str">
        <f aca="false">IF(B118="","",ROUND(IF(AG118="",Settings!$C$5,AG118)*AW118,2))</f>
        <v/>
      </c>
      <c r="AJ118" s="77" t="str">
        <f aca="false">IF(OR(B118="",AB118="",AC118="",AD118=""),"",IFERROR(ROUND(ABS(AD118-AB118)/ABS(AB118-AC118),2),""))</f>
        <v/>
      </c>
      <c r="AK118" s="78" t="str">
        <f aca="false">IF(OR(B118="",AB118="",AC118="",AE118=""),"",IFERROR(ROUND(IF(J118="Short",AB118-AE118,AE118-AB118)/ABS(AB118-AC118),2),""))</f>
        <v/>
      </c>
      <c r="AL118" s="68" t="str">
        <f aca="false">IF(AK118="","",IF(ABS(AK118)&lt;=Settings!$C$6,"BE",IF(AK118&gt;0,"Win","Loss")))</f>
        <v/>
      </c>
      <c r="AM118" s="79" t="str">
        <f aca="false">IF(OR(AK118="",AI118=""),"",ROUND(AK118*AI118-N(AH118),2))</f>
        <v/>
      </c>
      <c r="AN118" s="76" t="str">
        <f aca="false">IF(AM118="","",ROUND(BK118+SUMIFS(AM$6:AM118,BJ$6:BJ118,BJ118),2))</f>
        <v/>
      </c>
      <c r="AO118" s="78" t="str">
        <f aca="false">IF(AK118="","",ROUND(SUMIFS(AK$6:AK118,BJ$6:BJ118,BJ118),2))</f>
        <v/>
      </c>
      <c r="AP118" s="80" t="str">
        <f aca="false">IF(OR(AK118="",BL118=""),"",IFERROR(ROUND(IF(J118="Short",AB118-AE118,AE118-AB118)/BL118,1),""))</f>
        <v/>
      </c>
      <c r="AQ118" s="66" t="str">
        <f aca="false">IF(OR(G118="",H118=""),"",ROUND(MOD(H118-G118,1)*1440,0))</f>
        <v/>
      </c>
      <c r="AR118" s="68" t="str">
        <f aca="false">IF(AQ118="","",IF(AQ118&lt;15,"Under 15m",IF(AQ118&lt;60,"15-60m",IF(AQ118&lt;240,"1-4 hours","4+ hours"))))</f>
        <v/>
      </c>
      <c r="AS118" s="66" t="str">
        <f aca="false">IF(G118="","",HOUR(G118))</f>
        <v/>
      </c>
      <c r="AT118" s="80" t="str">
        <f aca="false">IF(OR(Z118="",AB118="",BL118=""),"",IFERROR(ROUND(IF(J118="Short",Z118-AB118,AB118-Z118)/BL118,1),""))</f>
        <v/>
      </c>
      <c r="AU118" s="68" t="str">
        <f aca="false">IF(OR(AA118="",AC118=""),"",IF(AA118=AC118,"No","Yes"))</f>
        <v/>
      </c>
      <c r="AV118" s="81" t="str">
        <f aca="false">IF(OR(B118="",BL118="",BM118="",AB118="",AC118=""),"",IFERROR(ROUND(AI118/(ABS(AB118-AC118)/BL118*BM118),2),""))</f>
        <v/>
      </c>
      <c r="AW118" s="76" t="str">
        <f aca="false">IF(B118="","",ROUND(BK118+SUMIFS(AM$5:AM117,BJ$5:BJ117,BJ118),2))</f>
        <v/>
      </c>
      <c r="AX118" s="66" t="str">
        <f aca="false">IF(B118="","",COUNTIFS(B$6:B118,B118,BJ$6:BJ118,BJ118))</f>
        <v/>
      </c>
      <c r="AY118" s="79" t="str">
        <f aca="false">IF(B118="","",ROUND(SUMIFS(AM$5:AM117,B$5:B117,B118,BJ$5:BJ117,BJ118),2))</f>
        <v/>
      </c>
      <c r="AZ118" s="79" t="str">
        <f aca="false">IF(AM118="","",ROUND(AY118+AM118,2))</f>
        <v/>
      </c>
      <c r="BA118" s="79" t="str">
        <f aca="false">IF(B118="","",ROUND(SUMIFS(AM$5:AM117,B$5:B117,"&gt;="&amp;(B118-WEEKDAY(B118,2)+1),B$5:B117,"&lt;="&amp;B118,BJ$5:BJ117,BJ118),2))</f>
        <v/>
      </c>
      <c r="BB118" s="68" t="str">
        <f aca="false">IF(B118="","",IF(AND(AF118&lt;&gt;"",AV118&lt;&gt;"",N(AF118)&gt;N(AV118)*(1+Settings!$C$13)),"Oversized",IF(AX118&gt;Settings!$C$10,"Overtraded",IF(AY118&lt;=-Settings!$C$11*(AW118-AY118),"Daily loss hit",IF(BA118&lt;=-Settings!$C$12*(AW118-BA118),"Weekly loss hit","OK")))))</f>
        <v/>
      </c>
      <c r="BC118" s="69"/>
      <c r="BD118" s="69"/>
      <c r="BE118" s="69"/>
      <c r="BF118" s="73"/>
      <c r="BG118" s="73"/>
      <c r="BH118" s="71"/>
      <c r="BI118" s="71"/>
      <c r="BJ118" s="68" t="str">
        <f aca="false">IF(B118="","",IF(E118="",Settings!$F$5,E118))</f>
        <v/>
      </c>
      <c r="BK118" s="76" t="str">
        <f aca="false">IF(B118="","",IFERROR(INDEX(Settings!$G$5:$G$10,MATCH(BJ118,Settings!$F$5:$F$10,0)),Settings!$G$5))</f>
        <v/>
      </c>
      <c r="BL118" s="82" t="str">
        <f aca="false">IF(I118="","",IFERROR(1/(1/INDEX(Lists!$C$6:$C$17,MATCH(I118,Lists!$B$6:$B$17,0))),""))</f>
        <v/>
      </c>
      <c r="BM118" s="81" t="str">
        <f aca="false">IF(I118="","",IFERROR(1/(1/INDEX(Lists!$D$6:$D$17,MATCH(I118,Lists!$B$6:$B$17,0))),""))</f>
        <v/>
      </c>
      <c r="BN118" s="76" t="str">
        <f aca="false">IF(AN118="","",MAX(BK118,_xlfn.MAXIFS(AN$6:AN118,BJ$6:BJ118,BJ118)))</f>
        <v/>
      </c>
      <c r="BO118" s="83" t="str">
        <f aca="false">IF(AN118="","",(AN118-BN118)/BN118)</f>
        <v/>
      </c>
      <c r="BP118" s="66" t="n">
        <f aca="false">IF(OR(B118="",AL118=""),0,IF(OR(Settings!$C$28="All Accounts",BJ118=Settings!$C$28),1,0))</f>
        <v>0</v>
      </c>
      <c r="BQ118" s="66" t="str">
        <f aca="false">IF(BP118=1,SUM(BP$6:BP118),"")</f>
        <v/>
      </c>
      <c r="BR118" s="76" t="str">
        <f aca="false">IF(BP118=1,ROUND(Settings!$C$29+SUMIFS(AM$6:AM118,BP$6:BP118,1),2),"")</f>
        <v/>
      </c>
      <c r="BS118" s="76" t="str">
        <f aca="false">IF(BP118=1,MAX(Settings!$C$29,MAX(BR$6:BR118)),"")</f>
        <v/>
      </c>
      <c r="BT118" s="83" t="str">
        <f aca="false">IF(BP118=1,(BR118-BS118)/BS118,"")</f>
        <v/>
      </c>
      <c r="BU118" s="66" t="str">
        <f aca="false">IF(BP118=1,IF(AL118="Win",1+IF(BQ118=1,0,INDEX(BU$5:BU117,MATCH(BQ118-1,BQ$5:BQ117,0))),0),"")</f>
        <v/>
      </c>
      <c r="BV118" s="66" t="str">
        <f aca="false">IF(BP118=1,IF(AL118="Loss",1+IF(BQ118=1,0,INDEX(BV$5:BV117,MATCH(BQ118-1,BQ$5:BQ117,0))),0),"")</f>
        <v/>
      </c>
    </row>
    <row r="119" customFormat="false" ht="15" hidden="false" customHeight="false" outlineLevel="0" collapsed="false">
      <c r="A119" s="66" t="str">
        <f aca="false">IF(B119="","",ROW()-5)</f>
        <v/>
      </c>
      <c r="B119" s="67"/>
      <c r="C119" s="68" t="str">
        <f aca="false">IF(B119="","",CHOOSE(WEEKDAY(B119,2),"Mon","Tue","Wed","Thu","Fri","Sat","Sun"))</f>
        <v/>
      </c>
      <c r="D119" s="66" t="str">
        <f aca="false">IF(B119="","",WEEKNUM(B119,2))</f>
        <v/>
      </c>
      <c r="E119" s="69"/>
      <c r="F119" s="69"/>
      <c r="G119" s="70"/>
      <c r="H119" s="70"/>
      <c r="I119" s="69"/>
      <c r="J119" s="69"/>
      <c r="K119" s="69"/>
      <c r="L119" s="71"/>
      <c r="M119" s="69"/>
      <c r="N119" s="69"/>
      <c r="O119" s="69"/>
      <c r="P119" s="71"/>
      <c r="Q119" s="69"/>
      <c r="R119" s="69"/>
      <c r="S119" s="69"/>
      <c r="T119" s="69"/>
      <c r="U119" s="69"/>
      <c r="V119" s="69"/>
      <c r="W119" s="69"/>
      <c r="X119" s="66" t="str">
        <f aca="false">IF(B119="","",COUNTIF(Q119:W119,"Yes"))</f>
        <v/>
      </c>
      <c r="Y119" s="68" t="str">
        <f aca="false">IF(B119="","",IF(X119&gt;=Settings!$C$16,"A+",IF(X119&gt;=Settings!$C$17,"A",IF(X119&gt;=Settings!$C$18,"B","C"))))</f>
        <v/>
      </c>
      <c r="Z119" s="72"/>
      <c r="AA119" s="72"/>
      <c r="AB119" s="72"/>
      <c r="AC119" s="72"/>
      <c r="AD119" s="72"/>
      <c r="AE119" s="72"/>
      <c r="AF119" s="73"/>
      <c r="AG119" s="74"/>
      <c r="AH119" s="75"/>
      <c r="AI119" s="76" t="str">
        <f aca="false">IF(B119="","",ROUND(IF(AG119="",Settings!$C$5,AG119)*AW119,2))</f>
        <v/>
      </c>
      <c r="AJ119" s="77" t="str">
        <f aca="false">IF(OR(B119="",AB119="",AC119="",AD119=""),"",IFERROR(ROUND(ABS(AD119-AB119)/ABS(AB119-AC119),2),""))</f>
        <v/>
      </c>
      <c r="AK119" s="78" t="str">
        <f aca="false">IF(OR(B119="",AB119="",AC119="",AE119=""),"",IFERROR(ROUND(IF(J119="Short",AB119-AE119,AE119-AB119)/ABS(AB119-AC119),2),""))</f>
        <v/>
      </c>
      <c r="AL119" s="68" t="str">
        <f aca="false">IF(AK119="","",IF(ABS(AK119)&lt;=Settings!$C$6,"BE",IF(AK119&gt;0,"Win","Loss")))</f>
        <v/>
      </c>
      <c r="AM119" s="79" t="str">
        <f aca="false">IF(OR(AK119="",AI119=""),"",ROUND(AK119*AI119-N(AH119),2))</f>
        <v/>
      </c>
      <c r="AN119" s="76" t="str">
        <f aca="false">IF(AM119="","",ROUND(BK119+SUMIFS(AM$6:AM119,BJ$6:BJ119,BJ119),2))</f>
        <v/>
      </c>
      <c r="AO119" s="78" t="str">
        <f aca="false">IF(AK119="","",ROUND(SUMIFS(AK$6:AK119,BJ$6:BJ119,BJ119),2))</f>
        <v/>
      </c>
      <c r="AP119" s="80" t="str">
        <f aca="false">IF(OR(AK119="",BL119=""),"",IFERROR(ROUND(IF(J119="Short",AB119-AE119,AE119-AB119)/BL119,1),""))</f>
        <v/>
      </c>
      <c r="AQ119" s="66" t="str">
        <f aca="false">IF(OR(G119="",H119=""),"",ROUND(MOD(H119-G119,1)*1440,0))</f>
        <v/>
      </c>
      <c r="AR119" s="68" t="str">
        <f aca="false">IF(AQ119="","",IF(AQ119&lt;15,"Under 15m",IF(AQ119&lt;60,"15-60m",IF(AQ119&lt;240,"1-4 hours","4+ hours"))))</f>
        <v/>
      </c>
      <c r="AS119" s="66" t="str">
        <f aca="false">IF(G119="","",HOUR(G119))</f>
        <v/>
      </c>
      <c r="AT119" s="80" t="str">
        <f aca="false">IF(OR(Z119="",AB119="",BL119=""),"",IFERROR(ROUND(IF(J119="Short",Z119-AB119,AB119-Z119)/BL119,1),""))</f>
        <v/>
      </c>
      <c r="AU119" s="68" t="str">
        <f aca="false">IF(OR(AA119="",AC119=""),"",IF(AA119=AC119,"No","Yes"))</f>
        <v/>
      </c>
      <c r="AV119" s="81" t="str">
        <f aca="false">IF(OR(B119="",BL119="",BM119="",AB119="",AC119=""),"",IFERROR(ROUND(AI119/(ABS(AB119-AC119)/BL119*BM119),2),""))</f>
        <v/>
      </c>
      <c r="AW119" s="76" t="str">
        <f aca="false">IF(B119="","",ROUND(BK119+SUMIFS(AM$5:AM118,BJ$5:BJ118,BJ119),2))</f>
        <v/>
      </c>
      <c r="AX119" s="66" t="str">
        <f aca="false">IF(B119="","",COUNTIFS(B$6:B119,B119,BJ$6:BJ119,BJ119))</f>
        <v/>
      </c>
      <c r="AY119" s="79" t="str">
        <f aca="false">IF(B119="","",ROUND(SUMIFS(AM$5:AM118,B$5:B118,B119,BJ$5:BJ118,BJ119),2))</f>
        <v/>
      </c>
      <c r="AZ119" s="79" t="str">
        <f aca="false">IF(AM119="","",ROUND(AY119+AM119,2))</f>
        <v/>
      </c>
      <c r="BA119" s="79" t="str">
        <f aca="false">IF(B119="","",ROUND(SUMIFS(AM$5:AM118,B$5:B118,"&gt;="&amp;(B119-WEEKDAY(B119,2)+1),B$5:B118,"&lt;="&amp;B119,BJ$5:BJ118,BJ119),2))</f>
        <v/>
      </c>
      <c r="BB119" s="68" t="str">
        <f aca="false">IF(B119="","",IF(AND(AF119&lt;&gt;"",AV119&lt;&gt;"",N(AF119)&gt;N(AV119)*(1+Settings!$C$13)),"Oversized",IF(AX119&gt;Settings!$C$10,"Overtraded",IF(AY119&lt;=-Settings!$C$11*(AW119-AY119),"Daily loss hit",IF(BA119&lt;=-Settings!$C$12*(AW119-BA119),"Weekly loss hit","OK")))))</f>
        <v/>
      </c>
      <c r="BC119" s="69"/>
      <c r="BD119" s="69"/>
      <c r="BE119" s="69"/>
      <c r="BF119" s="73"/>
      <c r="BG119" s="73"/>
      <c r="BH119" s="71"/>
      <c r="BI119" s="71"/>
      <c r="BJ119" s="68" t="str">
        <f aca="false">IF(B119="","",IF(E119="",Settings!$F$5,E119))</f>
        <v/>
      </c>
      <c r="BK119" s="76" t="str">
        <f aca="false">IF(B119="","",IFERROR(INDEX(Settings!$G$5:$G$10,MATCH(BJ119,Settings!$F$5:$F$10,0)),Settings!$G$5))</f>
        <v/>
      </c>
      <c r="BL119" s="82" t="str">
        <f aca="false">IF(I119="","",IFERROR(1/(1/INDEX(Lists!$C$6:$C$17,MATCH(I119,Lists!$B$6:$B$17,0))),""))</f>
        <v/>
      </c>
      <c r="BM119" s="81" t="str">
        <f aca="false">IF(I119="","",IFERROR(1/(1/INDEX(Lists!$D$6:$D$17,MATCH(I119,Lists!$B$6:$B$17,0))),""))</f>
        <v/>
      </c>
      <c r="BN119" s="76" t="str">
        <f aca="false">IF(AN119="","",MAX(BK119,_xlfn.MAXIFS(AN$6:AN119,BJ$6:BJ119,BJ119)))</f>
        <v/>
      </c>
      <c r="BO119" s="83" t="str">
        <f aca="false">IF(AN119="","",(AN119-BN119)/BN119)</f>
        <v/>
      </c>
      <c r="BP119" s="66" t="n">
        <f aca="false">IF(OR(B119="",AL119=""),0,IF(OR(Settings!$C$28="All Accounts",BJ119=Settings!$C$28),1,0))</f>
        <v>0</v>
      </c>
      <c r="BQ119" s="66" t="str">
        <f aca="false">IF(BP119=1,SUM(BP$6:BP119),"")</f>
        <v/>
      </c>
      <c r="BR119" s="76" t="str">
        <f aca="false">IF(BP119=1,ROUND(Settings!$C$29+SUMIFS(AM$6:AM119,BP$6:BP119,1),2),"")</f>
        <v/>
      </c>
      <c r="BS119" s="76" t="str">
        <f aca="false">IF(BP119=1,MAX(Settings!$C$29,MAX(BR$6:BR119)),"")</f>
        <v/>
      </c>
      <c r="BT119" s="83" t="str">
        <f aca="false">IF(BP119=1,(BR119-BS119)/BS119,"")</f>
        <v/>
      </c>
      <c r="BU119" s="66" t="str">
        <f aca="false">IF(BP119=1,IF(AL119="Win",1+IF(BQ119=1,0,INDEX(BU$5:BU118,MATCH(BQ119-1,BQ$5:BQ118,0))),0),"")</f>
        <v/>
      </c>
      <c r="BV119" s="66" t="str">
        <f aca="false">IF(BP119=1,IF(AL119="Loss",1+IF(BQ119=1,0,INDEX(BV$5:BV118,MATCH(BQ119-1,BQ$5:BQ118,0))),0),"")</f>
        <v/>
      </c>
    </row>
    <row r="120" customFormat="false" ht="15" hidden="false" customHeight="false" outlineLevel="0" collapsed="false">
      <c r="A120" s="66" t="str">
        <f aca="false">IF(B120="","",ROW()-5)</f>
        <v/>
      </c>
      <c r="B120" s="67"/>
      <c r="C120" s="68" t="str">
        <f aca="false">IF(B120="","",CHOOSE(WEEKDAY(B120,2),"Mon","Tue","Wed","Thu","Fri","Sat","Sun"))</f>
        <v/>
      </c>
      <c r="D120" s="66" t="str">
        <f aca="false">IF(B120="","",WEEKNUM(B120,2))</f>
        <v/>
      </c>
      <c r="E120" s="69"/>
      <c r="F120" s="69"/>
      <c r="G120" s="70"/>
      <c r="H120" s="70"/>
      <c r="I120" s="69"/>
      <c r="J120" s="69"/>
      <c r="K120" s="69"/>
      <c r="L120" s="71"/>
      <c r="M120" s="69"/>
      <c r="N120" s="69"/>
      <c r="O120" s="69"/>
      <c r="P120" s="71"/>
      <c r="Q120" s="69"/>
      <c r="R120" s="69"/>
      <c r="S120" s="69"/>
      <c r="T120" s="69"/>
      <c r="U120" s="69"/>
      <c r="V120" s="69"/>
      <c r="W120" s="69"/>
      <c r="X120" s="66" t="str">
        <f aca="false">IF(B120="","",COUNTIF(Q120:W120,"Yes"))</f>
        <v/>
      </c>
      <c r="Y120" s="68" t="str">
        <f aca="false">IF(B120="","",IF(X120&gt;=Settings!$C$16,"A+",IF(X120&gt;=Settings!$C$17,"A",IF(X120&gt;=Settings!$C$18,"B","C"))))</f>
        <v/>
      </c>
      <c r="Z120" s="72"/>
      <c r="AA120" s="72"/>
      <c r="AB120" s="72"/>
      <c r="AC120" s="72"/>
      <c r="AD120" s="72"/>
      <c r="AE120" s="72"/>
      <c r="AF120" s="73"/>
      <c r="AG120" s="74"/>
      <c r="AH120" s="75"/>
      <c r="AI120" s="76" t="str">
        <f aca="false">IF(B120="","",ROUND(IF(AG120="",Settings!$C$5,AG120)*AW120,2))</f>
        <v/>
      </c>
      <c r="AJ120" s="77" t="str">
        <f aca="false">IF(OR(B120="",AB120="",AC120="",AD120=""),"",IFERROR(ROUND(ABS(AD120-AB120)/ABS(AB120-AC120),2),""))</f>
        <v/>
      </c>
      <c r="AK120" s="78" t="str">
        <f aca="false">IF(OR(B120="",AB120="",AC120="",AE120=""),"",IFERROR(ROUND(IF(J120="Short",AB120-AE120,AE120-AB120)/ABS(AB120-AC120),2),""))</f>
        <v/>
      </c>
      <c r="AL120" s="68" t="str">
        <f aca="false">IF(AK120="","",IF(ABS(AK120)&lt;=Settings!$C$6,"BE",IF(AK120&gt;0,"Win","Loss")))</f>
        <v/>
      </c>
      <c r="AM120" s="79" t="str">
        <f aca="false">IF(OR(AK120="",AI120=""),"",ROUND(AK120*AI120-N(AH120),2))</f>
        <v/>
      </c>
      <c r="AN120" s="76" t="str">
        <f aca="false">IF(AM120="","",ROUND(BK120+SUMIFS(AM$6:AM120,BJ$6:BJ120,BJ120),2))</f>
        <v/>
      </c>
      <c r="AO120" s="78" t="str">
        <f aca="false">IF(AK120="","",ROUND(SUMIFS(AK$6:AK120,BJ$6:BJ120,BJ120),2))</f>
        <v/>
      </c>
      <c r="AP120" s="80" t="str">
        <f aca="false">IF(OR(AK120="",BL120=""),"",IFERROR(ROUND(IF(J120="Short",AB120-AE120,AE120-AB120)/BL120,1),""))</f>
        <v/>
      </c>
      <c r="AQ120" s="66" t="str">
        <f aca="false">IF(OR(G120="",H120=""),"",ROUND(MOD(H120-G120,1)*1440,0))</f>
        <v/>
      </c>
      <c r="AR120" s="68" t="str">
        <f aca="false">IF(AQ120="","",IF(AQ120&lt;15,"Under 15m",IF(AQ120&lt;60,"15-60m",IF(AQ120&lt;240,"1-4 hours","4+ hours"))))</f>
        <v/>
      </c>
      <c r="AS120" s="66" t="str">
        <f aca="false">IF(G120="","",HOUR(G120))</f>
        <v/>
      </c>
      <c r="AT120" s="80" t="str">
        <f aca="false">IF(OR(Z120="",AB120="",BL120=""),"",IFERROR(ROUND(IF(J120="Short",Z120-AB120,AB120-Z120)/BL120,1),""))</f>
        <v/>
      </c>
      <c r="AU120" s="68" t="str">
        <f aca="false">IF(OR(AA120="",AC120=""),"",IF(AA120=AC120,"No","Yes"))</f>
        <v/>
      </c>
      <c r="AV120" s="81" t="str">
        <f aca="false">IF(OR(B120="",BL120="",BM120="",AB120="",AC120=""),"",IFERROR(ROUND(AI120/(ABS(AB120-AC120)/BL120*BM120),2),""))</f>
        <v/>
      </c>
      <c r="AW120" s="76" t="str">
        <f aca="false">IF(B120="","",ROUND(BK120+SUMIFS(AM$5:AM119,BJ$5:BJ119,BJ120),2))</f>
        <v/>
      </c>
      <c r="AX120" s="66" t="str">
        <f aca="false">IF(B120="","",COUNTIFS(B$6:B120,B120,BJ$6:BJ120,BJ120))</f>
        <v/>
      </c>
      <c r="AY120" s="79" t="str">
        <f aca="false">IF(B120="","",ROUND(SUMIFS(AM$5:AM119,B$5:B119,B120,BJ$5:BJ119,BJ120),2))</f>
        <v/>
      </c>
      <c r="AZ120" s="79" t="str">
        <f aca="false">IF(AM120="","",ROUND(AY120+AM120,2))</f>
        <v/>
      </c>
      <c r="BA120" s="79" t="str">
        <f aca="false">IF(B120="","",ROUND(SUMIFS(AM$5:AM119,B$5:B119,"&gt;="&amp;(B120-WEEKDAY(B120,2)+1),B$5:B119,"&lt;="&amp;B120,BJ$5:BJ119,BJ120),2))</f>
        <v/>
      </c>
      <c r="BB120" s="68" t="str">
        <f aca="false">IF(B120="","",IF(AND(AF120&lt;&gt;"",AV120&lt;&gt;"",N(AF120)&gt;N(AV120)*(1+Settings!$C$13)),"Oversized",IF(AX120&gt;Settings!$C$10,"Overtraded",IF(AY120&lt;=-Settings!$C$11*(AW120-AY120),"Daily loss hit",IF(BA120&lt;=-Settings!$C$12*(AW120-BA120),"Weekly loss hit","OK")))))</f>
        <v/>
      </c>
      <c r="BC120" s="69"/>
      <c r="BD120" s="69"/>
      <c r="BE120" s="69"/>
      <c r="BF120" s="73"/>
      <c r="BG120" s="73"/>
      <c r="BH120" s="71"/>
      <c r="BI120" s="71"/>
      <c r="BJ120" s="68" t="str">
        <f aca="false">IF(B120="","",IF(E120="",Settings!$F$5,E120))</f>
        <v/>
      </c>
      <c r="BK120" s="76" t="str">
        <f aca="false">IF(B120="","",IFERROR(INDEX(Settings!$G$5:$G$10,MATCH(BJ120,Settings!$F$5:$F$10,0)),Settings!$G$5))</f>
        <v/>
      </c>
      <c r="BL120" s="82" t="str">
        <f aca="false">IF(I120="","",IFERROR(1/(1/INDEX(Lists!$C$6:$C$17,MATCH(I120,Lists!$B$6:$B$17,0))),""))</f>
        <v/>
      </c>
      <c r="BM120" s="81" t="str">
        <f aca="false">IF(I120="","",IFERROR(1/(1/INDEX(Lists!$D$6:$D$17,MATCH(I120,Lists!$B$6:$B$17,0))),""))</f>
        <v/>
      </c>
      <c r="BN120" s="76" t="str">
        <f aca="false">IF(AN120="","",MAX(BK120,_xlfn.MAXIFS(AN$6:AN120,BJ$6:BJ120,BJ120)))</f>
        <v/>
      </c>
      <c r="BO120" s="83" t="str">
        <f aca="false">IF(AN120="","",(AN120-BN120)/BN120)</f>
        <v/>
      </c>
      <c r="BP120" s="66" t="n">
        <f aca="false">IF(OR(B120="",AL120=""),0,IF(OR(Settings!$C$28="All Accounts",BJ120=Settings!$C$28),1,0))</f>
        <v>0</v>
      </c>
      <c r="BQ120" s="66" t="str">
        <f aca="false">IF(BP120=1,SUM(BP$6:BP120),"")</f>
        <v/>
      </c>
      <c r="BR120" s="76" t="str">
        <f aca="false">IF(BP120=1,ROUND(Settings!$C$29+SUMIFS(AM$6:AM120,BP$6:BP120,1),2),"")</f>
        <v/>
      </c>
      <c r="BS120" s="76" t="str">
        <f aca="false">IF(BP120=1,MAX(Settings!$C$29,MAX(BR$6:BR120)),"")</f>
        <v/>
      </c>
      <c r="BT120" s="83" t="str">
        <f aca="false">IF(BP120=1,(BR120-BS120)/BS120,"")</f>
        <v/>
      </c>
      <c r="BU120" s="66" t="str">
        <f aca="false">IF(BP120=1,IF(AL120="Win",1+IF(BQ120=1,0,INDEX(BU$5:BU119,MATCH(BQ120-1,BQ$5:BQ119,0))),0),"")</f>
        <v/>
      </c>
      <c r="BV120" s="66" t="str">
        <f aca="false">IF(BP120=1,IF(AL120="Loss",1+IF(BQ120=1,0,INDEX(BV$5:BV119,MATCH(BQ120-1,BQ$5:BQ119,0))),0),"")</f>
        <v/>
      </c>
    </row>
    <row r="121" customFormat="false" ht="15" hidden="false" customHeight="false" outlineLevel="0" collapsed="false">
      <c r="A121" s="66" t="str">
        <f aca="false">IF(B121="","",ROW()-5)</f>
        <v/>
      </c>
      <c r="B121" s="67"/>
      <c r="C121" s="68" t="str">
        <f aca="false">IF(B121="","",CHOOSE(WEEKDAY(B121,2),"Mon","Tue","Wed","Thu","Fri","Sat","Sun"))</f>
        <v/>
      </c>
      <c r="D121" s="66" t="str">
        <f aca="false">IF(B121="","",WEEKNUM(B121,2))</f>
        <v/>
      </c>
      <c r="E121" s="69"/>
      <c r="F121" s="69"/>
      <c r="G121" s="70"/>
      <c r="H121" s="70"/>
      <c r="I121" s="69"/>
      <c r="J121" s="69"/>
      <c r="K121" s="69"/>
      <c r="L121" s="71"/>
      <c r="M121" s="69"/>
      <c r="N121" s="69"/>
      <c r="O121" s="69"/>
      <c r="P121" s="71"/>
      <c r="Q121" s="69"/>
      <c r="R121" s="69"/>
      <c r="S121" s="69"/>
      <c r="T121" s="69"/>
      <c r="U121" s="69"/>
      <c r="V121" s="69"/>
      <c r="W121" s="69"/>
      <c r="X121" s="66" t="str">
        <f aca="false">IF(B121="","",COUNTIF(Q121:W121,"Yes"))</f>
        <v/>
      </c>
      <c r="Y121" s="68" t="str">
        <f aca="false">IF(B121="","",IF(X121&gt;=Settings!$C$16,"A+",IF(X121&gt;=Settings!$C$17,"A",IF(X121&gt;=Settings!$C$18,"B","C"))))</f>
        <v/>
      </c>
      <c r="Z121" s="72"/>
      <c r="AA121" s="72"/>
      <c r="AB121" s="72"/>
      <c r="AC121" s="72"/>
      <c r="AD121" s="72"/>
      <c r="AE121" s="72"/>
      <c r="AF121" s="73"/>
      <c r="AG121" s="74"/>
      <c r="AH121" s="75"/>
      <c r="AI121" s="76" t="str">
        <f aca="false">IF(B121="","",ROUND(IF(AG121="",Settings!$C$5,AG121)*AW121,2))</f>
        <v/>
      </c>
      <c r="AJ121" s="77" t="str">
        <f aca="false">IF(OR(B121="",AB121="",AC121="",AD121=""),"",IFERROR(ROUND(ABS(AD121-AB121)/ABS(AB121-AC121),2),""))</f>
        <v/>
      </c>
      <c r="AK121" s="78" t="str">
        <f aca="false">IF(OR(B121="",AB121="",AC121="",AE121=""),"",IFERROR(ROUND(IF(J121="Short",AB121-AE121,AE121-AB121)/ABS(AB121-AC121),2),""))</f>
        <v/>
      </c>
      <c r="AL121" s="68" t="str">
        <f aca="false">IF(AK121="","",IF(ABS(AK121)&lt;=Settings!$C$6,"BE",IF(AK121&gt;0,"Win","Loss")))</f>
        <v/>
      </c>
      <c r="AM121" s="79" t="str">
        <f aca="false">IF(OR(AK121="",AI121=""),"",ROUND(AK121*AI121-N(AH121),2))</f>
        <v/>
      </c>
      <c r="AN121" s="76" t="str">
        <f aca="false">IF(AM121="","",ROUND(BK121+SUMIFS(AM$6:AM121,BJ$6:BJ121,BJ121),2))</f>
        <v/>
      </c>
      <c r="AO121" s="78" t="str">
        <f aca="false">IF(AK121="","",ROUND(SUMIFS(AK$6:AK121,BJ$6:BJ121,BJ121),2))</f>
        <v/>
      </c>
      <c r="AP121" s="80" t="str">
        <f aca="false">IF(OR(AK121="",BL121=""),"",IFERROR(ROUND(IF(J121="Short",AB121-AE121,AE121-AB121)/BL121,1),""))</f>
        <v/>
      </c>
      <c r="AQ121" s="66" t="str">
        <f aca="false">IF(OR(G121="",H121=""),"",ROUND(MOD(H121-G121,1)*1440,0))</f>
        <v/>
      </c>
      <c r="AR121" s="68" t="str">
        <f aca="false">IF(AQ121="","",IF(AQ121&lt;15,"Under 15m",IF(AQ121&lt;60,"15-60m",IF(AQ121&lt;240,"1-4 hours","4+ hours"))))</f>
        <v/>
      </c>
      <c r="AS121" s="66" t="str">
        <f aca="false">IF(G121="","",HOUR(G121))</f>
        <v/>
      </c>
      <c r="AT121" s="80" t="str">
        <f aca="false">IF(OR(Z121="",AB121="",BL121=""),"",IFERROR(ROUND(IF(J121="Short",Z121-AB121,AB121-Z121)/BL121,1),""))</f>
        <v/>
      </c>
      <c r="AU121" s="68" t="str">
        <f aca="false">IF(OR(AA121="",AC121=""),"",IF(AA121=AC121,"No","Yes"))</f>
        <v/>
      </c>
      <c r="AV121" s="81" t="str">
        <f aca="false">IF(OR(B121="",BL121="",BM121="",AB121="",AC121=""),"",IFERROR(ROUND(AI121/(ABS(AB121-AC121)/BL121*BM121),2),""))</f>
        <v/>
      </c>
      <c r="AW121" s="76" t="str">
        <f aca="false">IF(B121="","",ROUND(BK121+SUMIFS(AM$5:AM120,BJ$5:BJ120,BJ121),2))</f>
        <v/>
      </c>
      <c r="AX121" s="66" t="str">
        <f aca="false">IF(B121="","",COUNTIFS(B$6:B121,B121,BJ$6:BJ121,BJ121))</f>
        <v/>
      </c>
      <c r="AY121" s="79" t="str">
        <f aca="false">IF(B121="","",ROUND(SUMIFS(AM$5:AM120,B$5:B120,B121,BJ$5:BJ120,BJ121),2))</f>
        <v/>
      </c>
      <c r="AZ121" s="79" t="str">
        <f aca="false">IF(AM121="","",ROUND(AY121+AM121,2))</f>
        <v/>
      </c>
      <c r="BA121" s="79" t="str">
        <f aca="false">IF(B121="","",ROUND(SUMIFS(AM$5:AM120,B$5:B120,"&gt;="&amp;(B121-WEEKDAY(B121,2)+1),B$5:B120,"&lt;="&amp;B121,BJ$5:BJ120,BJ121),2))</f>
        <v/>
      </c>
      <c r="BB121" s="68" t="str">
        <f aca="false">IF(B121="","",IF(AND(AF121&lt;&gt;"",AV121&lt;&gt;"",N(AF121)&gt;N(AV121)*(1+Settings!$C$13)),"Oversized",IF(AX121&gt;Settings!$C$10,"Overtraded",IF(AY121&lt;=-Settings!$C$11*(AW121-AY121),"Daily loss hit",IF(BA121&lt;=-Settings!$C$12*(AW121-BA121),"Weekly loss hit","OK")))))</f>
        <v/>
      </c>
      <c r="BC121" s="69"/>
      <c r="BD121" s="69"/>
      <c r="BE121" s="69"/>
      <c r="BF121" s="73"/>
      <c r="BG121" s="73"/>
      <c r="BH121" s="71"/>
      <c r="BI121" s="71"/>
      <c r="BJ121" s="68" t="str">
        <f aca="false">IF(B121="","",IF(E121="",Settings!$F$5,E121))</f>
        <v/>
      </c>
      <c r="BK121" s="76" t="str">
        <f aca="false">IF(B121="","",IFERROR(INDEX(Settings!$G$5:$G$10,MATCH(BJ121,Settings!$F$5:$F$10,0)),Settings!$G$5))</f>
        <v/>
      </c>
      <c r="BL121" s="82" t="str">
        <f aca="false">IF(I121="","",IFERROR(1/(1/INDEX(Lists!$C$6:$C$17,MATCH(I121,Lists!$B$6:$B$17,0))),""))</f>
        <v/>
      </c>
      <c r="BM121" s="81" t="str">
        <f aca="false">IF(I121="","",IFERROR(1/(1/INDEX(Lists!$D$6:$D$17,MATCH(I121,Lists!$B$6:$B$17,0))),""))</f>
        <v/>
      </c>
      <c r="BN121" s="76" t="str">
        <f aca="false">IF(AN121="","",MAX(BK121,_xlfn.MAXIFS(AN$6:AN121,BJ$6:BJ121,BJ121)))</f>
        <v/>
      </c>
      <c r="BO121" s="83" t="str">
        <f aca="false">IF(AN121="","",(AN121-BN121)/BN121)</f>
        <v/>
      </c>
      <c r="BP121" s="66" t="n">
        <f aca="false">IF(OR(B121="",AL121=""),0,IF(OR(Settings!$C$28="All Accounts",BJ121=Settings!$C$28),1,0))</f>
        <v>0</v>
      </c>
      <c r="BQ121" s="66" t="str">
        <f aca="false">IF(BP121=1,SUM(BP$6:BP121),"")</f>
        <v/>
      </c>
      <c r="BR121" s="76" t="str">
        <f aca="false">IF(BP121=1,ROUND(Settings!$C$29+SUMIFS(AM$6:AM121,BP$6:BP121,1),2),"")</f>
        <v/>
      </c>
      <c r="BS121" s="76" t="str">
        <f aca="false">IF(BP121=1,MAX(Settings!$C$29,MAX(BR$6:BR121)),"")</f>
        <v/>
      </c>
      <c r="BT121" s="83" t="str">
        <f aca="false">IF(BP121=1,(BR121-BS121)/BS121,"")</f>
        <v/>
      </c>
      <c r="BU121" s="66" t="str">
        <f aca="false">IF(BP121=1,IF(AL121="Win",1+IF(BQ121=1,0,INDEX(BU$5:BU120,MATCH(BQ121-1,BQ$5:BQ120,0))),0),"")</f>
        <v/>
      </c>
      <c r="BV121" s="66" t="str">
        <f aca="false">IF(BP121=1,IF(AL121="Loss",1+IF(BQ121=1,0,INDEX(BV$5:BV120,MATCH(BQ121-1,BQ$5:BQ120,0))),0),"")</f>
        <v/>
      </c>
    </row>
    <row r="122" customFormat="false" ht="15" hidden="false" customHeight="false" outlineLevel="0" collapsed="false">
      <c r="A122" s="66" t="str">
        <f aca="false">IF(B122="","",ROW()-5)</f>
        <v/>
      </c>
      <c r="B122" s="67"/>
      <c r="C122" s="68" t="str">
        <f aca="false">IF(B122="","",CHOOSE(WEEKDAY(B122,2),"Mon","Tue","Wed","Thu","Fri","Sat","Sun"))</f>
        <v/>
      </c>
      <c r="D122" s="66" t="str">
        <f aca="false">IF(B122="","",WEEKNUM(B122,2))</f>
        <v/>
      </c>
      <c r="E122" s="69"/>
      <c r="F122" s="69"/>
      <c r="G122" s="70"/>
      <c r="H122" s="70"/>
      <c r="I122" s="69"/>
      <c r="J122" s="69"/>
      <c r="K122" s="69"/>
      <c r="L122" s="71"/>
      <c r="M122" s="69"/>
      <c r="N122" s="69"/>
      <c r="O122" s="69"/>
      <c r="P122" s="71"/>
      <c r="Q122" s="69"/>
      <c r="R122" s="69"/>
      <c r="S122" s="69"/>
      <c r="T122" s="69"/>
      <c r="U122" s="69"/>
      <c r="V122" s="69"/>
      <c r="W122" s="69"/>
      <c r="X122" s="66" t="str">
        <f aca="false">IF(B122="","",COUNTIF(Q122:W122,"Yes"))</f>
        <v/>
      </c>
      <c r="Y122" s="68" t="str">
        <f aca="false">IF(B122="","",IF(X122&gt;=Settings!$C$16,"A+",IF(X122&gt;=Settings!$C$17,"A",IF(X122&gt;=Settings!$C$18,"B","C"))))</f>
        <v/>
      </c>
      <c r="Z122" s="72"/>
      <c r="AA122" s="72"/>
      <c r="AB122" s="72"/>
      <c r="AC122" s="72"/>
      <c r="AD122" s="72"/>
      <c r="AE122" s="72"/>
      <c r="AF122" s="73"/>
      <c r="AG122" s="74"/>
      <c r="AH122" s="75"/>
      <c r="AI122" s="76" t="str">
        <f aca="false">IF(B122="","",ROUND(IF(AG122="",Settings!$C$5,AG122)*AW122,2))</f>
        <v/>
      </c>
      <c r="AJ122" s="77" t="str">
        <f aca="false">IF(OR(B122="",AB122="",AC122="",AD122=""),"",IFERROR(ROUND(ABS(AD122-AB122)/ABS(AB122-AC122),2),""))</f>
        <v/>
      </c>
      <c r="AK122" s="78" t="str">
        <f aca="false">IF(OR(B122="",AB122="",AC122="",AE122=""),"",IFERROR(ROUND(IF(J122="Short",AB122-AE122,AE122-AB122)/ABS(AB122-AC122),2),""))</f>
        <v/>
      </c>
      <c r="AL122" s="68" t="str">
        <f aca="false">IF(AK122="","",IF(ABS(AK122)&lt;=Settings!$C$6,"BE",IF(AK122&gt;0,"Win","Loss")))</f>
        <v/>
      </c>
      <c r="AM122" s="79" t="str">
        <f aca="false">IF(OR(AK122="",AI122=""),"",ROUND(AK122*AI122-N(AH122),2))</f>
        <v/>
      </c>
      <c r="AN122" s="76" t="str">
        <f aca="false">IF(AM122="","",ROUND(BK122+SUMIFS(AM$6:AM122,BJ$6:BJ122,BJ122),2))</f>
        <v/>
      </c>
      <c r="AO122" s="78" t="str">
        <f aca="false">IF(AK122="","",ROUND(SUMIFS(AK$6:AK122,BJ$6:BJ122,BJ122),2))</f>
        <v/>
      </c>
      <c r="AP122" s="80" t="str">
        <f aca="false">IF(OR(AK122="",BL122=""),"",IFERROR(ROUND(IF(J122="Short",AB122-AE122,AE122-AB122)/BL122,1),""))</f>
        <v/>
      </c>
      <c r="AQ122" s="66" t="str">
        <f aca="false">IF(OR(G122="",H122=""),"",ROUND(MOD(H122-G122,1)*1440,0))</f>
        <v/>
      </c>
      <c r="AR122" s="68" t="str">
        <f aca="false">IF(AQ122="","",IF(AQ122&lt;15,"Under 15m",IF(AQ122&lt;60,"15-60m",IF(AQ122&lt;240,"1-4 hours","4+ hours"))))</f>
        <v/>
      </c>
      <c r="AS122" s="66" t="str">
        <f aca="false">IF(G122="","",HOUR(G122))</f>
        <v/>
      </c>
      <c r="AT122" s="80" t="str">
        <f aca="false">IF(OR(Z122="",AB122="",BL122=""),"",IFERROR(ROUND(IF(J122="Short",Z122-AB122,AB122-Z122)/BL122,1),""))</f>
        <v/>
      </c>
      <c r="AU122" s="68" t="str">
        <f aca="false">IF(OR(AA122="",AC122=""),"",IF(AA122=AC122,"No","Yes"))</f>
        <v/>
      </c>
      <c r="AV122" s="81" t="str">
        <f aca="false">IF(OR(B122="",BL122="",BM122="",AB122="",AC122=""),"",IFERROR(ROUND(AI122/(ABS(AB122-AC122)/BL122*BM122),2),""))</f>
        <v/>
      </c>
      <c r="AW122" s="76" t="str">
        <f aca="false">IF(B122="","",ROUND(BK122+SUMIFS(AM$5:AM121,BJ$5:BJ121,BJ122),2))</f>
        <v/>
      </c>
      <c r="AX122" s="66" t="str">
        <f aca="false">IF(B122="","",COUNTIFS(B$6:B122,B122,BJ$6:BJ122,BJ122))</f>
        <v/>
      </c>
      <c r="AY122" s="79" t="str">
        <f aca="false">IF(B122="","",ROUND(SUMIFS(AM$5:AM121,B$5:B121,B122,BJ$5:BJ121,BJ122),2))</f>
        <v/>
      </c>
      <c r="AZ122" s="79" t="str">
        <f aca="false">IF(AM122="","",ROUND(AY122+AM122,2))</f>
        <v/>
      </c>
      <c r="BA122" s="79" t="str">
        <f aca="false">IF(B122="","",ROUND(SUMIFS(AM$5:AM121,B$5:B121,"&gt;="&amp;(B122-WEEKDAY(B122,2)+1),B$5:B121,"&lt;="&amp;B122,BJ$5:BJ121,BJ122),2))</f>
        <v/>
      </c>
      <c r="BB122" s="68" t="str">
        <f aca="false">IF(B122="","",IF(AND(AF122&lt;&gt;"",AV122&lt;&gt;"",N(AF122)&gt;N(AV122)*(1+Settings!$C$13)),"Oversized",IF(AX122&gt;Settings!$C$10,"Overtraded",IF(AY122&lt;=-Settings!$C$11*(AW122-AY122),"Daily loss hit",IF(BA122&lt;=-Settings!$C$12*(AW122-BA122),"Weekly loss hit","OK")))))</f>
        <v/>
      </c>
      <c r="BC122" s="69"/>
      <c r="BD122" s="69"/>
      <c r="BE122" s="69"/>
      <c r="BF122" s="73"/>
      <c r="BG122" s="73"/>
      <c r="BH122" s="71"/>
      <c r="BI122" s="71"/>
      <c r="BJ122" s="68" t="str">
        <f aca="false">IF(B122="","",IF(E122="",Settings!$F$5,E122))</f>
        <v/>
      </c>
      <c r="BK122" s="76" t="str">
        <f aca="false">IF(B122="","",IFERROR(INDEX(Settings!$G$5:$G$10,MATCH(BJ122,Settings!$F$5:$F$10,0)),Settings!$G$5))</f>
        <v/>
      </c>
      <c r="BL122" s="82" t="str">
        <f aca="false">IF(I122="","",IFERROR(1/(1/INDEX(Lists!$C$6:$C$17,MATCH(I122,Lists!$B$6:$B$17,0))),""))</f>
        <v/>
      </c>
      <c r="BM122" s="81" t="str">
        <f aca="false">IF(I122="","",IFERROR(1/(1/INDEX(Lists!$D$6:$D$17,MATCH(I122,Lists!$B$6:$B$17,0))),""))</f>
        <v/>
      </c>
      <c r="BN122" s="76" t="str">
        <f aca="false">IF(AN122="","",MAX(BK122,_xlfn.MAXIFS(AN$6:AN122,BJ$6:BJ122,BJ122)))</f>
        <v/>
      </c>
      <c r="BO122" s="83" t="str">
        <f aca="false">IF(AN122="","",(AN122-BN122)/BN122)</f>
        <v/>
      </c>
      <c r="BP122" s="66" t="n">
        <f aca="false">IF(OR(B122="",AL122=""),0,IF(OR(Settings!$C$28="All Accounts",BJ122=Settings!$C$28),1,0))</f>
        <v>0</v>
      </c>
      <c r="BQ122" s="66" t="str">
        <f aca="false">IF(BP122=1,SUM(BP$6:BP122),"")</f>
        <v/>
      </c>
      <c r="BR122" s="76" t="str">
        <f aca="false">IF(BP122=1,ROUND(Settings!$C$29+SUMIFS(AM$6:AM122,BP$6:BP122,1),2),"")</f>
        <v/>
      </c>
      <c r="BS122" s="76" t="str">
        <f aca="false">IF(BP122=1,MAX(Settings!$C$29,MAX(BR$6:BR122)),"")</f>
        <v/>
      </c>
      <c r="BT122" s="83" t="str">
        <f aca="false">IF(BP122=1,(BR122-BS122)/BS122,"")</f>
        <v/>
      </c>
      <c r="BU122" s="66" t="str">
        <f aca="false">IF(BP122=1,IF(AL122="Win",1+IF(BQ122=1,0,INDEX(BU$5:BU121,MATCH(BQ122-1,BQ$5:BQ121,0))),0),"")</f>
        <v/>
      </c>
      <c r="BV122" s="66" t="str">
        <f aca="false">IF(BP122=1,IF(AL122="Loss",1+IF(BQ122=1,0,INDEX(BV$5:BV121,MATCH(BQ122-1,BQ$5:BQ121,0))),0),"")</f>
        <v/>
      </c>
    </row>
    <row r="123" customFormat="false" ht="15" hidden="false" customHeight="false" outlineLevel="0" collapsed="false">
      <c r="A123" s="66" t="str">
        <f aca="false">IF(B123="","",ROW()-5)</f>
        <v/>
      </c>
      <c r="B123" s="67"/>
      <c r="C123" s="68" t="str">
        <f aca="false">IF(B123="","",CHOOSE(WEEKDAY(B123,2),"Mon","Tue","Wed","Thu","Fri","Sat","Sun"))</f>
        <v/>
      </c>
      <c r="D123" s="66" t="str">
        <f aca="false">IF(B123="","",WEEKNUM(B123,2))</f>
        <v/>
      </c>
      <c r="E123" s="69"/>
      <c r="F123" s="69"/>
      <c r="G123" s="70"/>
      <c r="H123" s="70"/>
      <c r="I123" s="69"/>
      <c r="J123" s="69"/>
      <c r="K123" s="69"/>
      <c r="L123" s="71"/>
      <c r="M123" s="69"/>
      <c r="N123" s="69"/>
      <c r="O123" s="69"/>
      <c r="P123" s="71"/>
      <c r="Q123" s="69"/>
      <c r="R123" s="69"/>
      <c r="S123" s="69"/>
      <c r="T123" s="69"/>
      <c r="U123" s="69"/>
      <c r="V123" s="69"/>
      <c r="W123" s="69"/>
      <c r="X123" s="66" t="str">
        <f aca="false">IF(B123="","",COUNTIF(Q123:W123,"Yes"))</f>
        <v/>
      </c>
      <c r="Y123" s="68" t="str">
        <f aca="false">IF(B123="","",IF(X123&gt;=Settings!$C$16,"A+",IF(X123&gt;=Settings!$C$17,"A",IF(X123&gt;=Settings!$C$18,"B","C"))))</f>
        <v/>
      </c>
      <c r="Z123" s="72"/>
      <c r="AA123" s="72"/>
      <c r="AB123" s="72"/>
      <c r="AC123" s="72"/>
      <c r="AD123" s="72"/>
      <c r="AE123" s="72"/>
      <c r="AF123" s="73"/>
      <c r="AG123" s="74"/>
      <c r="AH123" s="75"/>
      <c r="AI123" s="76" t="str">
        <f aca="false">IF(B123="","",ROUND(IF(AG123="",Settings!$C$5,AG123)*AW123,2))</f>
        <v/>
      </c>
      <c r="AJ123" s="77" t="str">
        <f aca="false">IF(OR(B123="",AB123="",AC123="",AD123=""),"",IFERROR(ROUND(ABS(AD123-AB123)/ABS(AB123-AC123),2),""))</f>
        <v/>
      </c>
      <c r="AK123" s="78" t="str">
        <f aca="false">IF(OR(B123="",AB123="",AC123="",AE123=""),"",IFERROR(ROUND(IF(J123="Short",AB123-AE123,AE123-AB123)/ABS(AB123-AC123),2),""))</f>
        <v/>
      </c>
      <c r="AL123" s="68" t="str">
        <f aca="false">IF(AK123="","",IF(ABS(AK123)&lt;=Settings!$C$6,"BE",IF(AK123&gt;0,"Win","Loss")))</f>
        <v/>
      </c>
      <c r="AM123" s="79" t="str">
        <f aca="false">IF(OR(AK123="",AI123=""),"",ROUND(AK123*AI123-N(AH123),2))</f>
        <v/>
      </c>
      <c r="AN123" s="76" t="str">
        <f aca="false">IF(AM123="","",ROUND(BK123+SUMIFS(AM$6:AM123,BJ$6:BJ123,BJ123),2))</f>
        <v/>
      </c>
      <c r="AO123" s="78" t="str">
        <f aca="false">IF(AK123="","",ROUND(SUMIFS(AK$6:AK123,BJ$6:BJ123,BJ123),2))</f>
        <v/>
      </c>
      <c r="AP123" s="80" t="str">
        <f aca="false">IF(OR(AK123="",BL123=""),"",IFERROR(ROUND(IF(J123="Short",AB123-AE123,AE123-AB123)/BL123,1),""))</f>
        <v/>
      </c>
      <c r="AQ123" s="66" t="str">
        <f aca="false">IF(OR(G123="",H123=""),"",ROUND(MOD(H123-G123,1)*1440,0))</f>
        <v/>
      </c>
      <c r="AR123" s="68" t="str">
        <f aca="false">IF(AQ123="","",IF(AQ123&lt;15,"Under 15m",IF(AQ123&lt;60,"15-60m",IF(AQ123&lt;240,"1-4 hours","4+ hours"))))</f>
        <v/>
      </c>
      <c r="AS123" s="66" t="str">
        <f aca="false">IF(G123="","",HOUR(G123))</f>
        <v/>
      </c>
      <c r="AT123" s="80" t="str">
        <f aca="false">IF(OR(Z123="",AB123="",BL123=""),"",IFERROR(ROUND(IF(J123="Short",Z123-AB123,AB123-Z123)/BL123,1),""))</f>
        <v/>
      </c>
      <c r="AU123" s="68" t="str">
        <f aca="false">IF(OR(AA123="",AC123=""),"",IF(AA123=AC123,"No","Yes"))</f>
        <v/>
      </c>
      <c r="AV123" s="81" t="str">
        <f aca="false">IF(OR(B123="",BL123="",BM123="",AB123="",AC123=""),"",IFERROR(ROUND(AI123/(ABS(AB123-AC123)/BL123*BM123),2),""))</f>
        <v/>
      </c>
      <c r="AW123" s="76" t="str">
        <f aca="false">IF(B123="","",ROUND(BK123+SUMIFS(AM$5:AM122,BJ$5:BJ122,BJ123),2))</f>
        <v/>
      </c>
      <c r="AX123" s="66" t="str">
        <f aca="false">IF(B123="","",COUNTIFS(B$6:B123,B123,BJ$6:BJ123,BJ123))</f>
        <v/>
      </c>
      <c r="AY123" s="79" t="str">
        <f aca="false">IF(B123="","",ROUND(SUMIFS(AM$5:AM122,B$5:B122,B123,BJ$5:BJ122,BJ123),2))</f>
        <v/>
      </c>
      <c r="AZ123" s="79" t="str">
        <f aca="false">IF(AM123="","",ROUND(AY123+AM123,2))</f>
        <v/>
      </c>
      <c r="BA123" s="79" t="str">
        <f aca="false">IF(B123="","",ROUND(SUMIFS(AM$5:AM122,B$5:B122,"&gt;="&amp;(B123-WEEKDAY(B123,2)+1),B$5:B122,"&lt;="&amp;B123,BJ$5:BJ122,BJ123),2))</f>
        <v/>
      </c>
      <c r="BB123" s="68" t="str">
        <f aca="false">IF(B123="","",IF(AND(AF123&lt;&gt;"",AV123&lt;&gt;"",N(AF123)&gt;N(AV123)*(1+Settings!$C$13)),"Oversized",IF(AX123&gt;Settings!$C$10,"Overtraded",IF(AY123&lt;=-Settings!$C$11*(AW123-AY123),"Daily loss hit",IF(BA123&lt;=-Settings!$C$12*(AW123-BA123),"Weekly loss hit","OK")))))</f>
        <v/>
      </c>
      <c r="BC123" s="69"/>
      <c r="BD123" s="69"/>
      <c r="BE123" s="69"/>
      <c r="BF123" s="73"/>
      <c r="BG123" s="73"/>
      <c r="BH123" s="71"/>
      <c r="BI123" s="71"/>
      <c r="BJ123" s="68" t="str">
        <f aca="false">IF(B123="","",IF(E123="",Settings!$F$5,E123))</f>
        <v/>
      </c>
      <c r="BK123" s="76" t="str">
        <f aca="false">IF(B123="","",IFERROR(INDEX(Settings!$G$5:$G$10,MATCH(BJ123,Settings!$F$5:$F$10,0)),Settings!$G$5))</f>
        <v/>
      </c>
      <c r="BL123" s="82" t="str">
        <f aca="false">IF(I123="","",IFERROR(1/(1/INDEX(Lists!$C$6:$C$17,MATCH(I123,Lists!$B$6:$B$17,0))),""))</f>
        <v/>
      </c>
      <c r="BM123" s="81" t="str">
        <f aca="false">IF(I123="","",IFERROR(1/(1/INDEX(Lists!$D$6:$D$17,MATCH(I123,Lists!$B$6:$B$17,0))),""))</f>
        <v/>
      </c>
      <c r="BN123" s="76" t="str">
        <f aca="false">IF(AN123="","",MAX(BK123,_xlfn.MAXIFS(AN$6:AN123,BJ$6:BJ123,BJ123)))</f>
        <v/>
      </c>
      <c r="BO123" s="83" t="str">
        <f aca="false">IF(AN123="","",(AN123-BN123)/BN123)</f>
        <v/>
      </c>
      <c r="BP123" s="66" t="n">
        <f aca="false">IF(OR(B123="",AL123=""),0,IF(OR(Settings!$C$28="All Accounts",BJ123=Settings!$C$28),1,0))</f>
        <v>0</v>
      </c>
      <c r="BQ123" s="66" t="str">
        <f aca="false">IF(BP123=1,SUM(BP$6:BP123),"")</f>
        <v/>
      </c>
      <c r="BR123" s="76" t="str">
        <f aca="false">IF(BP123=1,ROUND(Settings!$C$29+SUMIFS(AM$6:AM123,BP$6:BP123,1),2),"")</f>
        <v/>
      </c>
      <c r="BS123" s="76" t="str">
        <f aca="false">IF(BP123=1,MAX(Settings!$C$29,MAX(BR$6:BR123)),"")</f>
        <v/>
      </c>
      <c r="BT123" s="83" t="str">
        <f aca="false">IF(BP123=1,(BR123-BS123)/BS123,"")</f>
        <v/>
      </c>
      <c r="BU123" s="66" t="str">
        <f aca="false">IF(BP123=1,IF(AL123="Win",1+IF(BQ123=1,0,INDEX(BU$5:BU122,MATCH(BQ123-1,BQ$5:BQ122,0))),0),"")</f>
        <v/>
      </c>
      <c r="BV123" s="66" t="str">
        <f aca="false">IF(BP123=1,IF(AL123="Loss",1+IF(BQ123=1,0,INDEX(BV$5:BV122,MATCH(BQ123-1,BQ$5:BQ122,0))),0),"")</f>
        <v/>
      </c>
    </row>
    <row r="124" customFormat="false" ht="15" hidden="false" customHeight="false" outlineLevel="0" collapsed="false">
      <c r="A124" s="66" t="str">
        <f aca="false">IF(B124="","",ROW()-5)</f>
        <v/>
      </c>
      <c r="B124" s="67"/>
      <c r="C124" s="68" t="str">
        <f aca="false">IF(B124="","",CHOOSE(WEEKDAY(B124,2),"Mon","Tue","Wed","Thu","Fri","Sat","Sun"))</f>
        <v/>
      </c>
      <c r="D124" s="66" t="str">
        <f aca="false">IF(B124="","",WEEKNUM(B124,2))</f>
        <v/>
      </c>
      <c r="E124" s="69"/>
      <c r="F124" s="69"/>
      <c r="G124" s="70"/>
      <c r="H124" s="70"/>
      <c r="I124" s="69"/>
      <c r="J124" s="69"/>
      <c r="K124" s="69"/>
      <c r="L124" s="71"/>
      <c r="M124" s="69"/>
      <c r="N124" s="69"/>
      <c r="O124" s="69"/>
      <c r="P124" s="71"/>
      <c r="Q124" s="69"/>
      <c r="R124" s="69"/>
      <c r="S124" s="69"/>
      <c r="T124" s="69"/>
      <c r="U124" s="69"/>
      <c r="V124" s="69"/>
      <c r="W124" s="69"/>
      <c r="X124" s="66" t="str">
        <f aca="false">IF(B124="","",COUNTIF(Q124:W124,"Yes"))</f>
        <v/>
      </c>
      <c r="Y124" s="68" t="str">
        <f aca="false">IF(B124="","",IF(X124&gt;=Settings!$C$16,"A+",IF(X124&gt;=Settings!$C$17,"A",IF(X124&gt;=Settings!$C$18,"B","C"))))</f>
        <v/>
      </c>
      <c r="Z124" s="72"/>
      <c r="AA124" s="72"/>
      <c r="AB124" s="72"/>
      <c r="AC124" s="72"/>
      <c r="AD124" s="72"/>
      <c r="AE124" s="72"/>
      <c r="AF124" s="73"/>
      <c r="AG124" s="74"/>
      <c r="AH124" s="75"/>
      <c r="AI124" s="76" t="str">
        <f aca="false">IF(B124="","",ROUND(IF(AG124="",Settings!$C$5,AG124)*AW124,2))</f>
        <v/>
      </c>
      <c r="AJ124" s="77" t="str">
        <f aca="false">IF(OR(B124="",AB124="",AC124="",AD124=""),"",IFERROR(ROUND(ABS(AD124-AB124)/ABS(AB124-AC124),2),""))</f>
        <v/>
      </c>
      <c r="AK124" s="78" t="str">
        <f aca="false">IF(OR(B124="",AB124="",AC124="",AE124=""),"",IFERROR(ROUND(IF(J124="Short",AB124-AE124,AE124-AB124)/ABS(AB124-AC124),2),""))</f>
        <v/>
      </c>
      <c r="AL124" s="68" t="str">
        <f aca="false">IF(AK124="","",IF(ABS(AK124)&lt;=Settings!$C$6,"BE",IF(AK124&gt;0,"Win","Loss")))</f>
        <v/>
      </c>
      <c r="AM124" s="79" t="str">
        <f aca="false">IF(OR(AK124="",AI124=""),"",ROUND(AK124*AI124-N(AH124),2))</f>
        <v/>
      </c>
      <c r="AN124" s="76" t="str">
        <f aca="false">IF(AM124="","",ROUND(BK124+SUMIFS(AM$6:AM124,BJ$6:BJ124,BJ124),2))</f>
        <v/>
      </c>
      <c r="AO124" s="78" t="str">
        <f aca="false">IF(AK124="","",ROUND(SUMIFS(AK$6:AK124,BJ$6:BJ124,BJ124),2))</f>
        <v/>
      </c>
      <c r="AP124" s="80" t="str">
        <f aca="false">IF(OR(AK124="",BL124=""),"",IFERROR(ROUND(IF(J124="Short",AB124-AE124,AE124-AB124)/BL124,1),""))</f>
        <v/>
      </c>
      <c r="AQ124" s="66" t="str">
        <f aca="false">IF(OR(G124="",H124=""),"",ROUND(MOD(H124-G124,1)*1440,0))</f>
        <v/>
      </c>
      <c r="AR124" s="68" t="str">
        <f aca="false">IF(AQ124="","",IF(AQ124&lt;15,"Under 15m",IF(AQ124&lt;60,"15-60m",IF(AQ124&lt;240,"1-4 hours","4+ hours"))))</f>
        <v/>
      </c>
      <c r="AS124" s="66" t="str">
        <f aca="false">IF(G124="","",HOUR(G124))</f>
        <v/>
      </c>
      <c r="AT124" s="80" t="str">
        <f aca="false">IF(OR(Z124="",AB124="",BL124=""),"",IFERROR(ROUND(IF(J124="Short",Z124-AB124,AB124-Z124)/BL124,1),""))</f>
        <v/>
      </c>
      <c r="AU124" s="68" t="str">
        <f aca="false">IF(OR(AA124="",AC124=""),"",IF(AA124=AC124,"No","Yes"))</f>
        <v/>
      </c>
      <c r="AV124" s="81" t="str">
        <f aca="false">IF(OR(B124="",BL124="",BM124="",AB124="",AC124=""),"",IFERROR(ROUND(AI124/(ABS(AB124-AC124)/BL124*BM124),2),""))</f>
        <v/>
      </c>
      <c r="AW124" s="76" t="str">
        <f aca="false">IF(B124="","",ROUND(BK124+SUMIFS(AM$5:AM123,BJ$5:BJ123,BJ124),2))</f>
        <v/>
      </c>
      <c r="AX124" s="66" t="str">
        <f aca="false">IF(B124="","",COUNTIFS(B$6:B124,B124,BJ$6:BJ124,BJ124))</f>
        <v/>
      </c>
      <c r="AY124" s="79" t="str">
        <f aca="false">IF(B124="","",ROUND(SUMIFS(AM$5:AM123,B$5:B123,B124,BJ$5:BJ123,BJ124),2))</f>
        <v/>
      </c>
      <c r="AZ124" s="79" t="str">
        <f aca="false">IF(AM124="","",ROUND(AY124+AM124,2))</f>
        <v/>
      </c>
      <c r="BA124" s="79" t="str">
        <f aca="false">IF(B124="","",ROUND(SUMIFS(AM$5:AM123,B$5:B123,"&gt;="&amp;(B124-WEEKDAY(B124,2)+1),B$5:B123,"&lt;="&amp;B124,BJ$5:BJ123,BJ124),2))</f>
        <v/>
      </c>
      <c r="BB124" s="68" t="str">
        <f aca="false">IF(B124="","",IF(AND(AF124&lt;&gt;"",AV124&lt;&gt;"",N(AF124)&gt;N(AV124)*(1+Settings!$C$13)),"Oversized",IF(AX124&gt;Settings!$C$10,"Overtraded",IF(AY124&lt;=-Settings!$C$11*(AW124-AY124),"Daily loss hit",IF(BA124&lt;=-Settings!$C$12*(AW124-BA124),"Weekly loss hit","OK")))))</f>
        <v/>
      </c>
      <c r="BC124" s="69"/>
      <c r="BD124" s="69"/>
      <c r="BE124" s="69"/>
      <c r="BF124" s="73"/>
      <c r="BG124" s="73"/>
      <c r="BH124" s="71"/>
      <c r="BI124" s="71"/>
      <c r="BJ124" s="68" t="str">
        <f aca="false">IF(B124="","",IF(E124="",Settings!$F$5,E124))</f>
        <v/>
      </c>
      <c r="BK124" s="76" t="str">
        <f aca="false">IF(B124="","",IFERROR(INDEX(Settings!$G$5:$G$10,MATCH(BJ124,Settings!$F$5:$F$10,0)),Settings!$G$5))</f>
        <v/>
      </c>
      <c r="BL124" s="82" t="str">
        <f aca="false">IF(I124="","",IFERROR(1/(1/INDEX(Lists!$C$6:$C$17,MATCH(I124,Lists!$B$6:$B$17,0))),""))</f>
        <v/>
      </c>
      <c r="BM124" s="81" t="str">
        <f aca="false">IF(I124="","",IFERROR(1/(1/INDEX(Lists!$D$6:$D$17,MATCH(I124,Lists!$B$6:$B$17,0))),""))</f>
        <v/>
      </c>
      <c r="BN124" s="76" t="str">
        <f aca="false">IF(AN124="","",MAX(BK124,_xlfn.MAXIFS(AN$6:AN124,BJ$6:BJ124,BJ124)))</f>
        <v/>
      </c>
      <c r="BO124" s="83" t="str">
        <f aca="false">IF(AN124="","",(AN124-BN124)/BN124)</f>
        <v/>
      </c>
      <c r="BP124" s="66" t="n">
        <f aca="false">IF(OR(B124="",AL124=""),0,IF(OR(Settings!$C$28="All Accounts",BJ124=Settings!$C$28),1,0))</f>
        <v>0</v>
      </c>
      <c r="BQ124" s="66" t="str">
        <f aca="false">IF(BP124=1,SUM(BP$6:BP124),"")</f>
        <v/>
      </c>
      <c r="BR124" s="76" t="str">
        <f aca="false">IF(BP124=1,ROUND(Settings!$C$29+SUMIFS(AM$6:AM124,BP$6:BP124,1),2),"")</f>
        <v/>
      </c>
      <c r="BS124" s="76" t="str">
        <f aca="false">IF(BP124=1,MAX(Settings!$C$29,MAX(BR$6:BR124)),"")</f>
        <v/>
      </c>
      <c r="BT124" s="83" t="str">
        <f aca="false">IF(BP124=1,(BR124-BS124)/BS124,"")</f>
        <v/>
      </c>
      <c r="BU124" s="66" t="str">
        <f aca="false">IF(BP124=1,IF(AL124="Win",1+IF(BQ124=1,0,INDEX(BU$5:BU123,MATCH(BQ124-1,BQ$5:BQ123,0))),0),"")</f>
        <v/>
      </c>
      <c r="BV124" s="66" t="str">
        <f aca="false">IF(BP124=1,IF(AL124="Loss",1+IF(BQ124=1,0,INDEX(BV$5:BV123,MATCH(BQ124-1,BQ$5:BQ123,0))),0),"")</f>
        <v/>
      </c>
    </row>
    <row r="125" customFormat="false" ht="15" hidden="false" customHeight="false" outlineLevel="0" collapsed="false">
      <c r="A125" s="66" t="str">
        <f aca="false">IF(B125="","",ROW()-5)</f>
        <v/>
      </c>
      <c r="B125" s="67"/>
      <c r="C125" s="68" t="str">
        <f aca="false">IF(B125="","",CHOOSE(WEEKDAY(B125,2),"Mon","Tue","Wed","Thu","Fri","Sat","Sun"))</f>
        <v/>
      </c>
      <c r="D125" s="66" t="str">
        <f aca="false">IF(B125="","",WEEKNUM(B125,2))</f>
        <v/>
      </c>
      <c r="E125" s="69"/>
      <c r="F125" s="69"/>
      <c r="G125" s="70"/>
      <c r="H125" s="70"/>
      <c r="I125" s="69"/>
      <c r="J125" s="69"/>
      <c r="K125" s="69"/>
      <c r="L125" s="71"/>
      <c r="M125" s="69"/>
      <c r="N125" s="69"/>
      <c r="O125" s="69"/>
      <c r="P125" s="71"/>
      <c r="Q125" s="69"/>
      <c r="R125" s="69"/>
      <c r="S125" s="69"/>
      <c r="T125" s="69"/>
      <c r="U125" s="69"/>
      <c r="V125" s="69"/>
      <c r="W125" s="69"/>
      <c r="X125" s="66" t="str">
        <f aca="false">IF(B125="","",COUNTIF(Q125:W125,"Yes"))</f>
        <v/>
      </c>
      <c r="Y125" s="68" t="str">
        <f aca="false">IF(B125="","",IF(X125&gt;=Settings!$C$16,"A+",IF(X125&gt;=Settings!$C$17,"A",IF(X125&gt;=Settings!$C$18,"B","C"))))</f>
        <v/>
      </c>
      <c r="Z125" s="72"/>
      <c r="AA125" s="72"/>
      <c r="AB125" s="72"/>
      <c r="AC125" s="72"/>
      <c r="AD125" s="72"/>
      <c r="AE125" s="72"/>
      <c r="AF125" s="73"/>
      <c r="AG125" s="74"/>
      <c r="AH125" s="75"/>
      <c r="AI125" s="76" t="str">
        <f aca="false">IF(B125="","",ROUND(IF(AG125="",Settings!$C$5,AG125)*AW125,2))</f>
        <v/>
      </c>
      <c r="AJ125" s="77" t="str">
        <f aca="false">IF(OR(B125="",AB125="",AC125="",AD125=""),"",IFERROR(ROUND(ABS(AD125-AB125)/ABS(AB125-AC125),2),""))</f>
        <v/>
      </c>
      <c r="AK125" s="78" t="str">
        <f aca="false">IF(OR(B125="",AB125="",AC125="",AE125=""),"",IFERROR(ROUND(IF(J125="Short",AB125-AE125,AE125-AB125)/ABS(AB125-AC125),2),""))</f>
        <v/>
      </c>
      <c r="AL125" s="68" t="str">
        <f aca="false">IF(AK125="","",IF(ABS(AK125)&lt;=Settings!$C$6,"BE",IF(AK125&gt;0,"Win","Loss")))</f>
        <v/>
      </c>
      <c r="AM125" s="79" t="str">
        <f aca="false">IF(OR(AK125="",AI125=""),"",ROUND(AK125*AI125-N(AH125),2))</f>
        <v/>
      </c>
      <c r="AN125" s="76" t="str">
        <f aca="false">IF(AM125="","",ROUND(BK125+SUMIFS(AM$6:AM125,BJ$6:BJ125,BJ125),2))</f>
        <v/>
      </c>
      <c r="AO125" s="78" t="str">
        <f aca="false">IF(AK125="","",ROUND(SUMIFS(AK$6:AK125,BJ$6:BJ125,BJ125),2))</f>
        <v/>
      </c>
      <c r="AP125" s="80" t="str">
        <f aca="false">IF(OR(AK125="",BL125=""),"",IFERROR(ROUND(IF(J125="Short",AB125-AE125,AE125-AB125)/BL125,1),""))</f>
        <v/>
      </c>
      <c r="AQ125" s="66" t="str">
        <f aca="false">IF(OR(G125="",H125=""),"",ROUND(MOD(H125-G125,1)*1440,0))</f>
        <v/>
      </c>
      <c r="AR125" s="68" t="str">
        <f aca="false">IF(AQ125="","",IF(AQ125&lt;15,"Under 15m",IF(AQ125&lt;60,"15-60m",IF(AQ125&lt;240,"1-4 hours","4+ hours"))))</f>
        <v/>
      </c>
      <c r="AS125" s="66" t="str">
        <f aca="false">IF(G125="","",HOUR(G125))</f>
        <v/>
      </c>
      <c r="AT125" s="80" t="str">
        <f aca="false">IF(OR(Z125="",AB125="",BL125=""),"",IFERROR(ROUND(IF(J125="Short",Z125-AB125,AB125-Z125)/BL125,1),""))</f>
        <v/>
      </c>
      <c r="AU125" s="68" t="str">
        <f aca="false">IF(OR(AA125="",AC125=""),"",IF(AA125=AC125,"No","Yes"))</f>
        <v/>
      </c>
      <c r="AV125" s="81" t="str">
        <f aca="false">IF(OR(B125="",BL125="",BM125="",AB125="",AC125=""),"",IFERROR(ROUND(AI125/(ABS(AB125-AC125)/BL125*BM125),2),""))</f>
        <v/>
      </c>
      <c r="AW125" s="76" t="str">
        <f aca="false">IF(B125="","",ROUND(BK125+SUMIFS(AM$5:AM124,BJ$5:BJ124,BJ125),2))</f>
        <v/>
      </c>
      <c r="AX125" s="66" t="str">
        <f aca="false">IF(B125="","",COUNTIFS(B$6:B125,B125,BJ$6:BJ125,BJ125))</f>
        <v/>
      </c>
      <c r="AY125" s="79" t="str">
        <f aca="false">IF(B125="","",ROUND(SUMIFS(AM$5:AM124,B$5:B124,B125,BJ$5:BJ124,BJ125),2))</f>
        <v/>
      </c>
      <c r="AZ125" s="79" t="str">
        <f aca="false">IF(AM125="","",ROUND(AY125+AM125,2))</f>
        <v/>
      </c>
      <c r="BA125" s="79" t="str">
        <f aca="false">IF(B125="","",ROUND(SUMIFS(AM$5:AM124,B$5:B124,"&gt;="&amp;(B125-WEEKDAY(B125,2)+1),B$5:B124,"&lt;="&amp;B125,BJ$5:BJ124,BJ125),2))</f>
        <v/>
      </c>
      <c r="BB125" s="68" t="str">
        <f aca="false">IF(B125="","",IF(AND(AF125&lt;&gt;"",AV125&lt;&gt;"",N(AF125)&gt;N(AV125)*(1+Settings!$C$13)),"Oversized",IF(AX125&gt;Settings!$C$10,"Overtraded",IF(AY125&lt;=-Settings!$C$11*(AW125-AY125),"Daily loss hit",IF(BA125&lt;=-Settings!$C$12*(AW125-BA125),"Weekly loss hit","OK")))))</f>
        <v/>
      </c>
      <c r="BC125" s="69"/>
      <c r="BD125" s="69"/>
      <c r="BE125" s="69"/>
      <c r="BF125" s="73"/>
      <c r="BG125" s="73"/>
      <c r="BH125" s="71"/>
      <c r="BI125" s="71"/>
      <c r="BJ125" s="68" t="str">
        <f aca="false">IF(B125="","",IF(E125="",Settings!$F$5,E125))</f>
        <v/>
      </c>
      <c r="BK125" s="76" t="str">
        <f aca="false">IF(B125="","",IFERROR(INDEX(Settings!$G$5:$G$10,MATCH(BJ125,Settings!$F$5:$F$10,0)),Settings!$G$5))</f>
        <v/>
      </c>
      <c r="BL125" s="82" t="str">
        <f aca="false">IF(I125="","",IFERROR(1/(1/INDEX(Lists!$C$6:$C$17,MATCH(I125,Lists!$B$6:$B$17,0))),""))</f>
        <v/>
      </c>
      <c r="BM125" s="81" t="str">
        <f aca="false">IF(I125="","",IFERROR(1/(1/INDEX(Lists!$D$6:$D$17,MATCH(I125,Lists!$B$6:$B$17,0))),""))</f>
        <v/>
      </c>
      <c r="BN125" s="76" t="str">
        <f aca="false">IF(AN125="","",MAX(BK125,_xlfn.MAXIFS(AN$6:AN125,BJ$6:BJ125,BJ125)))</f>
        <v/>
      </c>
      <c r="BO125" s="83" t="str">
        <f aca="false">IF(AN125="","",(AN125-BN125)/BN125)</f>
        <v/>
      </c>
      <c r="BP125" s="66" t="n">
        <f aca="false">IF(OR(B125="",AL125=""),0,IF(OR(Settings!$C$28="All Accounts",BJ125=Settings!$C$28),1,0))</f>
        <v>0</v>
      </c>
      <c r="BQ125" s="66" t="str">
        <f aca="false">IF(BP125=1,SUM(BP$6:BP125),"")</f>
        <v/>
      </c>
      <c r="BR125" s="76" t="str">
        <f aca="false">IF(BP125=1,ROUND(Settings!$C$29+SUMIFS(AM$6:AM125,BP$6:BP125,1),2),"")</f>
        <v/>
      </c>
      <c r="BS125" s="76" t="str">
        <f aca="false">IF(BP125=1,MAX(Settings!$C$29,MAX(BR$6:BR125)),"")</f>
        <v/>
      </c>
      <c r="BT125" s="83" t="str">
        <f aca="false">IF(BP125=1,(BR125-BS125)/BS125,"")</f>
        <v/>
      </c>
      <c r="BU125" s="66" t="str">
        <f aca="false">IF(BP125=1,IF(AL125="Win",1+IF(BQ125=1,0,INDEX(BU$5:BU124,MATCH(BQ125-1,BQ$5:BQ124,0))),0),"")</f>
        <v/>
      </c>
      <c r="BV125" s="66" t="str">
        <f aca="false">IF(BP125=1,IF(AL125="Loss",1+IF(BQ125=1,0,INDEX(BV$5:BV124,MATCH(BQ125-1,BQ$5:BQ124,0))),0),"")</f>
        <v/>
      </c>
    </row>
    <row r="126" customFormat="false" ht="15" hidden="false" customHeight="false" outlineLevel="0" collapsed="false">
      <c r="A126" s="66" t="str">
        <f aca="false">IF(B126="","",ROW()-5)</f>
        <v/>
      </c>
      <c r="B126" s="67"/>
      <c r="C126" s="68" t="str">
        <f aca="false">IF(B126="","",CHOOSE(WEEKDAY(B126,2),"Mon","Tue","Wed","Thu","Fri","Sat","Sun"))</f>
        <v/>
      </c>
      <c r="D126" s="66" t="str">
        <f aca="false">IF(B126="","",WEEKNUM(B126,2))</f>
        <v/>
      </c>
      <c r="E126" s="69"/>
      <c r="F126" s="69"/>
      <c r="G126" s="70"/>
      <c r="H126" s="70"/>
      <c r="I126" s="69"/>
      <c r="J126" s="69"/>
      <c r="K126" s="69"/>
      <c r="L126" s="71"/>
      <c r="M126" s="69"/>
      <c r="N126" s="69"/>
      <c r="O126" s="69"/>
      <c r="P126" s="71"/>
      <c r="Q126" s="69"/>
      <c r="R126" s="69"/>
      <c r="S126" s="69"/>
      <c r="T126" s="69"/>
      <c r="U126" s="69"/>
      <c r="V126" s="69"/>
      <c r="W126" s="69"/>
      <c r="X126" s="66" t="str">
        <f aca="false">IF(B126="","",COUNTIF(Q126:W126,"Yes"))</f>
        <v/>
      </c>
      <c r="Y126" s="68" t="str">
        <f aca="false">IF(B126="","",IF(X126&gt;=Settings!$C$16,"A+",IF(X126&gt;=Settings!$C$17,"A",IF(X126&gt;=Settings!$C$18,"B","C"))))</f>
        <v/>
      </c>
      <c r="Z126" s="72"/>
      <c r="AA126" s="72"/>
      <c r="AB126" s="72"/>
      <c r="AC126" s="72"/>
      <c r="AD126" s="72"/>
      <c r="AE126" s="72"/>
      <c r="AF126" s="73"/>
      <c r="AG126" s="74"/>
      <c r="AH126" s="75"/>
      <c r="AI126" s="76" t="str">
        <f aca="false">IF(B126="","",ROUND(IF(AG126="",Settings!$C$5,AG126)*AW126,2))</f>
        <v/>
      </c>
      <c r="AJ126" s="77" t="str">
        <f aca="false">IF(OR(B126="",AB126="",AC126="",AD126=""),"",IFERROR(ROUND(ABS(AD126-AB126)/ABS(AB126-AC126),2),""))</f>
        <v/>
      </c>
      <c r="AK126" s="78" t="str">
        <f aca="false">IF(OR(B126="",AB126="",AC126="",AE126=""),"",IFERROR(ROUND(IF(J126="Short",AB126-AE126,AE126-AB126)/ABS(AB126-AC126),2),""))</f>
        <v/>
      </c>
      <c r="AL126" s="68" t="str">
        <f aca="false">IF(AK126="","",IF(ABS(AK126)&lt;=Settings!$C$6,"BE",IF(AK126&gt;0,"Win","Loss")))</f>
        <v/>
      </c>
      <c r="AM126" s="79" t="str">
        <f aca="false">IF(OR(AK126="",AI126=""),"",ROUND(AK126*AI126-N(AH126),2))</f>
        <v/>
      </c>
      <c r="AN126" s="76" t="str">
        <f aca="false">IF(AM126="","",ROUND(BK126+SUMIFS(AM$6:AM126,BJ$6:BJ126,BJ126),2))</f>
        <v/>
      </c>
      <c r="AO126" s="78" t="str">
        <f aca="false">IF(AK126="","",ROUND(SUMIFS(AK$6:AK126,BJ$6:BJ126,BJ126),2))</f>
        <v/>
      </c>
      <c r="AP126" s="80" t="str">
        <f aca="false">IF(OR(AK126="",BL126=""),"",IFERROR(ROUND(IF(J126="Short",AB126-AE126,AE126-AB126)/BL126,1),""))</f>
        <v/>
      </c>
      <c r="AQ126" s="66" t="str">
        <f aca="false">IF(OR(G126="",H126=""),"",ROUND(MOD(H126-G126,1)*1440,0))</f>
        <v/>
      </c>
      <c r="AR126" s="68" t="str">
        <f aca="false">IF(AQ126="","",IF(AQ126&lt;15,"Under 15m",IF(AQ126&lt;60,"15-60m",IF(AQ126&lt;240,"1-4 hours","4+ hours"))))</f>
        <v/>
      </c>
      <c r="AS126" s="66" t="str">
        <f aca="false">IF(G126="","",HOUR(G126))</f>
        <v/>
      </c>
      <c r="AT126" s="80" t="str">
        <f aca="false">IF(OR(Z126="",AB126="",BL126=""),"",IFERROR(ROUND(IF(J126="Short",Z126-AB126,AB126-Z126)/BL126,1),""))</f>
        <v/>
      </c>
      <c r="AU126" s="68" t="str">
        <f aca="false">IF(OR(AA126="",AC126=""),"",IF(AA126=AC126,"No","Yes"))</f>
        <v/>
      </c>
      <c r="AV126" s="81" t="str">
        <f aca="false">IF(OR(B126="",BL126="",BM126="",AB126="",AC126=""),"",IFERROR(ROUND(AI126/(ABS(AB126-AC126)/BL126*BM126),2),""))</f>
        <v/>
      </c>
      <c r="AW126" s="76" t="str">
        <f aca="false">IF(B126="","",ROUND(BK126+SUMIFS(AM$5:AM125,BJ$5:BJ125,BJ126),2))</f>
        <v/>
      </c>
      <c r="AX126" s="66" t="str">
        <f aca="false">IF(B126="","",COUNTIFS(B$6:B126,B126,BJ$6:BJ126,BJ126))</f>
        <v/>
      </c>
      <c r="AY126" s="79" t="str">
        <f aca="false">IF(B126="","",ROUND(SUMIFS(AM$5:AM125,B$5:B125,B126,BJ$5:BJ125,BJ126),2))</f>
        <v/>
      </c>
      <c r="AZ126" s="79" t="str">
        <f aca="false">IF(AM126="","",ROUND(AY126+AM126,2))</f>
        <v/>
      </c>
      <c r="BA126" s="79" t="str">
        <f aca="false">IF(B126="","",ROUND(SUMIFS(AM$5:AM125,B$5:B125,"&gt;="&amp;(B126-WEEKDAY(B126,2)+1),B$5:B125,"&lt;="&amp;B126,BJ$5:BJ125,BJ126),2))</f>
        <v/>
      </c>
      <c r="BB126" s="68" t="str">
        <f aca="false">IF(B126="","",IF(AND(AF126&lt;&gt;"",AV126&lt;&gt;"",N(AF126)&gt;N(AV126)*(1+Settings!$C$13)),"Oversized",IF(AX126&gt;Settings!$C$10,"Overtraded",IF(AY126&lt;=-Settings!$C$11*(AW126-AY126),"Daily loss hit",IF(BA126&lt;=-Settings!$C$12*(AW126-BA126),"Weekly loss hit","OK")))))</f>
        <v/>
      </c>
      <c r="BC126" s="69"/>
      <c r="BD126" s="69"/>
      <c r="BE126" s="69"/>
      <c r="BF126" s="73"/>
      <c r="BG126" s="73"/>
      <c r="BH126" s="71"/>
      <c r="BI126" s="71"/>
      <c r="BJ126" s="68" t="str">
        <f aca="false">IF(B126="","",IF(E126="",Settings!$F$5,E126))</f>
        <v/>
      </c>
      <c r="BK126" s="76" t="str">
        <f aca="false">IF(B126="","",IFERROR(INDEX(Settings!$G$5:$G$10,MATCH(BJ126,Settings!$F$5:$F$10,0)),Settings!$G$5))</f>
        <v/>
      </c>
      <c r="BL126" s="82" t="str">
        <f aca="false">IF(I126="","",IFERROR(1/(1/INDEX(Lists!$C$6:$C$17,MATCH(I126,Lists!$B$6:$B$17,0))),""))</f>
        <v/>
      </c>
      <c r="BM126" s="81" t="str">
        <f aca="false">IF(I126="","",IFERROR(1/(1/INDEX(Lists!$D$6:$D$17,MATCH(I126,Lists!$B$6:$B$17,0))),""))</f>
        <v/>
      </c>
      <c r="BN126" s="76" t="str">
        <f aca="false">IF(AN126="","",MAX(BK126,_xlfn.MAXIFS(AN$6:AN126,BJ$6:BJ126,BJ126)))</f>
        <v/>
      </c>
      <c r="BO126" s="83" t="str">
        <f aca="false">IF(AN126="","",(AN126-BN126)/BN126)</f>
        <v/>
      </c>
      <c r="BP126" s="66" t="n">
        <f aca="false">IF(OR(B126="",AL126=""),0,IF(OR(Settings!$C$28="All Accounts",BJ126=Settings!$C$28),1,0))</f>
        <v>0</v>
      </c>
      <c r="BQ126" s="66" t="str">
        <f aca="false">IF(BP126=1,SUM(BP$6:BP126),"")</f>
        <v/>
      </c>
      <c r="BR126" s="76" t="str">
        <f aca="false">IF(BP126=1,ROUND(Settings!$C$29+SUMIFS(AM$6:AM126,BP$6:BP126,1),2),"")</f>
        <v/>
      </c>
      <c r="BS126" s="76" t="str">
        <f aca="false">IF(BP126=1,MAX(Settings!$C$29,MAX(BR$6:BR126)),"")</f>
        <v/>
      </c>
      <c r="BT126" s="83" t="str">
        <f aca="false">IF(BP126=1,(BR126-BS126)/BS126,"")</f>
        <v/>
      </c>
      <c r="BU126" s="66" t="str">
        <f aca="false">IF(BP126=1,IF(AL126="Win",1+IF(BQ126=1,0,INDEX(BU$5:BU125,MATCH(BQ126-1,BQ$5:BQ125,0))),0),"")</f>
        <v/>
      </c>
      <c r="BV126" s="66" t="str">
        <f aca="false">IF(BP126=1,IF(AL126="Loss",1+IF(BQ126=1,0,INDEX(BV$5:BV125,MATCH(BQ126-1,BQ$5:BQ125,0))),0),"")</f>
        <v/>
      </c>
    </row>
    <row r="127" customFormat="false" ht="15" hidden="false" customHeight="false" outlineLevel="0" collapsed="false">
      <c r="A127" s="66" t="str">
        <f aca="false">IF(B127="","",ROW()-5)</f>
        <v/>
      </c>
      <c r="B127" s="67"/>
      <c r="C127" s="68" t="str">
        <f aca="false">IF(B127="","",CHOOSE(WEEKDAY(B127,2),"Mon","Tue","Wed","Thu","Fri","Sat","Sun"))</f>
        <v/>
      </c>
      <c r="D127" s="66" t="str">
        <f aca="false">IF(B127="","",WEEKNUM(B127,2))</f>
        <v/>
      </c>
      <c r="E127" s="69"/>
      <c r="F127" s="69"/>
      <c r="G127" s="70"/>
      <c r="H127" s="70"/>
      <c r="I127" s="69"/>
      <c r="J127" s="69"/>
      <c r="K127" s="69"/>
      <c r="L127" s="71"/>
      <c r="M127" s="69"/>
      <c r="N127" s="69"/>
      <c r="O127" s="69"/>
      <c r="P127" s="71"/>
      <c r="Q127" s="69"/>
      <c r="R127" s="69"/>
      <c r="S127" s="69"/>
      <c r="T127" s="69"/>
      <c r="U127" s="69"/>
      <c r="V127" s="69"/>
      <c r="W127" s="69"/>
      <c r="X127" s="66" t="str">
        <f aca="false">IF(B127="","",COUNTIF(Q127:W127,"Yes"))</f>
        <v/>
      </c>
      <c r="Y127" s="68" t="str">
        <f aca="false">IF(B127="","",IF(X127&gt;=Settings!$C$16,"A+",IF(X127&gt;=Settings!$C$17,"A",IF(X127&gt;=Settings!$C$18,"B","C"))))</f>
        <v/>
      </c>
      <c r="Z127" s="72"/>
      <c r="AA127" s="72"/>
      <c r="AB127" s="72"/>
      <c r="AC127" s="72"/>
      <c r="AD127" s="72"/>
      <c r="AE127" s="72"/>
      <c r="AF127" s="73"/>
      <c r="AG127" s="74"/>
      <c r="AH127" s="75"/>
      <c r="AI127" s="76" t="str">
        <f aca="false">IF(B127="","",ROUND(IF(AG127="",Settings!$C$5,AG127)*AW127,2))</f>
        <v/>
      </c>
      <c r="AJ127" s="77" t="str">
        <f aca="false">IF(OR(B127="",AB127="",AC127="",AD127=""),"",IFERROR(ROUND(ABS(AD127-AB127)/ABS(AB127-AC127),2),""))</f>
        <v/>
      </c>
      <c r="AK127" s="78" t="str">
        <f aca="false">IF(OR(B127="",AB127="",AC127="",AE127=""),"",IFERROR(ROUND(IF(J127="Short",AB127-AE127,AE127-AB127)/ABS(AB127-AC127),2),""))</f>
        <v/>
      </c>
      <c r="AL127" s="68" t="str">
        <f aca="false">IF(AK127="","",IF(ABS(AK127)&lt;=Settings!$C$6,"BE",IF(AK127&gt;0,"Win","Loss")))</f>
        <v/>
      </c>
      <c r="AM127" s="79" t="str">
        <f aca="false">IF(OR(AK127="",AI127=""),"",ROUND(AK127*AI127-N(AH127),2))</f>
        <v/>
      </c>
      <c r="AN127" s="76" t="str">
        <f aca="false">IF(AM127="","",ROUND(BK127+SUMIFS(AM$6:AM127,BJ$6:BJ127,BJ127),2))</f>
        <v/>
      </c>
      <c r="AO127" s="78" t="str">
        <f aca="false">IF(AK127="","",ROUND(SUMIFS(AK$6:AK127,BJ$6:BJ127,BJ127),2))</f>
        <v/>
      </c>
      <c r="AP127" s="80" t="str">
        <f aca="false">IF(OR(AK127="",BL127=""),"",IFERROR(ROUND(IF(J127="Short",AB127-AE127,AE127-AB127)/BL127,1),""))</f>
        <v/>
      </c>
      <c r="AQ127" s="66" t="str">
        <f aca="false">IF(OR(G127="",H127=""),"",ROUND(MOD(H127-G127,1)*1440,0))</f>
        <v/>
      </c>
      <c r="AR127" s="68" t="str">
        <f aca="false">IF(AQ127="","",IF(AQ127&lt;15,"Under 15m",IF(AQ127&lt;60,"15-60m",IF(AQ127&lt;240,"1-4 hours","4+ hours"))))</f>
        <v/>
      </c>
      <c r="AS127" s="66" t="str">
        <f aca="false">IF(G127="","",HOUR(G127))</f>
        <v/>
      </c>
      <c r="AT127" s="80" t="str">
        <f aca="false">IF(OR(Z127="",AB127="",BL127=""),"",IFERROR(ROUND(IF(J127="Short",Z127-AB127,AB127-Z127)/BL127,1),""))</f>
        <v/>
      </c>
      <c r="AU127" s="68" t="str">
        <f aca="false">IF(OR(AA127="",AC127=""),"",IF(AA127=AC127,"No","Yes"))</f>
        <v/>
      </c>
      <c r="AV127" s="81" t="str">
        <f aca="false">IF(OR(B127="",BL127="",BM127="",AB127="",AC127=""),"",IFERROR(ROUND(AI127/(ABS(AB127-AC127)/BL127*BM127),2),""))</f>
        <v/>
      </c>
      <c r="AW127" s="76" t="str">
        <f aca="false">IF(B127="","",ROUND(BK127+SUMIFS(AM$5:AM126,BJ$5:BJ126,BJ127),2))</f>
        <v/>
      </c>
      <c r="AX127" s="66" t="str">
        <f aca="false">IF(B127="","",COUNTIFS(B$6:B127,B127,BJ$6:BJ127,BJ127))</f>
        <v/>
      </c>
      <c r="AY127" s="79" t="str">
        <f aca="false">IF(B127="","",ROUND(SUMIFS(AM$5:AM126,B$5:B126,B127,BJ$5:BJ126,BJ127),2))</f>
        <v/>
      </c>
      <c r="AZ127" s="79" t="str">
        <f aca="false">IF(AM127="","",ROUND(AY127+AM127,2))</f>
        <v/>
      </c>
      <c r="BA127" s="79" t="str">
        <f aca="false">IF(B127="","",ROUND(SUMIFS(AM$5:AM126,B$5:B126,"&gt;="&amp;(B127-WEEKDAY(B127,2)+1),B$5:B126,"&lt;="&amp;B127,BJ$5:BJ126,BJ127),2))</f>
        <v/>
      </c>
      <c r="BB127" s="68" t="str">
        <f aca="false">IF(B127="","",IF(AND(AF127&lt;&gt;"",AV127&lt;&gt;"",N(AF127)&gt;N(AV127)*(1+Settings!$C$13)),"Oversized",IF(AX127&gt;Settings!$C$10,"Overtraded",IF(AY127&lt;=-Settings!$C$11*(AW127-AY127),"Daily loss hit",IF(BA127&lt;=-Settings!$C$12*(AW127-BA127),"Weekly loss hit","OK")))))</f>
        <v/>
      </c>
      <c r="BC127" s="69"/>
      <c r="BD127" s="69"/>
      <c r="BE127" s="69"/>
      <c r="BF127" s="73"/>
      <c r="BG127" s="73"/>
      <c r="BH127" s="71"/>
      <c r="BI127" s="71"/>
      <c r="BJ127" s="68" t="str">
        <f aca="false">IF(B127="","",IF(E127="",Settings!$F$5,E127))</f>
        <v/>
      </c>
      <c r="BK127" s="76" t="str">
        <f aca="false">IF(B127="","",IFERROR(INDEX(Settings!$G$5:$G$10,MATCH(BJ127,Settings!$F$5:$F$10,0)),Settings!$G$5))</f>
        <v/>
      </c>
      <c r="BL127" s="82" t="str">
        <f aca="false">IF(I127="","",IFERROR(1/(1/INDEX(Lists!$C$6:$C$17,MATCH(I127,Lists!$B$6:$B$17,0))),""))</f>
        <v/>
      </c>
      <c r="BM127" s="81" t="str">
        <f aca="false">IF(I127="","",IFERROR(1/(1/INDEX(Lists!$D$6:$D$17,MATCH(I127,Lists!$B$6:$B$17,0))),""))</f>
        <v/>
      </c>
      <c r="BN127" s="76" t="str">
        <f aca="false">IF(AN127="","",MAX(BK127,_xlfn.MAXIFS(AN$6:AN127,BJ$6:BJ127,BJ127)))</f>
        <v/>
      </c>
      <c r="BO127" s="83" t="str">
        <f aca="false">IF(AN127="","",(AN127-BN127)/BN127)</f>
        <v/>
      </c>
      <c r="BP127" s="66" t="n">
        <f aca="false">IF(OR(B127="",AL127=""),0,IF(OR(Settings!$C$28="All Accounts",BJ127=Settings!$C$28),1,0))</f>
        <v>0</v>
      </c>
      <c r="BQ127" s="66" t="str">
        <f aca="false">IF(BP127=1,SUM(BP$6:BP127),"")</f>
        <v/>
      </c>
      <c r="BR127" s="76" t="str">
        <f aca="false">IF(BP127=1,ROUND(Settings!$C$29+SUMIFS(AM$6:AM127,BP$6:BP127,1),2),"")</f>
        <v/>
      </c>
      <c r="BS127" s="76" t="str">
        <f aca="false">IF(BP127=1,MAX(Settings!$C$29,MAX(BR$6:BR127)),"")</f>
        <v/>
      </c>
      <c r="BT127" s="83" t="str">
        <f aca="false">IF(BP127=1,(BR127-BS127)/BS127,"")</f>
        <v/>
      </c>
      <c r="BU127" s="66" t="str">
        <f aca="false">IF(BP127=1,IF(AL127="Win",1+IF(BQ127=1,0,INDEX(BU$5:BU126,MATCH(BQ127-1,BQ$5:BQ126,0))),0),"")</f>
        <v/>
      </c>
      <c r="BV127" s="66" t="str">
        <f aca="false">IF(BP127=1,IF(AL127="Loss",1+IF(BQ127=1,0,INDEX(BV$5:BV126,MATCH(BQ127-1,BQ$5:BQ126,0))),0),"")</f>
        <v/>
      </c>
    </row>
    <row r="128" customFormat="false" ht="15" hidden="false" customHeight="false" outlineLevel="0" collapsed="false">
      <c r="A128" s="66" t="str">
        <f aca="false">IF(B128="","",ROW()-5)</f>
        <v/>
      </c>
      <c r="B128" s="67"/>
      <c r="C128" s="68" t="str">
        <f aca="false">IF(B128="","",CHOOSE(WEEKDAY(B128,2),"Mon","Tue","Wed","Thu","Fri","Sat","Sun"))</f>
        <v/>
      </c>
      <c r="D128" s="66" t="str">
        <f aca="false">IF(B128="","",WEEKNUM(B128,2))</f>
        <v/>
      </c>
      <c r="E128" s="69"/>
      <c r="F128" s="69"/>
      <c r="G128" s="70"/>
      <c r="H128" s="70"/>
      <c r="I128" s="69"/>
      <c r="J128" s="69"/>
      <c r="K128" s="69"/>
      <c r="L128" s="71"/>
      <c r="M128" s="69"/>
      <c r="N128" s="69"/>
      <c r="O128" s="69"/>
      <c r="P128" s="71"/>
      <c r="Q128" s="69"/>
      <c r="R128" s="69"/>
      <c r="S128" s="69"/>
      <c r="T128" s="69"/>
      <c r="U128" s="69"/>
      <c r="V128" s="69"/>
      <c r="W128" s="69"/>
      <c r="X128" s="66" t="str">
        <f aca="false">IF(B128="","",COUNTIF(Q128:W128,"Yes"))</f>
        <v/>
      </c>
      <c r="Y128" s="68" t="str">
        <f aca="false">IF(B128="","",IF(X128&gt;=Settings!$C$16,"A+",IF(X128&gt;=Settings!$C$17,"A",IF(X128&gt;=Settings!$C$18,"B","C"))))</f>
        <v/>
      </c>
      <c r="Z128" s="72"/>
      <c r="AA128" s="72"/>
      <c r="AB128" s="72"/>
      <c r="AC128" s="72"/>
      <c r="AD128" s="72"/>
      <c r="AE128" s="72"/>
      <c r="AF128" s="73"/>
      <c r="AG128" s="74"/>
      <c r="AH128" s="75"/>
      <c r="AI128" s="76" t="str">
        <f aca="false">IF(B128="","",ROUND(IF(AG128="",Settings!$C$5,AG128)*AW128,2))</f>
        <v/>
      </c>
      <c r="AJ128" s="77" t="str">
        <f aca="false">IF(OR(B128="",AB128="",AC128="",AD128=""),"",IFERROR(ROUND(ABS(AD128-AB128)/ABS(AB128-AC128),2),""))</f>
        <v/>
      </c>
      <c r="AK128" s="78" t="str">
        <f aca="false">IF(OR(B128="",AB128="",AC128="",AE128=""),"",IFERROR(ROUND(IF(J128="Short",AB128-AE128,AE128-AB128)/ABS(AB128-AC128),2),""))</f>
        <v/>
      </c>
      <c r="AL128" s="68" t="str">
        <f aca="false">IF(AK128="","",IF(ABS(AK128)&lt;=Settings!$C$6,"BE",IF(AK128&gt;0,"Win","Loss")))</f>
        <v/>
      </c>
      <c r="AM128" s="79" t="str">
        <f aca="false">IF(OR(AK128="",AI128=""),"",ROUND(AK128*AI128-N(AH128),2))</f>
        <v/>
      </c>
      <c r="AN128" s="76" t="str">
        <f aca="false">IF(AM128="","",ROUND(BK128+SUMIFS(AM$6:AM128,BJ$6:BJ128,BJ128),2))</f>
        <v/>
      </c>
      <c r="AO128" s="78" t="str">
        <f aca="false">IF(AK128="","",ROUND(SUMIFS(AK$6:AK128,BJ$6:BJ128,BJ128),2))</f>
        <v/>
      </c>
      <c r="AP128" s="80" t="str">
        <f aca="false">IF(OR(AK128="",BL128=""),"",IFERROR(ROUND(IF(J128="Short",AB128-AE128,AE128-AB128)/BL128,1),""))</f>
        <v/>
      </c>
      <c r="AQ128" s="66" t="str">
        <f aca="false">IF(OR(G128="",H128=""),"",ROUND(MOD(H128-G128,1)*1440,0))</f>
        <v/>
      </c>
      <c r="AR128" s="68" t="str">
        <f aca="false">IF(AQ128="","",IF(AQ128&lt;15,"Under 15m",IF(AQ128&lt;60,"15-60m",IF(AQ128&lt;240,"1-4 hours","4+ hours"))))</f>
        <v/>
      </c>
      <c r="AS128" s="66" t="str">
        <f aca="false">IF(G128="","",HOUR(G128))</f>
        <v/>
      </c>
      <c r="AT128" s="80" t="str">
        <f aca="false">IF(OR(Z128="",AB128="",BL128=""),"",IFERROR(ROUND(IF(J128="Short",Z128-AB128,AB128-Z128)/BL128,1),""))</f>
        <v/>
      </c>
      <c r="AU128" s="68" t="str">
        <f aca="false">IF(OR(AA128="",AC128=""),"",IF(AA128=AC128,"No","Yes"))</f>
        <v/>
      </c>
      <c r="AV128" s="81" t="str">
        <f aca="false">IF(OR(B128="",BL128="",BM128="",AB128="",AC128=""),"",IFERROR(ROUND(AI128/(ABS(AB128-AC128)/BL128*BM128),2),""))</f>
        <v/>
      </c>
      <c r="AW128" s="76" t="str">
        <f aca="false">IF(B128="","",ROUND(BK128+SUMIFS(AM$5:AM127,BJ$5:BJ127,BJ128),2))</f>
        <v/>
      </c>
      <c r="AX128" s="66" t="str">
        <f aca="false">IF(B128="","",COUNTIFS(B$6:B128,B128,BJ$6:BJ128,BJ128))</f>
        <v/>
      </c>
      <c r="AY128" s="79" t="str">
        <f aca="false">IF(B128="","",ROUND(SUMIFS(AM$5:AM127,B$5:B127,B128,BJ$5:BJ127,BJ128),2))</f>
        <v/>
      </c>
      <c r="AZ128" s="79" t="str">
        <f aca="false">IF(AM128="","",ROUND(AY128+AM128,2))</f>
        <v/>
      </c>
      <c r="BA128" s="79" t="str">
        <f aca="false">IF(B128="","",ROUND(SUMIFS(AM$5:AM127,B$5:B127,"&gt;="&amp;(B128-WEEKDAY(B128,2)+1),B$5:B127,"&lt;="&amp;B128,BJ$5:BJ127,BJ128),2))</f>
        <v/>
      </c>
      <c r="BB128" s="68" t="str">
        <f aca="false">IF(B128="","",IF(AND(AF128&lt;&gt;"",AV128&lt;&gt;"",N(AF128)&gt;N(AV128)*(1+Settings!$C$13)),"Oversized",IF(AX128&gt;Settings!$C$10,"Overtraded",IF(AY128&lt;=-Settings!$C$11*(AW128-AY128),"Daily loss hit",IF(BA128&lt;=-Settings!$C$12*(AW128-BA128),"Weekly loss hit","OK")))))</f>
        <v/>
      </c>
      <c r="BC128" s="69"/>
      <c r="BD128" s="69"/>
      <c r="BE128" s="69"/>
      <c r="BF128" s="73"/>
      <c r="BG128" s="73"/>
      <c r="BH128" s="71"/>
      <c r="BI128" s="71"/>
      <c r="BJ128" s="68" t="str">
        <f aca="false">IF(B128="","",IF(E128="",Settings!$F$5,E128))</f>
        <v/>
      </c>
      <c r="BK128" s="76" t="str">
        <f aca="false">IF(B128="","",IFERROR(INDEX(Settings!$G$5:$G$10,MATCH(BJ128,Settings!$F$5:$F$10,0)),Settings!$G$5))</f>
        <v/>
      </c>
      <c r="BL128" s="82" t="str">
        <f aca="false">IF(I128="","",IFERROR(1/(1/INDEX(Lists!$C$6:$C$17,MATCH(I128,Lists!$B$6:$B$17,0))),""))</f>
        <v/>
      </c>
      <c r="BM128" s="81" t="str">
        <f aca="false">IF(I128="","",IFERROR(1/(1/INDEX(Lists!$D$6:$D$17,MATCH(I128,Lists!$B$6:$B$17,0))),""))</f>
        <v/>
      </c>
      <c r="BN128" s="76" t="str">
        <f aca="false">IF(AN128="","",MAX(BK128,_xlfn.MAXIFS(AN$6:AN128,BJ$6:BJ128,BJ128)))</f>
        <v/>
      </c>
      <c r="BO128" s="83" t="str">
        <f aca="false">IF(AN128="","",(AN128-BN128)/BN128)</f>
        <v/>
      </c>
      <c r="BP128" s="66" t="n">
        <f aca="false">IF(OR(B128="",AL128=""),0,IF(OR(Settings!$C$28="All Accounts",BJ128=Settings!$C$28),1,0))</f>
        <v>0</v>
      </c>
      <c r="BQ128" s="66" t="str">
        <f aca="false">IF(BP128=1,SUM(BP$6:BP128),"")</f>
        <v/>
      </c>
      <c r="BR128" s="76" t="str">
        <f aca="false">IF(BP128=1,ROUND(Settings!$C$29+SUMIFS(AM$6:AM128,BP$6:BP128,1),2),"")</f>
        <v/>
      </c>
      <c r="BS128" s="76" t="str">
        <f aca="false">IF(BP128=1,MAX(Settings!$C$29,MAX(BR$6:BR128)),"")</f>
        <v/>
      </c>
      <c r="BT128" s="83" t="str">
        <f aca="false">IF(BP128=1,(BR128-BS128)/BS128,"")</f>
        <v/>
      </c>
      <c r="BU128" s="66" t="str">
        <f aca="false">IF(BP128=1,IF(AL128="Win",1+IF(BQ128=1,0,INDEX(BU$5:BU127,MATCH(BQ128-1,BQ$5:BQ127,0))),0),"")</f>
        <v/>
      </c>
      <c r="BV128" s="66" t="str">
        <f aca="false">IF(BP128=1,IF(AL128="Loss",1+IF(BQ128=1,0,INDEX(BV$5:BV127,MATCH(BQ128-1,BQ$5:BQ127,0))),0),"")</f>
        <v/>
      </c>
    </row>
    <row r="129" customFormat="false" ht="15" hidden="false" customHeight="false" outlineLevel="0" collapsed="false">
      <c r="A129" s="66" t="str">
        <f aca="false">IF(B129="","",ROW()-5)</f>
        <v/>
      </c>
      <c r="B129" s="67"/>
      <c r="C129" s="68" t="str">
        <f aca="false">IF(B129="","",CHOOSE(WEEKDAY(B129,2),"Mon","Tue","Wed","Thu","Fri","Sat","Sun"))</f>
        <v/>
      </c>
      <c r="D129" s="66" t="str">
        <f aca="false">IF(B129="","",WEEKNUM(B129,2))</f>
        <v/>
      </c>
      <c r="E129" s="69"/>
      <c r="F129" s="69"/>
      <c r="G129" s="70"/>
      <c r="H129" s="70"/>
      <c r="I129" s="69"/>
      <c r="J129" s="69"/>
      <c r="K129" s="69"/>
      <c r="L129" s="71"/>
      <c r="M129" s="69"/>
      <c r="N129" s="69"/>
      <c r="O129" s="69"/>
      <c r="P129" s="71"/>
      <c r="Q129" s="69"/>
      <c r="R129" s="69"/>
      <c r="S129" s="69"/>
      <c r="T129" s="69"/>
      <c r="U129" s="69"/>
      <c r="V129" s="69"/>
      <c r="W129" s="69"/>
      <c r="X129" s="66" t="str">
        <f aca="false">IF(B129="","",COUNTIF(Q129:W129,"Yes"))</f>
        <v/>
      </c>
      <c r="Y129" s="68" t="str">
        <f aca="false">IF(B129="","",IF(X129&gt;=Settings!$C$16,"A+",IF(X129&gt;=Settings!$C$17,"A",IF(X129&gt;=Settings!$C$18,"B","C"))))</f>
        <v/>
      </c>
      <c r="Z129" s="72"/>
      <c r="AA129" s="72"/>
      <c r="AB129" s="72"/>
      <c r="AC129" s="72"/>
      <c r="AD129" s="72"/>
      <c r="AE129" s="72"/>
      <c r="AF129" s="73"/>
      <c r="AG129" s="74"/>
      <c r="AH129" s="75"/>
      <c r="AI129" s="76" t="str">
        <f aca="false">IF(B129="","",ROUND(IF(AG129="",Settings!$C$5,AG129)*AW129,2))</f>
        <v/>
      </c>
      <c r="AJ129" s="77" t="str">
        <f aca="false">IF(OR(B129="",AB129="",AC129="",AD129=""),"",IFERROR(ROUND(ABS(AD129-AB129)/ABS(AB129-AC129),2),""))</f>
        <v/>
      </c>
      <c r="AK129" s="78" t="str">
        <f aca="false">IF(OR(B129="",AB129="",AC129="",AE129=""),"",IFERROR(ROUND(IF(J129="Short",AB129-AE129,AE129-AB129)/ABS(AB129-AC129),2),""))</f>
        <v/>
      </c>
      <c r="AL129" s="68" t="str">
        <f aca="false">IF(AK129="","",IF(ABS(AK129)&lt;=Settings!$C$6,"BE",IF(AK129&gt;0,"Win","Loss")))</f>
        <v/>
      </c>
      <c r="AM129" s="79" t="str">
        <f aca="false">IF(OR(AK129="",AI129=""),"",ROUND(AK129*AI129-N(AH129),2))</f>
        <v/>
      </c>
      <c r="AN129" s="76" t="str">
        <f aca="false">IF(AM129="","",ROUND(BK129+SUMIFS(AM$6:AM129,BJ$6:BJ129,BJ129),2))</f>
        <v/>
      </c>
      <c r="AO129" s="78" t="str">
        <f aca="false">IF(AK129="","",ROUND(SUMIFS(AK$6:AK129,BJ$6:BJ129,BJ129),2))</f>
        <v/>
      </c>
      <c r="AP129" s="80" t="str">
        <f aca="false">IF(OR(AK129="",BL129=""),"",IFERROR(ROUND(IF(J129="Short",AB129-AE129,AE129-AB129)/BL129,1),""))</f>
        <v/>
      </c>
      <c r="AQ129" s="66" t="str">
        <f aca="false">IF(OR(G129="",H129=""),"",ROUND(MOD(H129-G129,1)*1440,0))</f>
        <v/>
      </c>
      <c r="AR129" s="68" t="str">
        <f aca="false">IF(AQ129="","",IF(AQ129&lt;15,"Under 15m",IF(AQ129&lt;60,"15-60m",IF(AQ129&lt;240,"1-4 hours","4+ hours"))))</f>
        <v/>
      </c>
      <c r="AS129" s="66" t="str">
        <f aca="false">IF(G129="","",HOUR(G129))</f>
        <v/>
      </c>
      <c r="AT129" s="80" t="str">
        <f aca="false">IF(OR(Z129="",AB129="",BL129=""),"",IFERROR(ROUND(IF(J129="Short",Z129-AB129,AB129-Z129)/BL129,1),""))</f>
        <v/>
      </c>
      <c r="AU129" s="68" t="str">
        <f aca="false">IF(OR(AA129="",AC129=""),"",IF(AA129=AC129,"No","Yes"))</f>
        <v/>
      </c>
      <c r="AV129" s="81" t="str">
        <f aca="false">IF(OR(B129="",BL129="",BM129="",AB129="",AC129=""),"",IFERROR(ROUND(AI129/(ABS(AB129-AC129)/BL129*BM129),2),""))</f>
        <v/>
      </c>
      <c r="AW129" s="76" t="str">
        <f aca="false">IF(B129="","",ROUND(BK129+SUMIFS(AM$5:AM128,BJ$5:BJ128,BJ129),2))</f>
        <v/>
      </c>
      <c r="AX129" s="66" t="str">
        <f aca="false">IF(B129="","",COUNTIFS(B$6:B129,B129,BJ$6:BJ129,BJ129))</f>
        <v/>
      </c>
      <c r="AY129" s="79" t="str">
        <f aca="false">IF(B129="","",ROUND(SUMIFS(AM$5:AM128,B$5:B128,B129,BJ$5:BJ128,BJ129),2))</f>
        <v/>
      </c>
      <c r="AZ129" s="79" t="str">
        <f aca="false">IF(AM129="","",ROUND(AY129+AM129,2))</f>
        <v/>
      </c>
      <c r="BA129" s="79" t="str">
        <f aca="false">IF(B129="","",ROUND(SUMIFS(AM$5:AM128,B$5:B128,"&gt;="&amp;(B129-WEEKDAY(B129,2)+1),B$5:B128,"&lt;="&amp;B129,BJ$5:BJ128,BJ129),2))</f>
        <v/>
      </c>
      <c r="BB129" s="68" t="str">
        <f aca="false">IF(B129="","",IF(AND(AF129&lt;&gt;"",AV129&lt;&gt;"",N(AF129)&gt;N(AV129)*(1+Settings!$C$13)),"Oversized",IF(AX129&gt;Settings!$C$10,"Overtraded",IF(AY129&lt;=-Settings!$C$11*(AW129-AY129),"Daily loss hit",IF(BA129&lt;=-Settings!$C$12*(AW129-BA129),"Weekly loss hit","OK")))))</f>
        <v/>
      </c>
      <c r="BC129" s="69"/>
      <c r="BD129" s="69"/>
      <c r="BE129" s="69"/>
      <c r="BF129" s="73"/>
      <c r="BG129" s="73"/>
      <c r="BH129" s="71"/>
      <c r="BI129" s="71"/>
      <c r="BJ129" s="68" t="str">
        <f aca="false">IF(B129="","",IF(E129="",Settings!$F$5,E129))</f>
        <v/>
      </c>
      <c r="BK129" s="76" t="str">
        <f aca="false">IF(B129="","",IFERROR(INDEX(Settings!$G$5:$G$10,MATCH(BJ129,Settings!$F$5:$F$10,0)),Settings!$G$5))</f>
        <v/>
      </c>
      <c r="BL129" s="82" t="str">
        <f aca="false">IF(I129="","",IFERROR(1/(1/INDEX(Lists!$C$6:$C$17,MATCH(I129,Lists!$B$6:$B$17,0))),""))</f>
        <v/>
      </c>
      <c r="BM129" s="81" t="str">
        <f aca="false">IF(I129="","",IFERROR(1/(1/INDEX(Lists!$D$6:$D$17,MATCH(I129,Lists!$B$6:$B$17,0))),""))</f>
        <v/>
      </c>
      <c r="BN129" s="76" t="str">
        <f aca="false">IF(AN129="","",MAX(BK129,_xlfn.MAXIFS(AN$6:AN129,BJ$6:BJ129,BJ129)))</f>
        <v/>
      </c>
      <c r="BO129" s="83" t="str">
        <f aca="false">IF(AN129="","",(AN129-BN129)/BN129)</f>
        <v/>
      </c>
      <c r="BP129" s="66" t="n">
        <f aca="false">IF(OR(B129="",AL129=""),0,IF(OR(Settings!$C$28="All Accounts",BJ129=Settings!$C$28),1,0))</f>
        <v>0</v>
      </c>
      <c r="BQ129" s="66" t="str">
        <f aca="false">IF(BP129=1,SUM(BP$6:BP129),"")</f>
        <v/>
      </c>
      <c r="BR129" s="76" t="str">
        <f aca="false">IF(BP129=1,ROUND(Settings!$C$29+SUMIFS(AM$6:AM129,BP$6:BP129,1),2),"")</f>
        <v/>
      </c>
      <c r="BS129" s="76" t="str">
        <f aca="false">IF(BP129=1,MAX(Settings!$C$29,MAX(BR$6:BR129)),"")</f>
        <v/>
      </c>
      <c r="BT129" s="83" t="str">
        <f aca="false">IF(BP129=1,(BR129-BS129)/BS129,"")</f>
        <v/>
      </c>
      <c r="BU129" s="66" t="str">
        <f aca="false">IF(BP129=1,IF(AL129="Win",1+IF(BQ129=1,0,INDEX(BU$5:BU128,MATCH(BQ129-1,BQ$5:BQ128,0))),0),"")</f>
        <v/>
      </c>
      <c r="BV129" s="66" t="str">
        <f aca="false">IF(BP129=1,IF(AL129="Loss",1+IF(BQ129=1,0,INDEX(BV$5:BV128,MATCH(BQ129-1,BQ$5:BQ128,0))),0),"")</f>
        <v/>
      </c>
    </row>
    <row r="130" customFormat="false" ht="15" hidden="false" customHeight="false" outlineLevel="0" collapsed="false">
      <c r="A130" s="66" t="str">
        <f aca="false">IF(B130="","",ROW()-5)</f>
        <v/>
      </c>
      <c r="B130" s="67"/>
      <c r="C130" s="68" t="str">
        <f aca="false">IF(B130="","",CHOOSE(WEEKDAY(B130,2),"Mon","Tue","Wed","Thu","Fri","Sat","Sun"))</f>
        <v/>
      </c>
      <c r="D130" s="66" t="str">
        <f aca="false">IF(B130="","",WEEKNUM(B130,2))</f>
        <v/>
      </c>
      <c r="E130" s="69"/>
      <c r="F130" s="69"/>
      <c r="G130" s="70"/>
      <c r="H130" s="70"/>
      <c r="I130" s="69"/>
      <c r="J130" s="69"/>
      <c r="K130" s="69"/>
      <c r="L130" s="71"/>
      <c r="M130" s="69"/>
      <c r="N130" s="69"/>
      <c r="O130" s="69"/>
      <c r="P130" s="71"/>
      <c r="Q130" s="69"/>
      <c r="R130" s="69"/>
      <c r="S130" s="69"/>
      <c r="T130" s="69"/>
      <c r="U130" s="69"/>
      <c r="V130" s="69"/>
      <c r="W130" s="69"/>
      <c r="X130" s="66" t="str">
        <f aca="false">IF(B130="","",COUNTIF(Q130:W130,"Yes"))</f>
        <v/>
      </c>
      <c r="Y130" s="68" t="str">
        <f aca="false">IF(B130="","",IF(X130&gt;=Settings!$C$16,"A+",IF(X130&gt;=Settings!$C$17,"A",IF(X130&gt;=Settings!$C$18,"B","C"))))</f>
        <v/>
      </c>
      <c r="Z130" s="72"/>
      <c r="AA130" s="72"/>
      <c r="AB130" s="72"/>
      <c r="AC130" s="72"/>
      <c r="AD130" s="72"/>
      <c r="AE130" s="72"/>
      <c r="AF130" s="73"/>
      <c r="AG130" s="74"/>
      <c r="AH130" s="75"/>
      <c r="AI130" s="76" t="str">
        <f aca="false">IF(B130="","",ROUND(IF(AG130="",Settings!$C$5,AG130)*AW130,2))</f>
        <v/>
      </c>
      <c r="AJ130" s="77" t="str">
        <f aca="false">IF(OR(B130="",AB130="",AC130="",AD130=""),"",IFERROR(ROUND(ABS(AD130-AB130)/ABS(AB130-AC130),2),""))</f>
        <v/>
      </c>
      <c r="AK130" s="78" t="str">
        <f aca="false">IF(OR(B130="",AB130="",AC130="",AE130=""),"",IFERROR(ROUND(IF(J130="Short",AB130-AE130,AE130-AB130)/ABS(AB130-AC130),2),""))</f>
        <v/>
      </c>
      <c r="AL130" s="68" t="str">
        <f aca="false">IF(AK130="","",IF(ABS(AK130)&lt;=Settings!$C$6,"BE",IF(AK130&gt;0,"Win","Loss")))</f>
        <v/>
      </c>
      <c r="AM130" s="79" t="str">
        <f aca="false">IF(OR(AK130="",AI130=""),"",ROUND(AK130*AI130-N(AH130),2))</f>
        <v/>
      </c>
      <c r="AN130" s="76" t="str">
        <f aca="false">IF(AM130="","",ROUND(BK130+SUMIFS(AM$6:AM130,BJ$6:BJ130,BJ130),2))</f>
        <v/>
      </c>
      <c r="AO130" s="78" t="str">
        <f aca="false">IF(AK130="","",ROUND(SUMIFS(AK$6:AK130,BJ$6:BJ130,BJ130),2))</f>
        <v/>
      </c>
      <c r="AP130" s="80" t="str">
        <f aca="false">IF(OR(AK130="",BL130=""),"",IFERROR(ROUND(IF(J130="Short",AB130-AE130,AE130-AB130)/BL130,1),""))</f>
        <v/>
      </c>
      <c r="AQ130" s="66" t="str">
        <f aca="false">IF(OR(G130="",H130=""),"",ROUND(MOD(H130-G130,1)*1440,0))</f>
        <v/>
      </c>
      <c r="AR130" s="68" t="str">
        <f aca="false">IF(AQ130="","",IF(AQ130&lt;15,"Under 15m",IF(AQ130&lt;60,"15-60m",IF(AQ130&lt;240,"1-4 hours","4+ hours"))))</f>
        <v/>
      </c>
      <c r="AS130" s="66" t="str">
        <f aca="false">IF(G130="","",HOUR(G130))</f>
        <v/>
      </c>
      <c r="AT130" s="80" t="str">
        <f aca="false">IF(OR(Z130="",AB130="",BL130=""),"",IFERROR(ROUND(IF(J130="Short",Z130-AB130,AB130-Z130)/BL130,1),""))</f>
        <v/>
      </c>
      <c r="AU130" s="68" t="str">
        <f aca="false">IF(OR(AA130="",AC130=""),"",IF(AA130=AC130,"No","Yes"))</f>
        <v/>
      </c>
      <c r="AV130" s="81" t="str">
        <f aca="false">IF(OR(B130="",BL130="",BM130="",AB130="",AC130=""),"",IFERROR(ROUND(AI130/(ABS(AB130-AC130)/BL130*BM130),2),""))</f>
        <v/>
      </c>
      <c r="AW130" s="76" t="str">
        <f aca="false">IF(B130="","",ROUND(BK130+SUMIFS(AM$5:AM129,BJ$5:BJ129,BJ130),2))</f>
        <v/>
      </c>
      <c r="AX130" s="66" t="str">
        <f aca="false">IF(B130="","",COUNTIFS(B$6:B130,B130,BJ$6:BJ130,BJ130))</f>
        <v/>
      </c>
      <c r="AY130" s="79" t="str">
        <f aca="false">IF(B130="","",ROUND(SUMIFS(AM$5:AM129,B$5:B129,B130,BJ$5:BJ129,BJ130),2))</f>
        <v/>
      </c>
      <c r="AZ130" s="79" t="str">
        <f aca="false">IF(AM130="","",ROUND(AY130+AM130,2))</f>
        <v/>
      </c>
      <c r="BA130" s="79" t="str">
        <f aca="false">IF(B130="","",ROUND(SUMIFS(AM$5:AM129,B$5:B129,"&gt;="&amp;(B130-WEEKDAY(B130,2)+1),B$5:B129,"&lt;="&amp;B130,BJ$5:BJ129,BJ130),2))</f>
        <v/>
      </c>
      <c r="BB130" s="68" t="str">
        <f aca="false">IF(B130="","",IF(AND(AF130&lt;&gt;"",AV130&lt;&gt;"",N(AF130)&gt;N(AV130)*(1+Settings!$C$13)),"Oversized",IF(AX130&gt;Settings!$C$10,"Overtraded",IF(AY130&lt;=-Settings!$C$11*(AW130-AY130),"Daily loss hit",IF(BA130&lt;=-Settings!$C$12*(AW130-BA130),"Weekly loss hit","OK")))))</f>
        <v/>
      </c>
      <c r="BC130" s="69"/>
      <c r="BD130" s="69"/>
      <c r="BE130" s="69"/>
      <c r="BF130" s="73"/>
      <c r="BG130" s="73"/>
      <c r="BH130" s="71"/>
      <c r="BI130" s="71"/>
      <c r="BJ130" s="68" t="str">
        <f aca="false">IF(B130="","",IF(E130="",Settings!$F$5,E130))</f>
        <v/>
      </c>
      <c r="BK130" s="76" t="str">
        <f aca="false">IF(B130="","",IFERROR(INDEX(Settings!$G$5:$G$10,MATCH(BJ130,Settings!$F$5:$F$10,0)),Settings!$G$5))</f>
        <v/>
      </c>
      <c r="BL130" s="82" t="str">
        <f aca="false">IF(I130="","",IFERROR(1/(1/INDEX(Lists!$C$6:$C$17,MATCH(I130,Lists!$B$6:$B$17,0))),""))</f>
        <v/>
      </c>
      <c r="BM130" s="81" t="str">
        <f aca="false">IF(I130="","",IFERROR(1/(1/INDEX(Lists!$D$6:$D$17,MATCH(I130,Lists!$B$6:$B$17,0))),""))</f>
        <v/>
      </c>
      <c r="BN130" s="76" t="str">
        <f aca="false">IF(AN130="","",MAX(BK130,_xlfn.MAXIFS(AN$6:AN130,BJ$6:BJ130,BJ130)))</f>
        <v/>
      </c>
      <c r="BO130" s="83" t="str">
        <f aca="false">IF(AN130="","",(AN130-BN130)/BN130)</f>
        <v/>
      </c>
      <c r="BP130" s="66" t="n">
        <f aca="false">IF(OR(B130="",AL130=""),0,IF(OR(Settings!$C$28="All Accounts",BJ130=Settings!$C$28),1,0))</f>
        <v>0</v>
      </c>
      <c r="BQ130" s="66" t="str">
        <f aca="false">IF(BP130=1,SUM(BP$6:BP130),"")</f>
        <v/>
      </c>
      <c r="BR130" s="76" t="str">
        <f aca="false">IF(BP130=1,ROUND(Settings!$C$29+SUMIFS(AM$6:AM130,BP$6:BP130,1),2),"")</f>
        <v/>
      </c>
      <c r="BS130" s="76" t="str">
        <f aca="false">IF(BP130=1,MAX(Settings!$C$29,MAX(BR$6:BR130)),"")</f>
        <v/>
      </c>
      <c r="BT130" s="83" t="str">
        <f aca="false">IF(BP130=1,(BR130-BS130)/BS130,"")</f>
        <v/>
      </c>
      <c r="BU130" s="66" t="str">
        <f aca="false">IF(BP130=1,IF(AL130="Win",1+IF(BQ130=1,0,INDEX(BU$5:BU129,MATCH(BQ130-1,BQ$5:BQ129,0))),0),"")</f>
        <v/>
      </c>
      <c r="BV130" s="66" t="str">
        <f aca="false">IF(BP130=1,IF(AL130="Loss",1+IF(BQ130=1,0,INDEX(BV$5:BV129,MATCH(BQ130-1,BQ$5:BQ129,0))),0),"")</f>
        <v/>
      </c>
    </row>
    <row r="131" customFormat="false" ht="15" hidden="false" customHeight="false" outlineLevel="0" collapsed="false">
      <c r="A131" s="66" t="str">
        <f aca="false">IF(B131="","",ROW()-5)</f>
        <v/>
      </c>
      <c r="B131" s="67"/>
      <c r="C131" s="68" t="str">
        <f aca="false">IF(B131="","",CHOOSE(WEEKDAY(B131,2),"Mon","Tue","Wed","Thu","Fri","Sat","Sun"))</f>
        <v/>
      </c>
      <c r="D131" s="66" t="str">
        <f aca="false">IF(B131="","",WEEKNUM(B131,2))</f>
        <v/>
      </c>
      <c r="E131" s="69"/>
      <c r="F131" s="69"/>
      <c r="G131" s="70"/>
      <c r="H131" s="70"/>
      <c r="I131" s="69"/>
      <c r="J131" s="69"/>
      <c r="K131" s="69"/>
      <c r="L131" s="71"/>
      <c r="M131" s="69"/>
      <c r="N131" s="69"/>
      <c r="O131" s="69"/>
      <c r="P131" s="71"/>
      <c r="Q131" s="69"/>
      <c r="R131" s="69"/>
      <c r="S131" s="69"/>
      <c r="T131" s="69"/>
      <c r="U131" s="69"/>
      <c r="V131" s="69"/>
      <c r="W131" s="69"/>
      <c r="X131" s="66" t="str">
        <f aca="false">IF(B131="","",COUNTIF(Q131:W131,"Yes"))</f>
        <v/>
      </c>
      <c r="Y131" s="68" t="str">
        <f aca="false">IF(B131="","",IF(X131&gt;=Settings!$C$16,"A+",IF(X131&gt;=Settings!$C$17,"A",IF(X131&gt;=Settings!$C$18,"B","C"))))</f>
        <v/>
      </c>
      <c r="Z131" s="72"/>
      <c r="AA131" s="72"/>
      <c r="AB131" s="72"/>
      <c r="AC131" s="72"/>
      <c r="AD131" s="72"/>
      <c r="AE131" s="72"/>
      <c r="AF131" s="73"/>
      <c r="AG131" s="74"/>
      <c r="AH131" s="75"/>
      <c r="AI131" s="76" t="str">
        <f aca="false">IF(B131="","",ROUND(IF(AG131="",Settings!$C$5,AG131)*AW131,2))</f>
        <v/>
      </c>
      <c r="AJ131" s="77" t="str">
        <f aca="false">IF(OR(B131="",AB131="",AC131="",AD131=""),"",IFERROR(ROUND(ABS(AD131-AB131)/ABS(AB131-AC131),2),""))</f>
        <v/>
      </c>
      <c r="AK131" s="78" t="str">
        <f aca="false">IF(OR(B131="",AB131="",AC131="",AE131=""),"",IFERROR(ROUND(IF(J131="Short",AB131-AE131,AE131-AB131)/ABS(AB131-AC131),2),""))</f>
        <v/>
      </c>
      <c r="AL131" s="68" t="str">
        <f aca="false">IF(AK131="","",IF(ABS(AK131)&lt;=Settings!$C$6,"BE",IF(AK131&gt;0,"Win","Loss")))</f>
        <v/>
      </c>
      <c r="AM131" s="79" t="str">
        <f aca="false">IF(OR(AK131="",AI131=""),"",ROUND(AK131*AI131-N(AH131),2))</f>
        <v/>
      </c>
      <c r="AN131" s="76" t="str">
        <f aca="false">IF(AM131="","",ROUND(BK131+SUMIFS(AM$6:AM131,BJ$6:BJ131,BJ131),2))</f>
        <v/>
      </c>
      <c r="AO131" s="78" t="str">
        <f aca="false">IF(AK131="","",ROUND(SUMIFS(AK$6:AK131,BJ$6:BJ131,BJ131),2))</f>
        <v/>
      </c>
      <c r="AP131" s="80" t="str">
        <f aca="false">IF(OR(AK131="",BL131=""),"",IFERROR(ROUND(IF(J131="Short",AB131-AE131,AE131-AB131)/BL131,1),""))</f>
        <v/>
      </c>
      <c r="AQ131" s="66" t="str">
        <f aca="false">IF(OR(G131="",H131=""),"",ROUND(MOD(H131-G131,1)*1440,0))</f>
        <v/>
      </c>
      <c r="AR131" s="68" t="str">
        <f aca="false">IF(AQ131="","",IF(AQ131&lt;15,"Under 15m",IF(AQ131&lt;60,"15-60m",IF(AQ131&lt;240,"1-4 hours","4+ hours"))))</f>
        <v/>
      </c>
      <c r="AS131" s="66" t="str">
        <f aca="false">IF(G131="","",HOUR(G131))</f>
        <v/>
      </c>
      <c r="AT131" s="80" t="str">
        <f aca="false">IF(OR(Z131="",AB131="",BL131=""),"",IFERROR(ROUND(IF(J131="Short",Z131-AB131,AB131-Z131)/BL131,1),""))</f>
        <v/>
      </c>
      <c r="AU131" s="68" t="str">
        <f aca="false">IF(OR(AA131="",AC131=""),"",IF(AA131=AC131,"No","Yes"))</f>
        <v/>
      </c>
      <c r="AV131" s="81" t="str">
        <f aca="false">IF(OR(B131="",BL131="",BM131="",AB131="",AC131=""),"",IFERROR(ROUND(AI131/(ABS(AB131-AC131)/BL131*BM131),2),""))</f>
        <v/>
      </c>
      <c r="AW131" s="76" t="str">
        <f aca="false">IF(B131="","",ROUND(BK131+SUMIFS(AM$5:AM130,BJ$5:BJ130,BJ131),2))</f>
        <v/>
      </c>
      <c r="AX131" s="66" t="str">
        <f aca="false">IF(B131="","",COUNTIFS(B$6:B131,B131,BJ$6:BJ131,BJ131))</f>
        <v/>
      </c>
      <c r="AY131" s="79" t="str">
        <f aca="false">IF(B131="","",ROUND(SUMIFS(AM$5:AM130,B$5:B130,B131,BJ$5:BJ130,BJ131),2))</f>
        <v/>
      </c>
      <c r="AZ131" s="79" t="str">
        <f aca="false">IF(AM131="","",ROUND(AY131+AM131,2))</f>
        <v/>
      </c>
      <c r="BA131" s="79" t="str">
        <f aca="false">IF(B131="","",ROUND(SUMIFS(AM$5:AM130,B$5:B130,"&gt;="&amp;(B131-WEEKDAY(B131,2)+1),B$5:B130,"&lt;="&amp;B131,BJ$5:BJ130,BJ131),2))</f>
        <v/>
      </c>
      <c r="BB131" s="68" t="str">
        <f aca="false">IF(B131="","",IF(AND(AF131&lt;&gt;"",AV131&lt;&gt;"",N(AF131)&gt;N(AV131)*(1+Settings!$C$13)),"Oversized",IF(AX131&gt;Settings!$C$10,"Overtraded",IF(AY131&lt;=-Settings!$C$11*(AW131-AY131),"Daily loss hit",IF(BA131&lt;=-Settings!$C$12*(AW131-BA131),"Weekly loss hit","OK")))))</f>
        <v/>
      </c>
      <c r="BC131" s="69"/>
      <c r="BD131" s="69"/>
      <c r="BE131" s="69"/>
      <c r="BF131" s="73"/>
      <c r="BG131" s="73"/>
      <c r="BH131" s="71"/>
      <c r="BI131" s="71"/>
      <c r="BJ131" s="68" t="str">
        <f aca="false">IF(B131="","",IF(E131="",Settings!$F$5,E131))</f>
        <v/>
      </c>
      <c r="BK131" s="76" t="str">
        <f aca="false">IF(B131="","",IFERROR(INDEX(Settings!$G$5:$G$10,MATCH(BJ131,Settings!$F$5:$F$10,0)),Settings!$G$5))</f>
        <v/>
      </c>
      <c r="BL131" s="82" t="str">
        <f aca="false">IF(I131="","",IFERROR(1/(1/INDEX(Lists!$C$6:$C$17,MATCH(I131,Lists!$B$6:$B$17,0))),""))</f>
        <v/>
      </c>
      <c r="BM131" s="81" t="str">
        <f aca="false">IF(I131="","",IFERROR(1/(1/INDEX(Lists!$D$6:$D$17,MATCH(I131,Lists!$B$6:$B$17,0))),""))</f>
        <v/>
      </c>
      <c r="BN131" s="76" t="str">
        <f aca="false">IF(AN131="","",MAX(BK131,_xlfn.MAXIFS(AN$6:AN131,BJ$6:BJ131,BJ131)))</f>
        <v/>
      </c>
      <c r="BO131" s="83" t="str">
        <f aca="false">IF(AN131="","",(AN131-BN131)/BN131)</f>
        <v/>
      </c>
      <c r="BP131" s="66" t="n">
        <f aca="false">IF(OR(B131="",AL131=""),0,IF(OR(Settings!$C$28="All Accounts",BJ131=Settings!$C$28),1,0))</f>
        <v>0</v>
      </c>
      <c r="BQ131" s="66" t="str">
        <f aca="false">IF(BP131=1,SUM(BP$6:BP131),"")</f>
        <v/>
      </c>
      <c r="BR131" s="76" t="str">
        <f aca="false">IF(BP131=1,ROUND(Settings!$C$29+SUMIFS(AM$6:AM131,BP$6:BP131,1),2),"")</f>
        <v/>
      </c>
      <c r="BS131" s="76" t="str">
        <f aca="false">IF(BP131=1,MAX(Settings!$C$29,MAX(BR$6:BR131)),"")</f>
        <v/>
      </c>
      <c r="BT131" s="83" t="str">
        <f aca="false">IF(BP131=1,(BR131-BS131)/BS131,"")</f>
        <v/>
      </c>
      <c r="BU131" s="66" t="str">
        <f aca="false">IF(BP131=1,IF(AL131="Win",1+IF(BQ131=1,0,INDEX(BU$5:BU130,MATCH(BQ131-1,BQ$5:BQ130,0))),0),"")</f>
        <v/>
      </c>
      <c r="BV131" s="66" t="str">
        <f aca="false">IF(BP131=1,IF(AL131="Loss",1+IF(BQ131=1,0,INDEX(BV$5:BV130,MATCH(BQ131-1,BQ$5:BQ130,0))),0),"")</f>
        <v/>
      </c>
    </row>
    <row r="132" customFormat="false" ht="15" hidden="false" customHeight="false" outlineLevel="0" collapsed="false">
      <c r="A132" s="66" t="str">
        <f aca="false">IF(B132="","",ROW()-5)</f>
        <v/>
      </c>
      <c r="B132" s="67"/>
      <c r="C132" s="68" t="str">
        <f aca="false">IF(B132="","",CHOOSE(WEEKDAY(B132,2),"Mon","Tue","Wed","Thu","Fri","Sat","Sun"))</f>
        <v/>
      </c>
      <c r="D132" s="66" t="str">
        <f aca="false">IF(B132="","",WEEKNUM(B132,2))</f>
        <v/>
      </c>
      <c r="E132" s="69"/>
      <c r="F132" s="69"/>
      <c r="G132" s="70"/>
      <c r="H132" s="70"/>
      <c r="I132" s="69"/>
      <c r="J132" s="69"/>
      <c r="K132" s="69"/>
      <c r="L132" s="71"/>
      <c r="M132" s="69"/>
      <c r="N132" s="69"/>
      <c r="O132" s="69"/>
      <c r="P132" s="71"/>
      <c r="Q132" s="69"/>
      <c r="R132" s="69"/>
      <c r="S132" s="69"/>
      <c r="T132" s="69"/>
      <c r="U132" s="69"/>
      <c r="V132" s="69"/>
      <c r="W132" s="69"/>
      <c r="X132" s="66" t="str">
        <f aca="false">IF(B132="","",COUNTIF(Q132:W132,"Yes"))</f>
        <v/>
      </c>
      <c r="Y132" s="68" t="str">
        <f aca="false">IF(B132="","",IF(X132&gt;=Settings!$C$16,"A+",IF(X132&gt;=Settings!$C$17,"A",IF(X132&gt;=Settings!$C$18,"B","C"))))</f>
        <v/>
      </c>
      <c r="Z132" s="72"/>
      <c r="AA132" s="72"/>
      <c r="AB132" s="72"/>
      <c r="AC132" s="72"/>
      <c r="AD132" s="72"/>
      <c r="AE132" s="72"/>
      <c r="AF132" s="73"/>
      <c r="AG132" s="74"/>
      <c r="AH132" s="75"/>
      <c r="AI132" s="76" t="str">
        <f aca="false">IF(B132="","",ROUND(IF(AG132="",Settings!$C$5,AG132)*AW132,2))</f>
        <v/>
      </c>
      <c r="AJ132" s="77" t="str">
        <f aca="false">IF(OR(B132="",AB132="",AC132="",AD132=""),"",IFERROR(ROUND(ABS(AD132-AB132)/ABS(AB132-AC132),2),""))</f>
        <v/>
      </c>
      <c r="AK132" s="78" t="str">
        <f aca="false">IF(OR(B132="",AB132="",AC132="",AE132=""),"",IFERROR(ROUND(IF(J132="Short",AB132-AE132,AE132-AB132)/ABS(AB132-AC132),2),""))</f>
        <v/>
      </c>
      <c r="AL132" s="68" t="str">
        <f aca="false">IF(AK132="","",IF(ABS(AK132)&lt;=Settings!$C$6,"BE",IF(AK132&gt;0,"Win","Loss")))</f>
        <v/>
      </c>
      <c r="AM132" s="79" t="str">
        <f aca="false">IF(OR(AK132="",AI132=""),"",ROUND(AK132*AI132-N(AH132),2))</f>
        <v/>
      </c>
      <c r="AN132" s="76" t="str">
        <f aca="false">IF(AM132="","",ROUND(BK132+SUMIFS(AM$6:AM132,BJ$6:BJ132,BJ132),2))</f>
        <v/>
      </c>
      <c r="AO132" s="78" t="str">
        <f aca="false">IF(AK132="","",ROUND(SUMIFS(AK$6:AK132,BJ$6:BJ132,BJ132),2))</f>
        <v/>
      </c>
      <c r="AP132" s="80" t="str">
        <f aca="false">IF(OR(AK132="",BL132=""),"",IFERROR(ROUND(IF(J132="Short",AB132-AE132,AE132-AB132)/BL132,1),""))</f>
        <v/>
      </c>
      <c r="AQ132" s="66" t="str">
        <f aca="false">IF(OR(G132="",H132=""),"",ROUND(MOD(H132-G132,1)*1440,0))</f>
        <v/>
      </c>
      <c r="AR132" s="68" t="str">
        <f aca="false">IF(AQ132="","",IF(AQ132&lt;15,"Under 15m",IF(AQ132&lt;60,"15-60m",IF(AQ132&lt;240,"1-4 hours","4+ hours"))))</f>
        <v/>
      </c>
      <c r="AS132" s="66" t="str">
        <f aca="false">IF(G132="","",HOUR(G132))</f>
        <v/>
      </c>
      <c r="AT132" s="80" t="str">
        <f aca="false">IF(OR(Z132="",AB132="",BL132=""),"",IFERROR(ROUND(IF(J132="Short",Z132-AB132,AB132-Z132)/BL132,1),""))</f>
        <v/>
      </c>
      <c r="AU132" s="68" t="str">
        <f aca="false">IF(OR(AA132="",AC132=""),"",IF(AA132=AC132,"No","Yes"))</f>
        <v/>
      </c>
      <c r="AV132" s="81" t="str">
        <f aca="false">IF(OR(B132="",BL132="",BM132="",AB132="",AC132=""),"",IFERROR(ROUND(AI132/(ABS(AB132-AC132)/BL132*BM132),2),""))</f>
        <v/>
      </c>
      <c r="AW132" s="76" t="str">
        <f aca="false">IF(B132="","",ROUND(BK132+SUMIFS(AM$5:AM131,BJ$5:BJ131,BJ132),2))</f>
        <v/>
      </c>
      <c r="AX132" s="66" t="str">
        <f aca="false">IF(B132="","",COUNTIFS(B$6:B132,B132,BJ$6:BJ132,BJ132))</f>
        <v/>
      </c>
      <c r="AY132" s="79" t="str">
        <f aca="false">IF(B132="","",ROUND(SUMIFS(AM$5:AM131,B$5:B131,B132,BJ$5:BJ131,BJ132),2))</f>
        <v/>
      </c>
      <c r="AZ132" s="79" t="str">
        <f aca="false">IF(AM132="","",ROUND(AY132+AM132,2))</f>
        <v/>
      </c>
      <c r="BA132" s="79" t="str">
        <f aca="false">IF(B132="","",ROUND(SUMIFS(AM$5:AM131,B$5:B131,"&gt;="&amp;(B132-WEEKDAY(B132,2)+1),B$5:B131,"&lt;="&amp;B132,BJ$5:BJ131,BJ132),2))</f>
        <v/>
      </c>
      <c r="BB132" s="68" t="str">
        <f aca="false">IF(B132="","",IF(AND(AF132&lt;&gt;"",AV132&lt;&gt;"",N(AF132)&gt;N(AV132)*(1+Settings!$C$13)),"Oversized",IF(AX132&gt;Settings!$C$10,"Overtraded",IF(AY132&lt;=-Settings!$C$11*(AW132-AY132),"Daily loss hit",IF(BA132&lt;=-Settings!$C$12*(AW132-BA132),"Weekly loss hit","OK")))))</f>
        <v/>
      </c>
      <c r="BC132" s="69"/>
      <c r="BD132" s="69"/>
      <c r="BE132" s="69"/>
      <c r="BF132" s="73"/>
      <c r="BG132" s="73"/>
      <c r="BH132" s="71"/>
      <c r="BI132" s="71"/>
      <c r="BJ132" s="68" t="str">
        <f aca="false">IF(B132="","",IF(E132="",Settings!$F$5,E132))</f>
        <v/>
      </c>
      <c r="BK132" s="76" t="str">
        <f aca="false">IF(B132="","",IFERROR(INDEX(Settings!$G$5:$G$10,MATCH(BJ132,Settings!$F$5:$F$10,0)),Settings!$G$5))</f>
        <v/>
      </c>
      <c r="BL132" s="82" t="str">
        <f aca="false">IF(I132="","",IFERROR(1/(1/INDEX(Lists!$C$6:$C$17,MATCH(I132,Lists!$B$6:$B$17,0))),""))</f>
        <v/>
      </c>
      <c r="BM132" s="81" t="str">
        <f aca="false">IF(I132="","",IFERROR(1/(1/INDEX(Lists!$D$6:$D$17,MATCH(I132,Lists!$B$6:$B$17,0))),""))</f>
        <v/>
      </c>
      <c r="BN132" s="76" t="str">
        <f aca="false">IF(AN132="","",MAX(BK132,_xlfn.MAXIFS(AN$6:AN132,BJ$6:BJ132,BJ132)))</f>
        <v/>
      </c>
      <c r="BO132" s="83" t="str">
        <f aca="false">IF(AN132="","",(AN132-BN132)/BN132)</f>
        <v/>
      </c>
      <c r="BP132" s="66" t="n">
        <f aca="false">IF(OR(B132="",AL132=""),0,IF(OR(Settings!$C$28="All Accounts",BJ132=Settings!$C$28),1,0))</f>
        <v>0</v>
      </c>
      <c r="BQ132" s="66" t="str">
        <f aca="false">IF(BP132=1,SUM(BP$6:BP132),"")</f>
        <v/>
      </c>
      <c r="BR132" s="76" t="str">
        <f aca="false">IF(BP132=1,ROUND(Settings!$C$29+SUMIFS(AM$6:AM132,BP$6:BP132,1),2),"")</f>
        <v/>
      </c>
      <c r="BS132" s="76" t="str">
        <f aca="false">IF(BP132=1,MAX(Settings!$C$29,MAX(BR$6:BR132)),"")</f>
        <v/>
      </c>
      <c r="BT132" s="83" t="str">
        <f aca="false">IF(BP132=1,(BR132-BS132)/BS132,"")</f>
        <v/>
      </c>
      <c r="BU132" s="66" t="str">
        <f aca="false">IF(BP132=1,IF(AL132="Win",1+IF(BQ132=1,0,INDEX(BU$5:BU131,MATCH(BQ132-1,BQ$5:BQ131,0))),0),"")</f>
        <v/>
      </c>
      <c r="BV132" s="66" t="str">
        <f aca="false">IF(BP132=1,IF(AL132="Loss",1+IF(BQ132=1,0,INDEX(BV$5:BV131,MATCH(BQ132-1,BQ$5:BQ131,0))),0),"")</f>
        <v/>
      </c>
    </row>
    <row r="133" customFormat="false" ht="15" hidden="false" customHeight="false" outlineLevel="0" collapsed="false">
      <c r="A133" s="66" t="str">
        <f aca="false">IF(B133="","",ROW()-5)</f>
        <v/>
      </c>
      <c r="B133" s="67"/>
      <c r="C133" s="68" t="str">
        <f aca="false">IF(B133="","",CHOOSE(WEEKDAY(B133,2),"Mon","Tue","Wed","Thu","Fri","Sat","Sun"))</f>
        <v/>
      </c>
      <c r="D133" s="66" t="str">
        <f aca="false">IF(B133="","",WEEKNUM(B133,2))</f>
        <v/>
      </c>
      <c r="E133" s="69"/>
      <c r="F133" s="69"/>
      <c r="G133" s="70"/>
      <c r="H133" s="70"/>
      <c r="I133" s="69"/>
      <c r="J133" s="69"/>
      <c r="K133" s="69"/>
      <c r="L133" s="71"/>
      <c r="M133" s="69"/>
      <c r="N133" s="69"/>
      <c r="O133" s="69"/>
      <c r="P133" s="71"/>
      <c r="Q133" s="69"/>
      <c r="R133" s="69"/>
      <c r="S133" s="69"/>
      <c r="T133" s="69"/>
      <c r="U133" s="69"/>
      <c r="V133" s="69"/>
      <c r="W133" s="69"/>
      <c r="X133" s="66" t="str">
        <f aca="false">IF(B133="","",COUNTIF(Q133:W133,"Yes"))</f>
        <v/>
      </c>
      <c r="Y133" s="68" t="str">
        <f aca="false">IF(B133="","",IF(X133&gt;=Settings!$C$16,"A+",IF(X133&gt;=Settings!$C$17,"A",IF(X133&gt;=Settings!$C$18,"B","C"))))</f>
        <v/>
      </c>
      <c r="Z133" s="72"/>
      <c r="AA133" s="72"/>
      <c r="AB133" s="72"/>
      <c r="AC133" s="72"/>
      <c r="AD133" s="72"/>
      <c r="AE133" s="72"/>
      <c r="AF133" s="73"/>
      <c r="AG133" s="74"/>
      <c r="AH133" s="75"/>
      <c r="AI133" s="76" t="str">
        <f aca="false">IF(B133="","",ROUND(IF(AG133="",Settings!$C$5,AG133)*AW133,2))</f>
        <v/>
      </c>
      <c r="AJ133" s="77" t="str">
        <f aca="false">IF(OR(B133="",AB133="",AC133="",AD133=""),"",IFERROR(ROUND(ABS(AD133-AB133)/ABS(AB133-AC133),2),""))</f>
        <v/>
      </c>
      <c r="AK133" s="78" t="str">
        <f aca="false">IF(OR(B133="",AB133="",AC133="",AE133=""),"",IFERROR(ROUND(IF(J133="Short",AB133-AE133,AE133-AB133)/ABS(AB133-AC133),2),""))</f>
        <v/>
      </c>
      <c r="AL133" s="68" t="str">
        <f aca="false">IF(AK133="","",IF(ABS(AK133)&lt;=Settings!$C$6,"BE",IF(AK133&gt;0,"Win","Loss")))</f>
        <v/>
      </c>
      <c r="AM133" s="79" t="str">
        <f aca="false">IF(OR(AK133="",AI133=""),"",ROUND(AK133*AI133-N(AH133),2))</f>
        <v/>
      </c>
      <c r="AN133" s="76" t="str">
        <f aca="false">IF(AM133="","",ROUND(BK133+SUMIFS(AM$6:AM133,BJ$6:BJ133,BJ133),2))</f>
        <v/>
      </c>
      <c r="AO133" s="78" t="str">
        <f aca="false">IF(AK133="","",ROUND(SUMIFS(AK$6:AK133,BJ$6:BJ133,BJ133),2))</f>
        <v/>
      </c>
      <c r="AP133" s="80" t="str">
        <f aca="false">IF(OR(AK133="",BL133=""),"",IFERROR(ROUND(IF(J133="Short",AB133-AE133,AE133-AB133)/BL133,1),""))</f>
        <v/>
      </c>
      <c r="AQ133" s="66" t="str">
        <f aca="false">IF(OR(G133="",H133=""),"",ROUND(MOD(H133-G133,1)*1440,0))</f>
        <v/>
      </c>
      <c r="AR133" s="68" t="str">
        <f aca="false">IF(AQ133="","",IF(AQ133&lt;15,"Under 15m",IF(AQ133&lt;60,"15-60m",IF(AQ133&lt;240,"1-4 hours","4+ hours"))))</f>
        <v/>
      </c>
      <c r="AS133" s="66" t="str">
        <f aca="false">IF(G133="","",HOUR(G133))</f>
        <v/>
      </c>
      <c r="AT133" s="80" t="str">
        <f aca="false">IF(OR(Z133="",AB133="",BL133=""),"",IFERROR(ROUND(IF(J133="Short",Z133-AB133,AB133-Z133)/BL133,1),""))</f>
        <v/>
      </c>
      <c r="AU133" s="68" t="str">
        <f aca="false">IF(OR(AA133="",AC133=""),"",IF(AA133=AC133,"No","Yes"))</f>
        <v/>
      </c>
      <c r="AV133" s="81" t="str">
        <f aca="false">IF(OR(B133="",BL133="",BM133="",AB133="",AC133=""),"",IFERROR(ROUND(AI133/(ABS(AB133-AC133)/BL133*BM133),2),""))</f>
        <v/>
      </c>
      <c r="AW133" s="76" t="str">
        <f aca="false">IF(B133="","",ROUND(BK133+SUMIFS(AM$5:AM132,BJ$5:BJ132,BJ133),2))</f>
        <v/>
      </c>
      <c r="AX133" s="66" t="str">
        <f aca="false">IF(B133="","",COUNTIFS(B$6:B133,B133,BJ$6:BJ133,BJ133))</f>
        <v/>
      </c>
      <c r="AY133" s="79" t="str">
        <f aca="false">IF(B133="","",ROUND(SUMIFS(AM$5:AM132,B$5:B132,B133,BJ$5:BJ132,BJ133),2))</f>
        <v/>
      </c>
      <c r="AZ133" s="79" t="str">
        <f aca="false">IF(AM133="","",ROUND(AY133+AM133,2))</f>
        <v/>
      </c>
      <c r="BA133" s="79" t="str">
        <f aca="false">IF(B133="","",ROUND(SUMIFS(AM$5:AM132,B$5:B132,"&gt;="&amp;(B133-WEEKDAY(B133,2)+1),B$5:B132,"&lt;="&amp;B133,BJ$5:BJ132,BJ133),2))</f>
        <v/>
      </c>
      <c r="BB133" s="68" t="str">
        <f aca="false">IF(B133="","",IF(AND(AF133&lt;&gt;"",AV133&lt;&gt;"",N(AF133)&gt;N(AV133)*(1+Settings!$C$13)),"Oversized",IF(AX133&gt;Settings!$C$10,"Overtraded",IF(AY133&lt;=-Settings!$C$11*(AW133-AY133),"Daily loss hit",IF(BA133&lt;=-Settings!$C$12*(AW133-BA133),"Weekly loss hit","OK")))))</f>
        <v/>
      </c>
      <c r="BC133" s="69"/>
      <c r="BD133" s="69"/>
      <c r="BE133" s="69"/>
      <c r="BF133" s="73"/>
      <c r="BG133" s="73"/>
      <c r="BH133" s="71"/>
      <c r="BI133" s="71"/>
      <c r="BJ133" s="68" t="str">
        <f aca="false">IF(B133="","",IF(E133="",Settings!$F$5,E133))</f>
        <v/>
      </c>
      <c r="BK133" s="76" t="str">
        <f aca="false">IF(B133="","",IFERROR(INDEX(Settings!$G$5:$G$10,MATCH(BJ133,Settings!$F$5:$F$10,0)),Settings!$G$5))</f>
        <v/>
      </c>
      <c r="BL133" s="82" t="str">
        <f aca="false">IF(I133="","",IFERROR(1/(1/INDEX(Lists!$C$6:$C$17,MATCH(I133,Lists!$B$6:$B$17,0))),""))</f>
        <v/>
      </c>
      <c r="BM133" s="81" t="str">
        <f aca="false">IF(I133="","",IFERROR(1/(1/INDEX(Lists!$D$6:$D$17,MATCH(I133,Lists!$B$6:$B$17,0))),""))</f>
        <v/>
      </c>
      <c r="BN133" s="76" t="str">
        <f aca="false">IF(AN133="","",MAX(BK133,_xlfn.MAXIFS(AN$6:AN133,BJ$6:BJ133,BJ133)))</f>
        <v/>
      </c>
      <c r="BO133" s="83" t="str">
        <f aca="false">IF(AN133="","",(AN133-BN133)/BN133)</f>
        <v/>
      </c>
      <c r="BP133" s="66" t="n">
        <f aca="false">IF(OR(B133="",AL133=""),0,IF(OR(Settings!$C$28="All Accounts",BJ133=Settings!$C$28),1,0))</f>
        <v>0</v>
      </c>
      <c r="BQ133" s="66" t="str">
        <f aca="false">IF(BP133=1,SUM(BP$6:BP133),"")</f>
        <v/>
      </c>
      <c r="BR133" s="76" t="str">
        <f aca="false">IF(BP133=1,ROUND(Settings!$C$29+SUMIFS(AM$6:AM133,BP$6:BP133,1),2),"")</f>
        <v/>
      </c>
      <c r="BS133" s="76" t="str">
        <f aca="false">IF(BP133=1,MAX(Settings!$C$29,MAX(BR$6:BR133)),"")</f>
        <v/>
      </c>
      <c r="BT133" s="83" t="str">
        <f aca="false">IF(BP133=1,(BR133-BS133)/BS133,"")</f>
        <v/>
      </c>
      <c r="BU133" s="66" t="str">
        <f aca="false">IF(BP133=1,IF(AL133="Win",1+IF(BQ133=1,0,INDEX(BU$5:BU132,MATCH(BQ133-1,BQ$5:BQ132,0))),0),"")</f>
        <v/>
      </c>
      <c r="BV133" s="66" t="str">
        <f aca="false">IF(BP133=1,IF(AL133="Loss",1+IF(BQ133=1,0,INDEX(BV$5:BV132,MATCH(BQ133-1,BQ$5:BQ132,0))),0),"")</f>
        <v/>
      </c>
    </row>
    <row r="134" customFormat="false" ht="15" hidden="false" customHeight="false" outlineLevel="0" collapsed="false">
      <c r="A134" s="66" t="str">
        <f aca="false">IF(B134="","",ROW()-5)</f>
        <v/>
      </c>
      <c r="B134" s="67"/>
      <c r="C134" s="68" t="str">
        <f aca="false">IF(B134="","",CHOOSE(WEEKDAY(B134,2),"Mon","Tue","Wed","Thu","Fri","Sat","Sun"))</f>
        <v/>
      </c>
      <c r="D134" s="66" t="str">
        <f aca="false">IF(B134="","",WEEKNUM(B134,2))</f>
        <v/>
      </c>
      <c r="E134" s="69"/>
      <c r="F134" s="69"/>
      <c r="G134" s="70"/>
      <c r="H134" s="70"/>
      <c r="I134" s="69"/>
      <c r="J134" s="69"/>
      <c r="K134" s="69"/>
      <c r="L134" s="71"/>
      <c r="M134" s="69"/>
      <c r="N134" s="69"/>
      <c r="O134" s="69"/>
      <c r="P134" s="71"/>
      <c r="Q134" s="69"/>
      <c r="R134" s="69"/>
      <c r="S134" s="69"/>
      <c r="T134" s="69"/>
      <c r="U134" s="69"/>
      <c r="V134" s="69"/>
      <c r="W134" s="69"/>
      <c r="X134" s="66" t="str">
        <f aca="false">IF(B134="","",COUNTIF(Q134:W134,"Yes"))</f>
        <v/>
      </c>
      <c r="Y134" s="68" t="str">
        <f aca="false">IF(B134="","",IF(X134&gt;=Settings!$C$16,"A+",IF(X134&gt;=Settings!$C$17,"A",IF(X134&gt;=Settings!$C$18,"B","C"))))</f>
        <v/>
      </c>
      <c r="Z134" s="72"/>
      <c r="AA134" s="72"/>
      <c r="AB134" s="72"/>
      <c r="AC134" s="72"/>
      <c r="AD134" s="72"/>
      <c r="AE134" s="72"/>
      <c r="AF134" s="73"/>
      <c r="AG134" s="74"/>
      <c r="AH134" s="75"/>
      <c r="AI134" s="76" t="str">
        <f aca="false">IF(B134="","",ROUND(IF(AG134="",Settings!$C$5,AG134)*AW134,2))</f>
        <v/>
      </c>
      <c r="AJ134" s="77" t="str">
        <f aca="false">IF(OR(B134="",AB134="",AC134="",AD134=""),"",IFERROR(ROUND(ABS(AD134-AB134)/ABS(AB134-AC134),2),""))</f>
        <v/>
      </c>
      <c r="AK134" s="78" t="str">
        <f aca="false">IF(OR(B134="",AB134="",AC134="",AE134=""),"",IFERROR(ROUND(IF(J134="Short",AB134-AE134,AE134-AB134)/ABS(AB134-AC134),2),""))</f>
        <v/>
      </c>
      <c r="AL134" s="68" t="str">
        <f aca="false">IF(AK134="","",IF(ABS(AK134)&lt;=Settings!$C$6,"BE",IF(AK134&gt;0,"Win","Loss")))</f>
        <v/>
      </c>
      <c r="AM134" s="79" t="str">
        <f aca="false">IF(OR(AK134="",AI134=""),"",ROUND(AK134*AI134-N(AH134),2))</f>
        <v/>
      </c>
      <c r="AN134" s="76" t="str">
        <f aca="false">IF(AM134="","",ROUND(BK134+SUMIFS(AM$6:AM134,BJ$6:BJ134,BJ134),2))</f>
        <v/>
      </c>
      <c r="AO134" s="78" t="str">
        <f aca="false">IF(AK134="","",ROUND(SUMIFS(AK$6:AK134,BJ$6:BJ134,BJ134),2))</f>
        <v/>
      </c>
      <c r="AP134" s="80" t="str">
        <f aca="false">IF(OR(AK134="",BL134=""),"",IFERROR(ROUND(IF(J134="Short",AB134-AE134,AE134-AB134)/BL134,1),""))</f>
        <v/>
      </c>
      <c r="AQ134" s="66" t="str">
        <f aca="false">IF(OR(G134="",H134=""),"",ROUND(MOD(H134-G134,1)*1440,0))</f>
        <v/>
      </c>
      <c r="AR134" s="68" t="str">
        <f aca="false">IF(AQ134="","",IF(AQ134&lt;15,"Under 15m",IF(AQ134&lt;60,"15-60m",IF(AQ134&lt;240,"1-4 hours","4+ hours"))))</f>
        <v/>
      </c>
      <c r="AS134" s="66" t="str">
        <f aca="false">IF(G134="","",HOUR(G134))</f>
        <v/>
      </c>
      <c r="AT134" s="80" t="str">
        <f aca="false">IF(OR(Z134="",AB134="",BL134=""),"",IFERROR(ROUND(IF(J134="Short",Z134-AB134,AB134-Z134)/BL134,1),""))</f>
        <v/>
      </c>
      <c r="AU134" s="68" t="str">
        <f aca="false">IF(OR(AA134="",AC134=""),"",IF(AA134=AC134,"No","Yes"))</f>
        <v/>
      </c>
      <c r="AV134" s="81" t="str">
        <f aca="false">IF(OR(B134="",BL134="",BM134="",AB134="",AC134=""),"",IFERROR(ROUND(AI134/(ABS(AB134-AC134)/BL134*BM134),2),""))</f>
        <v/>
      </c>
      <c r="AW134" s="76" t="str">
        <f aca="false">IF(B134="","",ROUND(BK134+SUMIFS(AM$5:AM133,BJ$5:BJ133,BJ134),2))</f>
        <v/>
      </c>
      <c r="AX134" s="66" t="str">
        <f aca="false">IF(B134="","",COUNTIFS(B$6:B134,B134,BJ$6:BJ134,BJ134))</f>
        <v/>
      </c>
      <c r="AY134" s="79" t="str">
        <f aca="false">IF(B134="","",ROUND(SUMIFS(AM$5:AM133,B$5:B133,B134,BJ$5:BJ133,BJ134),2))</f>
        <v/>
      </c>
      <c r="AZ134" s="79" t="str">
        <f aca="false">IF(AM134="","",ROUND(AY134+AM134,2))</f>
        <v/>
      </c>
      <c r="BA134" s="79" t="str">
        <f aca="false">IF(B134="","",ROUND(SUMIFS(AM$5:AM133,B$5:B133,"&gt;="&amp;(B134-WEEKDAY(B134,2)+1),B$5:B133,"&lt;="&amp;B134,BJ$5:BJ133,BJ134),2))</f>
        <v/>
      </c>
      <c r="BB134" s="68" t="str">
        <f aca="false">IF(B134="","",IF(AND(AF134&lt;&gt;"",AV134&lt;&gt;"",N(AF134)&gt;N(AV134)*(1+Settings!$C$13)),"Oversized",IF(AX134&gt;Settings!$C$10,"Overtraded",IF(AY134&lt;=-Settings!$C$11*(AW134-AY134),"Daily loss hit",IF(BA134&lt;=-Settings!$C$12*(AW134-BA134),"Weekly loss hit","OK")))))</f>
        <v/>
      </c>
      <c r="BC134" s="69"/>
      <c r="BD134" s="69"/>
      <c r="BE134" s="69"/>
      <c r="BF134" s="73"/>
      <c r="BG134" s="73"/>
      <c r="BH134" s="71"/>
      <c r="BI134" s="71"/>
      <c r="BJ134" s="68" t="str">
        <f aca="false">IF(B134="","",IF(E134="",Settings!$F$5,E134))</f>
        <v/>
      </c>
      <c r="BK134" s="76" t="str">
        <f aca="false">IF(B134="","",IFERROR(INDEX(Settings!$G$5:$G$10,MATCH(BJ134,Settings!$F$5:$F$10,0)),Settings!$G$5))</f>
        <v/>
      </c>
      <c r="BL134" s="82" t="str">
        <f aca="false">IF(I134="","",IFERROR(1/(1/INDEX(Lists!$C$6:$C$17,MATCH(I134,Lists!$B$6:$B$17,0))),""))</f>
        <v/>
      </c>
      <c r="BM134" s="81" t="str">
        <f aca="false">IF(I134="","",IFERROR(1/(1/INDEX(Lists!$D$6:$D$17,MATCH(I134,Lists!$B$6:$B$17,0))),""))</f>
        <v/>
      </c>
      <c r="BN134" s="76" t="str">
        <f aca="false">IF(AN134="","",MAX(BK134,_xlfn.MAXIFS(AN$6:AN134,BJ$6:BJ134,BJ134)))</f>
        <v/>
      </c>
      <c r="BO134" s="83" t="str">
        <f aca="false">IF(AN134="","",(AN134-BN134)/BN134)</f>
        <v/>
      </c>
      <c r="BP134" s="66" t="n">
        <f aca="false">IF(OR(B134="",AL134=""),0,IF(OR(Settings!$C$28="All Accounts",BJ134=Settings!$C$28),1,0))</f>
        <v>0</v>
      </c>
      <c r="BQ134" s="66" t="str">
        <f aca="false">IF(BP134=1,SUM(BP$6:BP134),"")</f>
        <v/>
      </c>
      <c r="BR134" s="76" t="str">
        <f aca="false">IF(BP134=1,ROUND(Settings!$C$29+SUMIFS(AM$6:AM134,BP$6:BP134,1),2),"")</f>
        <v/>
      </c>
      <c r="BS134" s="76" t="str">
        <f aca="false">IF(BP134=1,MAX(Settings!$C$29,MAX(BR$6:BR134)),"")</f>
        <v/>
      </c>
      <c r="BT134" s="83" t="str">
        <f aca="false">IF(BP134=1,(BR134-BS134)/BS134,"")</f>
        <v/>
      </c>
      <c r="BU134" s="66" t="str">
        <f aca="false">IF(BP134=1,IF(AL134="Win",1+IF(BQ134=1,0,INDEX(BU$5:BU133,MATCH(BQ134-1,BQ$5:BQ133,0))),0),"")</f>
        <v/>
      </c>
      <c r="BV134" s="66" t="str">
        <f aca="false">IF(BP134=1,IF(AL134="Loss",1+IF(BQ134=1,0,INDEX(BV$5:BV133,MATCH(BQ134-1,BQ$5:BQ133,0))),0),"")</f>
        <v/>
      </c>
    </row>
    <row r="135" customFormat="false" ht="15" hidden="false" customHeight="false" outlineLevel="0" collapsed="false">
      <c r="A135" s="66" t="str">
        <f aca="false">IF(B135="","",ROW()-5)</f>
        <v/>
      </c>
      <c r="B135" s="67"/>
      <c r="C135" s="68" t="str">
        <f aca="false">IF(B135="","",CHOOSE(WEEKDAY(B135,2),"Mon","Tue","Wed","Thu","Fri","Sat","Sun"))</f>
        <v/>
      </c>
      <c r="D135" s="66" t="str">
        <f aca="false">IF(B135="","",WEEKNUM(B135,2))</f>
        <v/>
      </c>
      <c r="E135" s="69"/>
      <c r="F135" s="69"/>
      <c r="G135" s="70"/>
      <c r="H135" s="70"/>
      <c r="I135" s="69"/>
      <c r="J135" s="69"/>
      <c r="K135" s="69"/>
      <c r="L135" s="71"/>
      <c r="M135" s="69"/>
      <c r="N135" s="69"/>
      <c r="O135" s="69"/>
      <c r="P135" s="71"/>
      <c r="Q135" s="69"/>
      <c r="R135" s="69"/>
      <c r="S135" s="69"/>
      <c r="T135" s="69"/>
      <c r="U135" s="69"/>
      <c r="V135" s="69"/>
      <c r="W135" s="69"/>
      <c r="X135" s="66" t="str">
        <f aca="false">IF(B135="","",COUNTIF(Q135:W135,"Yes"))</f>
        <v/>
      </c>
      <c r="Y135" s="68" t="str">
        <f aca="false">IF(B135="","",IF(X135&gt;=Settings!$C$16,"A+",IF(X135&gt;=Settings!$C$17,"A",IF(X135&gt;=Settings!$C$18,"B","C"))))</f>
        <v/>
      </c>
      <c r="Z135" s="72"/>
      <c r="AA135" s="72"/>
      <c r="AB135" s="72"/>
      <c r="AC135" s="72"/>
      <c r="AD135" s="72"/>
      <c r="AE135" s="72"/>
      <c r="AF135" s="73"/>
      <c r="AG135" s="74"/>
      <c r="AH135" s="75"/>
      <c r="AI135" s="76" t="str">
        <f aca="false">IF(B135="","",ROUND(IF(AG135="",Settings!$C$5,AG135)*AW135,2))</f>
        <v/>
      </c>
      <c r="AJ135" s="77" t="str">
        <f aca="false">IF(OR(B135="",AB135="",AC135="",AD135=""),"",IFERROR(ROUND(ABS(AD135-AB135)/ABS(AB135-AC135),2),""))</f>
        <v/>
      </c>
      <c r="AK135" s="78" t="str">
        <f aca="false">IF(OR(B135="",AB135="",AC135="",AE135=""),"",IFERROR(ROUND(IF(J135="Short",AB135-AE135,AE135-AB135)/ABS(AB135-AC135),2),""))</f>
        <v/>
      </c>
      <c r="AL135" s="68" t="str">
        <f aca="false">IF(AK135="","",IF(ABS(AK135)&lt;=Settings!$C$6,"BE",IF(AK135&gt;0,"Win","Loss")))</f>
        <v/>
      </c>
      <c r="AM135" s="79" t="str">
        <f aca="false">IF(OR(AK135="",AI135=""),"",ROUND(AK135*AI135-N(AH135),2))</f>
        <v/>
      </c>
      <c r="AN135" s="76" t="str">
        <f aca="false">IF(AM135="","",ROUND(BK135+SUMIFS(AM$6:AM135,BJ$6:BJ135,BJ135),2))</f>
        <v/>
      </c>
      <c r="AO135" s="78" t="str">
        <f aca="false">IF(AK135="","",ROUND(SUMIFS(AK$6:AK135,BJ$6:BJ135,BJ135),2))</f>
        <v/>
      </c>
      <c r="AP135" s="80" t="str">
        <f aca="false">IF(OR(AK135="",BL135=""),"",IFERROR(ROUND(IF(J135="Short",AB135-AE135,AE135-AB135)/BL135,1),""))</f>
        <v/>
      </c>
      <c r="AQ135" s="66" t="str">
        <f aca="false">IF(OR(G135="",H135=""),"",ROUND(MOD(H135-G135,1)*1440,0))</f>
        <v/>
      </c>
      <c r="AR135" s="68" t="str">
        <f aca="false">IF(AQ135="","",IF(AQ135&lt;15,"Under 15m",IF(AQ135&lt;60,"15-60m",IF(AQ135&lt;240,"1-4 hours","4+ hours"))))</f>
        <v/>
      </c>
      <c r="AS135" s="66" t="str">
        <f aca="false">IF(G135="","",HOUR(G135))</f>
        <v/>
      </c>
      <c r="AT135" s="80" t="str">
        <f aca="false">IF(OR(Z135="",AB135="",BL135=""),"",IFERROR(ROUND(IF(J135="Short",Z135-AB135,AB135-Z135)/BL135,1),""))</f>
        <v/>
      </c>
      <c r="AU135" s="68" t="str">
        <f aca="false">IF(OR(AA135="",AC135=""),"",IF(AA135=AC135,"No","Yes"))</f>
        <v/>
      </c>
      <c r="AV135" s="81" t="str">
        <f aca="false">IF(OR(B135="",BL135="",BM135="",AB135="",AC135=""),"",IFERROR(ROUND(AI135/(ABS(AB135-AC135)/BL135*BM135),2),""))</f>
        <v/>
      </c>
      <c r="AW135" s="76" t="str">
        <f aca="false">IF(B135="","",ROUND(BK135+SUMIFS(AM$5:AM134,BJ$5:BJ134,BJ135),2))</f>
        <v/>
      </c>
      <c r="AX135" s="66" t="str">
        <f aca="false">IF(B135="","",COUNTIFS(B$6:B135,B135,BJ$6:BJ135,BJ135))</f>
        <v/>
      </c>
      <c r="AY135" s="79" t="str">
        <f aca="false">IF(B135="","",ROUND(SUMIFS(AM$5:AM134,B$5:B134,B135,BJ$5:BJ134,BJ135),2))</f>
        <v/>
      </c>
      <c r="AZ135" s="79" t="str">
        <f aca="false">IF(AM135="","",ROUND(AY135+AM135,2))</f>
        <v/>
      </c>
      <c r="BA135" s="79" t="str">
        <f aca="false">IF(B135="","",ROUND(SUMIFS(AM$5:AM134,B$5:B134,"&gt;="&amp;(B135-WEEKDAY(B135,2)+1),B$5:B134,"&lt;="&amp;B135,BJ$5:BJ134,BJ135),2))</f>
        <v/>
      </c>
      <c r="BB135" s="68" t="str">
        <f aca="false">IF(B135="","",IF(AND(AF135&lt;&gt;"",AV135&lt;&gt;"",N(AF135)&gt;N(AV135)*(1+Settings!$C$13)),"Oversized",IF(AX135&gt;Settings!$C$10,"Overtraded",IF(AY135&lt;=-Settings!$C$11*(AW135-AY135),"Daily loss hit",IF(BA135&lt;=-Settings!$C$12*(AW135-BA135),"Weekly loss hit","OK")))))</f>
        <v/>
      </c>
      <c r="BC135" s="69"/>
      <c r="BD135" s="69"/>
      <c r="BE135" s="69"/>
      <c r="BF135" s="73"/>
      <c r="BG135" s="73"/>
      <c r="BH135" s="71"/>
      <c r="BI135" s="71"/>
      <c r="BJ135" s="68" t="str">
        <f aca="false">IF(B135="","",IF(E135="",Settings!$F$5,E135))</f>
        <v/>
      </c>
      <c r="BK135" s="76" t="str">
        <f aca="false">IF(B135="","",IFERROR(INDEX(Settings!$G$5:$G$10,MATCH(BJ135,Settings!$F$5:$F$10,0)),Settings!$G$5))</f>
        <v/>
      </c>
      <c r="BL135" s="82" t="str">
        <f aca="false">IF(I135="","",IFERROR(1/(1/INDEX(Lists!$C$6:$C$17,MATCH(I135,Lists!$B$6:$B$17,0))),""))</f>
        <v/>
      </c>
      <c r="BM135" s="81" t="str">
        <f aca="false">IF(I135="","",IFERROR(1/(1/INDEX(Lists!$D$6:$D$17,MATCH(I135,Lists!$B$6:$B$17,0))),""))</f>
        <v/>
      </c>
      <c r="BN135" s="76" t="str">
        <f aca="false">IF(AN135="","",MAX(BK135,_xlfn.MAXIFS(AN$6:AN135,BJ$6:BJ135,BJ135)))</f>
        <v/>
      </c>
      <c r="BO135" s="83" t="str">
        <f aca="false">IF(AN135="","",(AN135-BN135)/BN135)</f>
        <v/>
      </c>
      <c r="BP135" s="66" t="n">
        <f aca="false">IF(OR(B135="",AL135=""),0,IF(OR(Settings!$C$28="All Accounts",BJ135=Settings!$C$28),1,0))</f>
        <v>0</v>
      </c>
      <c r="BQ135" s="66" t="str">
        <f aca="false">IF(BP135=1,SUM(BP$6:BP135),"")</f>
        <v/>
      </c>
      <c r="BR135" s="76" t="str">
        <f aca="false">IF(BP135=1,ROUND(Settings!$C$29+SUMIFS(AM$6:AM135,BP$6:BP135,1),2),"")</f>
        <v/>
      </c>
      <c r="BS135" s="76" t="str">
        <f aca="false">IF(BP135=1,MAX(Settings!$C$29,MAX(BR$6:BR135)),"")</f>
        <v/>
      </c>
      <c r="BT135" s="83" t="str">
        <f aca="false">IF(BP135=1,(BR135-BS135)/BS135,"")</f>
        <v/>
      </c>
      <c r="BU135" s="66" t="str">
        <f aca="false">IF(BP135=1,IF(AL135="Win",1+IF(BQ135=1,0,INDEX(BU$5:BU134,MATCH(BQ135-1,BQ$5:BQ134,0))),0),"")</f>
        <v/>
      </c>
      <c r="BV135" s="66" t="str">
        <f aca="false">IF(BP135=1,IF(AL135="Loss",1+IF(BQ135=1,0,INDEX(BV$5:BV134,MATCH(BQ135-1,BQ$5:BQ134,0))),0),"")</f>
        <v/>
      </c>
    </row>
    <row r="136" customFormat="false" ht="15" hidden="false" customHeight="false" outlineLevel="0" collapsed="false">
      <c r="A136" s="66" t="str">
        <f aca="false">IF(B136="","",ROW()-5)</f>
        <v/>
      </c>
      <c r="B136" s="67"/>
      <c r="C136" s="68" t="str">
        <f aca="false">IF(B136="","",CHOOSE(WEEKDAY(B136,2),"Mon","Tue","Wed","Thu","Fri","Sat","Sun"))</f>
        <v/>
      </c>
      <c r="D136" s="66" t="str">
        <f aca="false">IF(B136="","",WEEKNUM(B136,2))</f>
        <v/>
      </c>
      <c r="E136" s="69"/>
      <c r="F136" s="69"/>
      <c r="G136" s="70"/>
      <c r="H136" s="70"/>
      <c r="I136" s="69"/>
      <c r="J136" s="69"/>
      <c r="K136" s="69"/>
      <c r="L136" s="71"/>
      <c r="M136" s="69"/>
      <c r="N136" s="69"/>
      <c r="O136" s="69"/>
      <c r="P136" s="71"/>
      <c r="Q136" s="69"/>
      <c r="R136" s="69"/>
      <c r="S136" s="69"/>
      <c r="T136" s="69"/>
      <c r="U136" s="69"/>
      <c r="V136" s="69"/>
      <c r="W136" s="69"/>
      <c r="X136" s="66" t="str">
        <f aca="false">IF(B136="","",COUNTIF(Q136:W136,"Yes"))</f>
        <v/>
      </c>
      <c r="Y136" s="68" t="str">
        <f aca="false">IF(B136="","",IF(X136&gt;=Settings!$C$16,"A+",IF(X136&gt;=Settings!$C$17,"A",IF(X136&gt;=Settings!$C$18,"B","C"))))</f>
        <v/>
      </c>
      <c r="Z136" s="72"/>
      <c r="AA136" s="72"/>
      <c r="AB136" s="72"/>
      <c r="AC136" s="72"/>
      <c r="AD136" s="72"/>
      <c r="AE136" s="72"/>
      <c r="AF136" s="73"/>
      <c r="AG136" s="74"/>
      <c r="AH136" s="75"/>
      <c r="AI136" s="76" t="str">
        <f aca="false">IF(B136="","",ROUND(IF(AG136="",Settings!$C$5,AG136)*AW136,2))</f>
        <v/>
      </c>
      <c r="AJ136" s="77" t="str">
        <f aca="false">IF(OR(B136="",AB136="",AC136="",AD136=""),"",IFERROR(ROUND(ABS(AD136-AB136)/ABS(AB136-AC136),2),""))</f>
        <v/>
      </c>
      <c r="AK136" s="78" t="str">
        <f aca="false">IF(OR(B136="",AB136="",AC136="",AE136=""),"",IFERROR(ROUND(IF(J136="Short",AB136-AE136,AE136-AB136)/ABS(AB136-AC136),2),""))</f>
        <v/>
      </c>
      <c r="AL136" s="68" t="str">
        <f aca="false">IF(AK136="","",IF(ABS(AK136)&lt;=Settings!$C$6,"BE",IF(AK136&gt;0,"Win","Loss")))</f>
        <v/>
      </c>
      <c r="AM136" s="79" t="str">
        <f aca="false">IF(OR(AK136="",AI136=""),"",ROUND(AK136*AI136-N(AH136),2))</f>
        <v/>
      </c>
      <c r="AN136" s="76" t="str">
        <f aca="false">IF(AM136="","",ROUND(BK136+SUMIFS(AM$6:AM136,BJ$6:BJ136,BJ136),2))</f>
        <v/>
      </c>
      <c r="AO136" s="78" t="str">
        <f aca="false">IF(AK136="","",ROUND(SUMIFS(AK$6:AK136,BJ$6:BJ136,BJ136),2))</f>
        <v/>
      </c>
      <c r="AP136" s="80" t="str">
        <f aca="false">IF(OR(AK136="",BL136=""),"",IFERROR(ROUND(IF(J136="Short",AB136-AE136,AE136-AB136)/BL136,1),""))</f>
        <v/>
      </c>
      <c r="AQ136" s="66" t="str">
        <f aca="false">IF(OR(G136="",H136=""),"",ROUND(MOD(H136-G136,1)*1440,0))</f>
        <v/>
      </c>
      <c r="AR136" s="68" t="str">
        <f aca="false">IF(AQ136="","",IF(AQ136&lt;15,"Under 15m",IF(AQ136&lt;60,"15-60m",IF(AQ136&lt;240,"1-4 hours","4+ hours"))))</f>
        <v/>
      </c>
      <c r="AS136" s="66" t="str">
        <f aca="false">IF(G136="","",HOUR(G136))</f>
        <v/>
      </c>
      <c r="AT136" s="80" t="str">
        <f aca="false">IF(OR(Z136="",AB136="",BL136=""),"",IFERROR(ROUND(IF(J136="Short",Z136-AB136,AB136-Z136)/BL136,1),""))</f>
        <v/>
      </c>
      <c r="AU136" s="68" t="str">
        <f aca="false">IF(OR(AA136="",AC136=""),"",IF(AA136=AC136,"No","Yes"))</f>
        <v/>
      </c>
      <c r="AV136" s="81" t="str">
        <f aca="false">IF(OR(B136="",BL136="",BM136="",AB136="",AC136=""),"",IFERROR(ROUND(AI136/(ABS(AB136-AC136)/BL136*BM136),2),""))</f>
        <v/>
      </c>
      <c r="AW136" s="76" t="str">
        <f aca="false">IF(B136="","",ROUND(BK136+SUMIFS(AM$5:AM135,BJ$5:BJ135,BJ136),2))</f>
        <v/>
      </c>
      <c r="AX136" s="66" t="str">
        <f aca="false">IF(B136="","",COUNTIFS(B$6:B136,B136,BJ$6:BJ136,BJ136))</f>
        <v/>
      </c>
      <c r="AY136" s="79" t="str">
        <f aca="false">IF(B136="","",ROUND(SUMIFS(AM$5:AM135,B$5:B135,B136,BJ$5:BJ135,BJ136),2))</f>
        <v/>
      </c>
      <c r="AZ136" s="79" t="str">
        <f aca="false">IF(AM136="","",ROUND(AY136+AM136,2))</f>
        <v/>
      </c>
      <c r="BA136" s="79" t="str">
        <f aca="false">IF(B136="","",ROUND(SUMIFS(AM$5:AM135,B$5:B135,"&gt;="&amp;(B136-WEEKDAY(B136,2)+1),B$5:B135,"&lt;="&amp;B136,BJ$5:BJ135,BJ136),2))</f>
        <v/>
      </c>
      <c r="BB136" s="68" t="str">
        <f aca="false">IF(B136="","",IF(AND(AF136&lt;&gt;"",AV136&lt;&gt;"",N(AF136)&gt;N(AV136)*(1+Settings!$C$13)),"Oversized",IF(AX136&gt;Settings!$C$10,"Overtraded",IF(AY136&lt;=-Settings!$C$11*(AW136-AY136),"Daily loss hit",IF(BA136&lt;=-Settings!$C$12*(AW136-BA136),"Weekly loss hit","OK")))))</f>
        <v/>
      </c>
      <c r="BC136" s="69"/>
      <c r="BD136" s="69"/>
      <c r="BE136" s="69"/>
      <c r="BF136" s="73"/>
      <c r="BG136" s="73"/>
      <c r="BH136" s="71"/>
      <c r="BI136" s="71"/>
      <c r="BJ136" s="68" t="str">
        <f aca="false">IF(B136="","",IF(E136="",Settings!$F$5,E136))</f>
        <v/>
      </c>
      <c r="BK136" s="76" t="str">
        <f aca="false">IF(B136="","",IFERROR(INDEX(Settings!$G$5:$G$10,MATCH(BJ136,Settings!$F$5:$F$10,0)),Settings!$G$5))</f>
        <v/>
      </c>
      <c r="BL136" s="82" t="str">
        <f aca="false">IF(I136="","",IFERROR(1/(1/INDEX(Lists!$C$6:$C$17,MATCH(I136,Lists!$B$6:$B$17,0))),""))</f>
        <v/>
      </c>
      <c r="BM136" s="81" t="str">
        <f aca="false">IF(I136="","",IFERROR(1/(1/INDEX(Lists!$D$6:$D$17,MATCH(I136,Lists!$B$6:$B$17,0))),""))</f>
        <v/>
      </c>
      <c r="BN136" s="76" t="str">
        <f aca="false">IF(AN136="","",MAX(BK136,_xlfn.MAXIFS(AN$6:AN136,BJ$6:BJ136,BJ136)))</f>
        <v/>
      </c>
      <c r="BO136" s="83" t="str">
        <f aca="false">IF(AN136="","",(AN136-BN136)/BN136)</f>
        <v/>
      </c>
      <c r="BP136" s="66" t="n">
        <f aca="false">IF(OR(B136="",AL136=""),0,IF(OR(Settings!$C$28="All Accounts",BJ136=Settings!$C$28),1,0))</f>
        <v>0</v>
      </c>
      <c r="BQ136" s="66" t="str">
        <f aca="false">IF(BP136=1,SUM(BP$6:BP136),"")</f>
        <v/>
      </c>
      <c r="BR136" s="76" t="str">
        <f aca="false">IF(BP136=1,ROUND(Settings!$C$29+SUMIFS(AM$6:AM136,BP$6:BP136,1),2),"")</f>
        <v/>
      </c>
      <c r="BS136" s="76" t="str">
        <f aca="false">IF(BP136=1,MAX(Settings!$C$29,MAX(BR$6:BR136)),"")</f>
        <v/>
      </c>
      <c r="BT136" s="83" t="str">
        <f aca="false">IF(BP136=1,(BR136-BS136)/BS136,"")</f>
        <v/>
      </c>
      <c r="BU136" s="66" t="str">
        <f aca="false">IF(BP136=1,IF(AL136="Win",1+IF(BQ136=1,0,INDEX(BU$5:BU135,MATCH(BQ136-1,BQ$5:BQ135,0))),0),"")</f>
        <v/>
      </c>
      <c r="BV136" s="66" t="str">
        <f aca="false">IF(BP136=1,IF(AL136="Loss",1+IF(BQ136=1,0,INDEX(BV$5:BV135,MATCH(BQ136-1,BQ$5:BQ135,0))),0),"")</f>
        <v/>
      </c>
    </row>
    <row r="137" customFormat="false" ht="15" hidden="false" customHeight="false" outlineLevel="0" collapsed="false">
      <c r="A137" s="66" t="str">
        <f aca="false">IF(B137="","",ROW()-5)</f>
        <v/>
      </c>
      <c r="B137" s="67"/>
      <c r="C137" s="68" t="str">
        <f aca="false">IF(B137="","",CHOOSE(WEEKDAY(B137,2),"Mon","Tue","Wed","Thu","Fri","Sat","Sun"))</f>
        <v/>
      </c>
      <c r="D137" s="66" t="str">
        <f aca="false">IF(B137="","",WEEKNUM(B137,2))</f>
        <v/>
      </c>
      <c r="E137" s="69"/>
      <c r="F137" s="69"/>
      <c r="G137" s="70"/>
      <c r="H137" s="70"/>
      <c r="I137" s="69"/>
      <c r="J137" s="69"/>
      <c r="K137" s="69"/>
      <c r="L137" s="71"/>
      <c r="M137" s="69"/>
      <c r="N137" s="69"/>
      <c r="O137" s="69"/>
      <c r="P137" s="71"/>
      <c r="Q137" s="69"/>
      <c r="R137" s="69"/>
      <c r="S137" s="69"/>
      <c r="T137" s="69"/>
      <c r="U137" s="69"/>
      <c r="V137" s="69"/>
      <c r="W137" s="69"/>
      <c r="X137" s="66" t="str">
        <f aca="false">IF(B137="","",COUNTIF(Q137:W137,"Yes"))</f>
        <v/>
      </c>
      <c r="Y137" s="68" t="str">
        <f aca="false">IF(B137="","",IF(X137&gt;=Settings!$C$16,"A+",IF(X137&gt;=Settings!$C$17,"A",IF(X137&gt;=Settings!$C$18,"B","C"))))</f>
        <v/>
      </c>
      <c r="Z137" s="72"/>
      <c r="AA137" s="72"/>
      <c r="AB137" s="72"/>
      <c r="AC137" s="72"/>
      <c r="AD137" s="72"/>
      <c r="AE137" s="72"/>
      <c r="AF137" s="73"/>
      <c r="AG137" s="74"/>
      <c r="AH137" s="75"/>
      <c r="AI137" s="76" t="str">
        <f aca="false">IF(B137="","",ROUND(IF(AG137="",Settings!$C$5,AG137)*AW137,2))</f>
        <v/>
      </c>
      <c r="AJ137" s="77" t="str">
        <f aca="false">IF(OR(B137="",AB137="",AC137="",AD137=""),"",IFERROR(ROUND(ABS(AD137-AB137)/ABS(AB137-AC137),2),""))</f>
        <v/>
      </c>
      <c r="AK137" s="78" t="str">
        <f aca="false">IF(OR(B137="",AB137="",AC137="",AE137=""),"",IFERROR(ROUND(IF(J137="Short",AB137-AE137,AE137-AB137)/ABS(AB137-AC137),2),""))</f>
        <v/>
      </c>
      <c r="AL137" s="68" t="str">
        <f aca="false">IF(AK137="","",IF(ABS(AK137)&lt;=Settings!$C$6,"BE",IF(AK137&gt;0,"Win","Loss")))</f>
        <v/>
      </c>
      <c r="AM137" s="79" t="str">
        <f aca="false">IF(OR(AK137="",AI137=""),"",ROUND(AK137*AI137-N(AH137),2))</f>
        <v/>
      </c>
      <c r="AN137" s="76" t="str">
        <f aca="false">IF(AM137="","",ROUND(BK137+SUMIFS(AM$6:AM137,BJ$6:BJ137,BJ137),2))</f>
        <v/>
      </c>
      <c r="AO137" s="78" t="str">
        <f aca="false">IF(AK137="","",ROUND(SUMIFS(AK$6:AK137,BJ$6:BJ137,BJ137),2))</f>
        <v/>
      </c>
      <c r="AP137" s="80" t="str">
        <f aca="false">IF(OR(AK137="",BL137=""),"",IFERROR(ROUND(IF(J137="Short",AB137-AE137,AE137-AB137)/BL137,1),""))</f>
        <v/>
      </c>
      <c r="AQ137" s="66" t="str">
        <f aca="false">IF(OR(G137="",H137=""),"",ROUND(MOD(H137-G137,1)*1440,0))</f>
        <v/>
      </c>
      <c r="AR137" s="68" t="str">
        <f aca="false">IF(AQ137="","",IF(AQ137&lt;15,"Under 15m",IF(AQ137&lt;60,"15-60m",IF(AQ137&lt;240,"1-4 hours","4+ hours"))))</f>
        <v/>
      </c>
      <c r="AS137" s="66" t="str">
        <f aca="false">IF(G137="","",HOUR(G137))</f>
        <v/>
      </c>
      <c r="AT137" s="80" t="str">
        <f aca="false">IF(OR(Z137="",AB137="",BL137=""),"",IFERROR(ROUND(IF(J137="Short",Z137-AB137,AB137-Z137)/BL137,1),""))</f>
        <v/>
      </c>
      <c r="AU137" s="68" t="str">
        <f aca="false">IF(OR(AA137="",AC137=""),"",IF(AA137=AC137,"No","Yes"))</f>
        <v/>
      </c>
      <c r="AV137" s="81" t="str">
        <f aca="false">IF(OR(B137="",BL137="",BM137="",AB137="",AC137=""),"",IFERROR(ROUND(AI137/(ABS(AB137-AC137)/BL137*BM137),2),""))</f>
        <v/>
      </c>
      <c r="AW137" s="76" t="str">
        <f aca="false">IF(B137="","",ROUND(BK137+SUMIFS(AM$5:AM136,BJ$5:BJ136,BJ137),2))</f>
        <v/>
      </c>
      <c r="AX137" s="66" t="str">
        <f aca="false">IF(B137="","",COUNTIFS(B$6:B137,B137,BJ$6:BJ137,BJ137))</f>
        <v/>
      </c>
      <c r="AY137" s="79" t="str">
        <f aca="false">IF(B137="","",ROUND(SUMIFS(AM$5:AM136,B$5:B136,B137,BJ$5:BJ136,BJ137),2))</f>
        <v/>
      </c>
      <c r="AZ137" s="79" t="str">
        <f aca="false">IF(AM137="","",ROUND(AY137+AM137,2))</f>
        <v/>
      </c>
      <c r="BA137" s="79" t="str">
        <f aca="false">IF(B137="","",ROUND(SUMIFS(AM$5:AM136,B$5:B136,"&gt;="&amp;(B137-WEEKDAY(B137,2)+1),B$5:B136,"&lt;="&amp;B137,BJ$5:BJ136,BJ137),2))</f>
        <v/>
      </c>
      <c r="BB137" s="68" t="str">
        <f aca="false">IF(B137="","",IF(AND(AF137&lt;&gt;"",AV137&lt;&gt;"",N(AF137)&gt;N(AV137)*(1+Settings!$C$13)),"Oversized",IF(AX137&gt;Settings!$C$10,"Overtraded",IF(AY137&lt;=-Settings!$C$11*(AW137-AY137),"Daily loss hit",IF(BA137&lt;=-Settings!$C$12*(AW137-BA137),"Weekly loss hit","OK")))))</f>
        <v/>
      </c>
      <c r="BC137" s="69"/>
      <c r="BD137" s="69"/>
      <c r="BE137" s="69"/>
      <c r="BF137" s="73"/>
      <c r="BG137" s="73"/>
      <c r="BH137" s="71"/>
      <c r="BI137" s="71"/>
      <c r="BJ137" s="68" t="str">
        <f aca="false">IF(B137="","",IF(E137="",Settings!$F$5,E137))</f>
        <v/>
      </c>
      <c r="BK137" s="76" t="str">
        <f aca="false">IF(B137="","",IFERROR(INDEX(Settings!$G$5:$G$10,MATCH(BJ137,Settings!$F$5:$F$10,0)),Settings!$G$5))</f>
        <v/>
      </c>
      <c r="BL137" s="82" t="str">
        <f aca="false">IF(I137="","",IFERROR(1/(1/INDEX(Lists!$C$6:$C$17,MATCH(I137,Lists!$B$6:$B$17,0))),""))</f>
        <v/>
      </c>
      <c r="BM137" s="81" t="str">
        <f aca="false">IF(I137="","",IFERROR(1/(1/INDEX(Lists!$D$6:$D$17,MATCH(I137,Lists!$B$6:$B$17,0))),""))</f>
        <v/>
      </c>
      <c r="BN137" s="76" t="str">
        <f aca="false">IF(AN137="","",MAX(BK137,_xlfn.MAXIFS(AN$6:AN137,BJ$6:BJ137,BJ137)))</f>
        <v/>
      </c>
      <c r="BO137" s="83" t="str">
        <f aca="false">IF(AN137="","",(AN137-BN137)/BN137)</f>
        <v/>
      </c>
      <c r="BP137" s="66" t="n">
        <f aca="false">IF(OR(B137="",AL137=""),0,IF(OR(Settings!$C$28="All Accounts",BJ137=Settings!$C$28),1,0))</f>
        <v>0</v>
      </c>
      <c r="BQ137" s="66" t="str">
        <f aca="false">IF(BP137=1,SUM(BP$6:BP137),"")</f>
        <v/>
      </c>
      <c r="BR137" s="76" t="str">
        <f aca="false">IF(BP137=1,ROUND(Settings!$C$29+SUMIFS(AM$6:AM137,BP$6:BP137,1),2),"")</f>
        <v/>
      </c>
      <c r="BS137" s="76" t="str">
        <f aca="false">IF(BP137=1,MAX(Settings!$C$29,MAX(BR$6:BR137)),"")</f>
        <v/>
      </c>
      <c r="BT137" s="83" t="str">
        <f aca="false">IF(BP137=1,(BR137-BS137)/BS137,"")</f>
        <v/>
      </c>
      <c r="BU137" s="66" t="str">
        <f aca="false">IF(BP137=1,IF(AL137="Win",1+IF(BQ137=1,0,INDEX(BU$5:BU136,MATCH(BQ137-1,BQ$5:BQ136,0))),0),"")</f>
        <v/>
      </c>
      <c r="BV137" s="66" t="str">
        <f aca="false">IF(BP137=1,IF(AL137="Loss",1+IF(BQ137=1,0,INDEX(BV$5:BV136,MATCH(BQ137-1,BQ$5:BQ136,0))),0),"")</f>
        <v/>
      </c>
    </row>
    <row r="138" customFormat="false" ht="15" hidden="false" customHeight="false" outlineLevel="0" collapsed="false">
      <c r="A138" s="66" t="str">
        <f aca="false">IF(B138="","",ROW()-5)</f>
        <v/>
      </c>
      <c r="B138" s="67"/>
      <c r="C138" s="68" t="str">
        <f aca="false">IF(B138="","",CHOOSE(WEEKDAY(B138,2),"Mon","Tue","Wed","Thu","Fri","Sat","Sun"))</f>
        <v/>
      </c>
      <c r="D138" s="66" t="str">
        <f aca="false">IF(B138="","",WEEKNUM(B138,2))</f>
        <v/>
      </c>
      <c r="E138" s="69"/>
      <c r="F138" s="69"/>
      <c r="G138" s="70"/>
      <c r="H138" s="70"/>
      <c r="I138" s="69"/>
      <c r="J138" s="69"/>
      <c r="K138" s="69"/>
      <c r="L138" s="71"/>
      <c r="M138" s="69"/>
      <c r="N138" s="69"/>
      <c r="O138" s="69"/>
      <c r="P138" s="71"/>
      <c r="Q138" s="69"/>
      <c r="R138" s="69"/>
      <c r="S138" s="69"/>
      <c r="T138" s="69"/>
      <c r="U138" s="69"/>
      <c r="V138" s="69"/>
      <c r="W138" s="69"/>
      <c r="X138" s="66" t="str">
        <f aca="false">IF(B138="","",COUNTIF(Q138:W138,"Yes"))</f>
        <v/>
      </c>
      <c r="Y138" s="68" t="str">
        <f aca="false">IF(B138="","",IF(X138&gt;=Settings!$C$16,"A+",IF(X138&gt;=Settings!$C$17,"A",IF(X138&gt;=Settings!$C$18,"B","C"))))</f>
        <v/>
      </c>
      <c r="Z138" s="72"/>
      <c r="AA138" s="72"/>
      <c r="AB138" s="72"/>
      <c r="AC138" s="72"/>
      <c r="AD138" s="72"/>
      <c r="AE138" s="72"/>
      <c r="AF138" s="73"/>
      <c r="AG138" s="74"/>
      <c r="AH138" s="75"/>
      <c r="AI138" s="76" t="str">
        <f aca="false">IF(B138="","",ROUND(IF(AG138="",Settings!$C$5,AG138)*AW138,2))</f>
        <v/>
      </c>
      <c r="AJ138" s="77" t="str">
        <f aca="false">IF(OR(B138="",AB138="",AC138="",AD138=""),"",IFERROR(ROUND(ABS(AD138-AB138)/ABS(AB138-AC138),2),""))</f>
        <v/>
      </c>
      <c r="AK138" s="78" t="str">
        <f aca="false">IF(OR(B138="",AB138="",AC138="",AE138=""),"",IFERROR(ROUND(IF(J138="Short",AB138-AE138,AE138-AB138)/ABS(AB138-AC138),2),""))</f>
        <v/>
      </c>
      <c r="AL138" s="68" t="str">
        <f aca="false">IF(AK138="","",IF(ABS(AK138)&lt;=Settings!$C$6,"BE",IF(AK138&gt;0,"Win","Loss")))</f>
        <v/>
      </c>
      <c r="AM138" s="79" t="str">
        <f aca="false">IF(OR(AK138="",AI138=""),"",ROUND(AK138*AI138-N(AH138),2))</f>
        <v/>
      </c>
      <c r="AN138" s="76" t="str">
        <f aca="false">IF(AM138="","",ROUND(BK138+SUMIFS(AM$6:AM138,BJ$6:BJ138,BJ138),2))</f>
        <v/>
      </c>
      <c r="AO138" s="78" t="str">
        <f aca="false">IF(AK138="","",ROUND(SUMIFS(AK$6:AK138,BJ$6:BJ138,BJ138),2))</f>
        <v/>
      </c>
      <c r="AP138" s="80" t="str">
        <f aca="false">IF(OR(AK138="",BL138=""),"",IFERROR(ROUND(IF(J138="Short",AB138-AE138,AE138-AB138)/BL138,1),""))</f>
        <v/>
      </c>
      <c r="AQ138" s="66" t="str">
        <f aca="false">IF(OR(G138="",H138=""),"",ROUND(MOD(H138-G138,1)*1440,0))</f>
        <v/>
      </c>
      <c r="AR138" s="68" t="str">
        <f aca="false">IF(AQ138="","",IF(AQ138&lt;15,"Under 15m",IF(AQ138&lt;60,"15-60m",IF(AQ138&lt;240,"1-4 hours","4+ hours"))))</f>
        <v/>
      </c>
      <c r="AS138" s="66" t="str">
        <f aca="false">IF(G138="","",HOUR(G138))</f>
        <v/>
      </c>
      <c r="AT138" s="80" t="str">
        <f aca="false">IF(OR(Z138="",AB138="",BL138=""),"",IFERROR(ROUND(IF(J138="Short",Z138-AB138,AB138-Z138)/BL138,1),""))</f>
        <v/>
      </c>
      <c r="AU138" s="68" t="str">
        <f aca="false">IF(OR(AA138="",AC138=""),"",IF(AA138=AC138,"No","Yes"))</f>
        <v/>
      </c>
      <c r="AV138" s="81" t="str">
        <f aca="false">IF(OR(B138="",BL138="",BM138="",AB138="",AC138=""),"",IFERROR(ROUND(AI138/(ABS(AB138-AC138)/BL138*BM138),2),""))</f>
        <v/>
      </c>
      <c r="AW138" s="76" t="str">
        <f aca="false">IF(B138="","",ROUND(BK138+SUMIFS(AM$5:AM137,BJ$5:BJ137,BJ138),2))</f>
        <v/>
      </c>
      <c r="AX138" s="66" t="str">
        <f aca="false">IF(B138="","",COUNTIFS(B$6:B138,B138,BJ$6:BJ138,BJ138))</f>
        <v/>
      </c>
      <c r="AY138" s="79" t="str">
        <f aca="false">IF(B138="","",ROUND(SUMIFS(AM$5:AM137,B$5:B137,B138,BJ$5:BJ137,BJ138),2))</f>
        <v/>
      </c>
      <c r="AZ138" s="79" t="str">
        <f aca="false">IF(AM138="","",ROUND(AY138+AM138,2))</f>
        <v/>
      </c>
      <c r="BA138" s="79" t="str">
        <f aca="false">IF(B138="","",ROUND(SUMIFS(AM$5:AM137,B$5:B137,"&gt;="&amp;(B138-WEEKDAY(B138,2)+1),B$5:B137,"&lt;="&amp;B138,BJ$5:BJ137,BJ138),2))</f>
        <v/>
      </c>
      <c r="BB138" s="68" t="str">
        <f aca="false">IF(B138="","",IF(AND(AF138&lt;&gt;"",AV138&lt;&gt;"",N(AF138)&gt;N(AV138)*(1+Settings!$C$13)),"Oversized",IF(AX138&gt;Settings!$C$10,"Overtraded",IF(AY138&lt;=-Settings!$C$11*(AW138-AY138),"Daily loss hit",IF(BA138&lt;=-Settings!$C$12*(AW138-BA138),"Weekly loss hit","OK")))))</f>
        <v/>
      </c>
      <c r="BC138" s="69"/>
      <c r="BD138" s="69"/>
      <c r="BE138" s="69"/>
      <c r="BF138" s="73"/>
      <c r="BG138" s="73"/>
      <c r="BH138" s="71"/>
      <c r="BI138" s="71"/>
      <c r="BJ138" s="68" t="str">
        <f aca="false">IF(B138="","",IF(E138="",Settings!$F$5,E138))</f>
        <v/>
      </c>
      <c r="BK138" s="76" t="str">
        <f aca="false">IF(B138="","",IFERROR(INDEX(Settings!$G$5:$G$10,MATCH(BJ138,Settings!$F$5:$F$10,0)),Settings!$G$5))</f>
        <v/>
      </c>
      <c r="BL138" s="82" t="str">
        <f aca="false">IF(I138="","",IFERROR(1/(1/INDEX(Lists!$C$6:$C$17,MATCH(I138,Lists!$B$6:$B$17,0))),""))</f>
        <v/>
      </c>
      <c r="BM138" s="81" t="str">
        <f aca="false">IF(I138="","",IFERROR(1/(1/INDEX(Lists!$D$6:$D$17,MATCH(I138,Lists!$B$6:$B$17,0))),""))</f>
        <v/>
      </c>
      <c r="BN138" s="76" t="str">
        <f aca="false">IF(AN138="","",MAX(BK138,_xlfn.MAXIFS(AN$6:AN138,BJ$6:BJ138,BJ138)))</f>
        <v/>
      </c>
      <c r="BO138" s="83" t="str">
        <f aca="false">IF(AN138="","",(AN138-BN138)/BN138)</f>
        <v/>
      </c>
      <c r="BP138" s="66" t="n">
        <f aca="false">IF(OR(B138="",AL138=""),0,IF(OR(Settings!$C$28="All Accounts",BJ138=Settings!$C$28),1,0))</f>
        <v>0</v>
      </c>
      <c r="BQ138" s="66" t="str">
        <f aca="false">IF(BP138=1,SUM(BP$6:BP138),"")</f>
        <v/>
      </c>
      <c r="BR138" s="76" t="str">
        <f aca="false">IF(BP138=1,ROUND(Settings!$C$29+SUMIFS(AM$6:AM138,BP$6:BP138,1),2),"")</f>
        <v/>
      </c>
      <c r="BS138" s="76" t="str">
        <f aca="false">IF(BP138=1,MAX(Settings!$C$29,MAX(BR$6:BR138)),"")</f>
        <v/>
      </c>
      <c r="BT138" s="83" t="str">
        <f aca="false">IF(BP138=1,(BR138-BS138)/BS138,"")</f>
        <v/>
      </c>
      <c r="BU138" s="66" t="str">
        <f aca="false">IF(BP138=1,IF(AL138="Win",1+IF(BQ138=1,0,INDEX(BU$5:BU137,MATCH(BQ138-1,BQ$5:BQ137,0))),0),"")</f>
        <v/>
      </c>
      <c r="BV138" s="66" t="str">
        <f aca="false">IF(BP138=1,IF(AL138="Loss",1+IF(BQ138=1,0,INDEX(BV$5:BV137,MATCH(BQ138-1,BQ$5:BQ137,0))),0),"")</f>
        <v/>
      </c>
    </row>
    <row r="139" customFormat="false" ht="15" hidden="false" customHeight="false" outlineLevel="0" collapsed="false">
      <c r="A139" s="66" t="str">
        <f aca="false">IF(B139="","",ROW()-5)</f>
        <v/>
      </c>
      <c r="B139" s="67"/>
      <c r="C139" s="68" t="str">
        <f aca="false">IF(B139="","",CHOOSE(WEEKDAY(B139,2),"Mon","Tue","Wed","Thu","Fri","Sat","Sun"))</f>
        <v/>
      </c>
      <c r="D139" s="66" t="str">
        <f aca="false">IF(B139="","",WEEKNUM(B139,2))</f>
        <v/>
      </c>
      <c r="E139" s="69"/>
      <c r="F139" s="69"/>
      <c r="G139" s="70"/>
      <c r="H139" s="70"/>
      <c r="I139" s="69"/>
      <c r="J139" s="69"/>
      <c r="K139" s="69"/>
      <c r="L139" s="71"/>
      <c r="M139" s="69"/>
      <c r="N139" s="69"/>
      <c r="O139" s="69"/>
      <c r="P139" s="71"/>
      <c r="Q139" s="69"/>
      <c r="R139" s="69"/>
      <c r="S139" s="69"/>
      <c r="T139" s="69"/>
      <c r="U139" s="69"/>
      <c r="V139" s="69"/>
      <c r="W139" s="69"/>
      <c r="X139" s="66" t="str">
        <f aca="false">IF(B139="","",COUNTIF(Q139:W139,"Yes"))</f>
        <v/>
      </c>
      <c r="Y139" s="68" t="str">
        <f aca="false">IF(B139="","",IF(X139&gt;=Settings!$C$16,"A+",IF(X139&gt;=Settings!$C$17,"A",IF(X139&gt;=Settings!$C$18,"B","C"))))</f>
        <v/>
      </c>
      <c r="Z139" s="72"/>
      <c r="AA139" s="72"/>
      <c r="AB139" s="72"/>
      <c r="AC139" s="72"/>
      <c r="AD139" s="72"/>
      <c r="AE139" s="72"/>
      <c r="AF139" s="73"/>
      <c r="AG139" s="74"/>
      <c r="AH139" s="75"/>
      <c r="AI139" s="76" t="str">
        <f aca="false">IF(B139="","",ROUND(IF(AG139="",Settings!$C$5,AG139)*AW139,2))</f>
        <v/>
      </c>
      <c r="AJ139" s="77" t="str">
        <f aca="false">IF(OR(B139="",AB139="",AC139="",AD139=""),"",IFERROR(ROUND(ABS(AD139-AB139)/ABS(AB139-AC139),2),""))</f>
        <v/>
      </c>
      <c r="AK139" s="78" t="str">
        <f aca="false">IF(OR(B139="",AB139="",AC139="",AE139=""),"",IFERROR(ROUND(IF(J139="Short",AB139-AE139,AE139-AB139)/ABS(AB139-AC139),2),""))</f>
        <v/>
      </c>
      <c r="AL139" s="68" t="str">
        <f aca="false">IF(AK139="","",IF(ABS(AK139)&lt;=Settings!$C$6,"BE",IF(AK139&gt;0,"Win","Loss")))</f>
        <v/>
      </c>
      <c r="AM139" s="79" t="str">
        <f aca="false">IF(OR(AK139="",AI139=""),"",ROUND(AK139*AI139-N(AH139),2))</f>
        <v/>
      </c>
      <c r="AN139" s="76" t="str">
        <f aca="false">IF(AM139="","",ROUND(BK139+SUMIFS(AM$6:AM139,BJ$6:BJ139,BJ139),2))</f>
        <v/>
      </c>
      <c r="AO139" s="78" t="str">
        <f aca="false">IF(AK139="","",ROUND(SUMIFS(AK$6:AK139,BJ$6:BJ139,BJ139),2))</f>
        <v/>
      </c>
      <c r="AP139" s="80" t="str">
        <f aca="false">IF(OR(AK139="",BL139=""),"",IFERROR(ROUND(IF(J139="Short",AB139-AE139,AE139-AB139)/BL139,1),""))</f>
        <v/>
      </c>
      <c r="AQ139" s="66" t="str">
        <f aca="false">IF(OR(G139="",H139=""),"",ROUND(MOD(H139-G139,1)*1440,0))</f>
        <v/>
      </c>
      <c r="AR139" s="68" t="str">
        <f aca="false">IF(AQ139="","",IF(AQ139&lt;15,"Under 15m",IF(AQ139&lt;60,"15-60m",IF(AQ139&lt;240,"1-4 hours","4+ hours"))))</f>
        <v/>
      </c>
      <c r="AS139" s="66" t="str">
        <f aca="false">IF(G139="","",HOUR(G139))</f>
        <v/>
      </c>
      <c r="AT139" s="80" t="str">
        <f aca="false">IF(OR(Z139="",AB139="",BL139=""),"",IFERROR(ROUND(IF(J139="Short",Z139-AB139,AB139-Z139)/BL139,1),""))</f>
        <v/>
      </c>
      <c r="AU139" s="68" t="str">
        <f aca="false">IF(OR(AA139="",AC139=""),"",IF(AA139=AC139,"No","Yes"))</f>
        <v/>
      </c>
      <c r="AV139" s="81" t="str">
        <f aca="false">IF(OR(B139="",BL139="",BM139="",AB139="",AC139=""),"",IFERROR(ROUND(AI139/(ABS(AB139-AC139)/BL139*BM139),2),""))</f>
        <v/>
      </c>
      <c r="AW139" s="76" t="str">
        <f aca="false">IF(B139="","",ROUND(BK139+SUMIFS(AM$5:AM138,BJ$5:BJ138,BJ139),2))</f>
        <v/>
      </c>
      <c r="AX139" s="66" t="str">
        <f aca="false">IF(B139="","",COUNTIFS(B$6:B139,B139,BJ$6:BJ139,BJ139))</f>
        <v/>
      </c>
      <c r="AY139" s="79" t="str">
        <f aca="false">IF(B139="","",ROUND(SUMIFS(AM$5:AM138,B$5:B138,B139,BJ$5:BJ138,BJ139),2))</f>
        <v/>
      </c>
      <c r="AZ139" s="79" t="str">
        <f aca="false">IF(AM139="","",ROUND(AY139+AM139,2))</f>
        <v/>
      </c>
      <c r="BA139" s="79" t="str">
        <f aca="false">IF(B139="","",ROUND(SUMIFS(AM$5:AM138,B$5:B138,"&gt;="&amp;(B139-WEEKDAY(B139,2)+1),B$5:B138,"&lt;="&amp;B139,BJ$5:BJ138,BJ139),2))</f>
        <v/>
      </c>
      <c r="BB139" s="68" t="str">
        <f aca="false">IF(B139="","",IF(AND(AF139&lt;&gt;"",AV139&lt;&gt;"",N(AF139)&gt;N(AV139)*(1+Settings!$C$13)),"Oversized",IF(AX139&gt;Settings!$C$10,"Overtraded",IF(AY139&lt;=-Settings!$C$11*(AW139-AY139),"Daily loss hit",IF(BA139&lt;=-Settings!$C$12*(AW139-BA139),"Weekly loss hit","OK")))))</f>
        <v/>
      </c>
      <c r="BC139" s="69"/>
      <c r="BD139" s="69"/>
      <c r="BE139" s="69"/>
      <c r="BF139" s="73"/>
      <c r="BG139" s="73"/>
      <c r="BH139" s="71"/>
      <c r="BI139" s="71"/>
      <c r="BJ139" s="68" t="str">
        <f aca="false">IF(B139="","",IF(E139="",Settings!$F$5,E139))</f>
        <v/>
      </c>
      <c r="BK139" s="76" t="str">
        <f aca="false">IF(B139="","",IFERROR(INDEX(Settings!$G$5:$G$10,MATCH(BJ139,Settings!$F$5:$F$10,0)),Settings!$G$5))</f>
        <v/>
      </c>
      <c r="BL139" s="82" t="str">
        <f aca="false">IF(I139="","",IFERROR(1/(1/INDEX(Lists!$C$6:$C$17,MATCH(I139,Lists!$B$6:$B$17,0))),""))</f>
        <v/>
      </c>
      <c r="BM139" s="81" t="str">
        <f aca="false">IF(I139="","",IFERROR(1/(1/INDEX(Lists!$D$6:$D$17,MATCH(I139,Lists!$B$6:$B$17,0))),""))</f>
        <v/>
      </c>
      <c r="BN139" s="76" t="str">
        <f aca="false">IF(AN139="","",MAX(BK139,_xlfn.MAXIFS(AN$6:AN139,BJ$6:BJ139,BJ139)))</f>
        <v/>
      </c>
      <c r="BO139" s="83" t="str">
        <f aca="false">IF(AN139="","",(AN139-BN139)/BN139)</f>
        <v/>
      </c>
      <c r="BP139" s="66" t="n">
        <f aca="false">IF(OR(B139="",AL139=""),0,IF(OR(Settings!$C$28="All Accounts",BJ139=Settings!$C$28),1,0))</f>
        <v>0</v>
      </c>
      <c r="BQ139" s="66" t="str">
        <f aca="false">IF(BP139=1,SUM(BP$6:BP139),"")</f>
        <v/>
      </c>
      <c r="BR139" s="76" t="str">
        <f aca="false">IF(BP139=1,ROUND(Settings!$C$29+SUMIFS(AM$6:AM139,BP$6:BP139,1),2),"")</f>
        <v/>
      </c>
      <c r="BS139" s="76" t="str">
        <f aca="false">IF(BP139=1,MAX(Settings!$C$29,MAX(BR$6:BR139)),"")</f>
        <v/>
      </c>
      <c r="BT139" s="83" t="str">
        <f aca="false">IF(BP139=1,(BR139-BS139)/BS139,"")</f>
        <v/>
      </c>
      <c r="BU139" s="66" t="str">
        <f aca="false">IF(BP139=1,IF(AL139="Win",1+IF(BQ139=1,0,INDEX(BU$5:BU138,MATCH(BQ139-1,BQ$5:BQ138,0))),0),"")</f>
        <v/>
      </c>
      <c r="BV139" s="66" t="str">
        <f aca="false">IF(BP139=1,IF(AL139="Loss",1+IF(BQ139=1,0,INDEX(BV$5:BV138,MATCH(BQ139-1,BQ$5:BQ138,0))),0),"")</f>
        <v/>
      </c>
    </row>
    <row r="140" customFormat="false" ht="15" hidden="false" customHeight="false" outlineLevel="0" collapsed="false">
      <c r="A140" s="66" t="str">
        <f aca="false">IF(B140="","",ROW()-5)</f>
        <v/>
      </c>
      <c r="B140" s="67"/>
      <c r="C140" s="68" t="str">
        <f aca="false">IF(B140="","",CHOOSE(WEEKDAY(B140,2),"Mon","Tue","Wed","Thu","Fri","Sat","Sun"))</f>
        <v/>
      </c>
      <c r="D140" s="66" t="str">
        <f aca="false">IF(B140="","",WEEKNUM(B140,2))</f>
        <v/>
      </c>
      <c r="E140" s="69"/>
      <c r="F140" s="69"/>
      <c r="G140" s="70"/>
      <c r="H140" s="70"/>
      <c r="I140" s="69"/>
      <c r="J140" s="69"/>
      <c r="K140" s="69"/>
      <c r="L140" s="71"/>
      <c r="M140" s="69"/>
      <c r="N140" s="69"/>
      <c r="O140" s="69"/>
      <c r="P140" s="71"/>
      <c r="Q140" s="69"/>
      <c r="R140" s="69"/>
      <c r="S140" s="69"/>
      <c r="T140" s="69"/>
      <c r="U140" s="69"/>
      <c r="V140" s="69"/>
      <c r="W140" s="69"/>
      <c r="X140" s="66" t="str">
        <f aca="false">IF(B140="","",COUNTIF(Q140:W140,"Yes"))</f>
        <v/>
      </c>
      <c r="Y140" s="68" t="str">
        <f aca="false">IF(B140="","",IF(X140&gt;=Settings!$C$16,"A+",IF(X140&gt;=Settings!$C$17,"A",IF(X140&gt;=Settings!$C$18,"B","C"))))</f>
        <v/>
      </c>
      <c r="Z140" s="72"/>
      <c r="AA140" s="72"/>
      <c r="AB140" s="72"/>
      <c r="AC140" s="72"/>
      <c r="AD140" s="72"/>
      <c r="AE140" s="72"/>
      <c r="AF140" s="73"/>
      <c r="AG140" s="74"/>
      <c r="AH140" s="75"/>
      <c r="AI140" s="76" t="str">
        <f aca="false">IF(B140="","",ROUND(IF(AG140="",Settings!$C$5,AG140)*AW140,2))</f>
        <v/>
      </c>
      <c r="AJ140" s="77" t="str">
        <f aca="false">IF(OR(B140="",AB140="",AC140="",AD140=""),"",IFERROR(ROUND(ABS(AD140-AB140)/ABS(AB140-AC140),2),""))</f>
        <v/>
      </c>
      <c r="AK140" s="78" t="str">
        <f aca="false">IF(OR(B140="",AB140="",AC140="",AE140=""),"",IFERROR(ROUND(IF(J140="Short",AB140-AE140,AE140-AB140)/ABS(AB140-AC140),2),""))</f>
        <v/>
      </c>
      <c r="AL140" s="68" t="str">
        <f aca="false">IF(AK140="","",IF(ABS(AK140)&lt;=Settings!$C$6,"BE",IF(AK140&gt;0,"Win","Loss")))</f>
        <v/>
      </c>
      <c r="AM140" s="79" t="str">
        <f aca="false">IF(OR(AK140="",AI140=""),"",ROUND(AK140*AI140-N(AH140),2))</f>
        <v/>
      </c>
      <c r="AN140" s="76" t="str">
        <f aca="false">IF(AM140="","",ROUND(BK140+SUMIFS(AM$6:AM140,BJ$6:BJ140,BJ140),2))</f>
        <v/>
      </c>
      <c r="AO140" s="78" t="str">
        <f aca="false">IF(AK140="","",ROUND(SUMIFS(AK$6:AK140,BJ$6:BJ140,BJ140),2))</f>
        <v/>
      </c>
      <c r="AP140" s="80" t="str">
        <f aca="false">IF(OR(AK140="",BL140=""),"",IFERROR(ROUND(IF(J140="Short",AB140-AE140,AE140-AB140)/BL140,1),""))</f>
        <v/>
      </c>
      <c r="AQ140" s="66" t="str">
        <f aca="false">IF(OR(G140="",H140=""),"",ROUND(MOD(H140-G140,1)*1440,0))</f>
        <v/>
      </c>
      <c r="AR140" s="68" t="str">
        <f aca="false">IF(AQ140="","",IF(AQ140&lt;15,"Under 15m",IF(AQ140&lt;60,"15-60m",IF(AQ140&lt;240,"1-4 hours","4+ hours"))))</f>
        <v/>
      </c>
      <c r="AS140" s="66" t="str">
        <f aca="false">IF(G140="","",HOUR(G140))</f>
        <v/>
      </c>
      <c r="AT140" s="80" t="str">
        <f aca="false">IF(OR(Z140="",AB140="",BL140=""),"",IFERROR(ROUND(IF(J140="Short",Z140-AB140,AB140-Z140)/BL140,1),""))</f>
        <v/>
      </c>
      <c r="AU140" s="68" t="str">
        <f aca="false">IF(OR(AA140="",AC140=""),"",IF(AA140=AC140,"No","Yes"))</f>
        <v/>
      </c>
      <c r="AV140" s="81" t="str">
        <f aca="false">IF(OR(B140="",BL140="",BM140="",AB140="",AC140=""),"",IFERROR(ROUND(AI140/(ABS(AB140-AC140)/BL140*BM140),2),""))</f>
        <v/>
      </c>
      <c r="AW140" s="76" t="str">
        <f aca="false">IF(B140="","",ROUND(BK140+SUMIFS(AM$5:AM139,BJ$5:BJ139,BJ140),2))</f>
        <v/>
      </c>
      <c r="AX140" s="66" t="str">
        <f aca="false">IF(B140="","",COUNTIFS(B$6:B140,B140,BJ$6:BJ140,BJ140))</f>
        <v/>
      </c>
      <c r="AY140" s="79" t="str">
        <f aca="false">IF(B140="","",ROUND(SUMIFS(AM$5:AM139,B$5:B139,B140,BJ$5:BJ139,BJ140),2))</f>
        <v/>
      </c>
      <c r="AZ140" s="79" t="str">
        <f aca="false">IF(AM140="","",ROUND(AY140+AM140,2))</f>
        <v/>
      </c>
      <c r="BA140" s="79" t="str">
        <f aca="false">IF(B140="","",ROUND(SUMIFS(AM$5:AM139,B$5:B139,"&gt;="&amp;(B140-WEEKDAY(B140,2)+1),B$5:B139,"&lt;="&amp;B140,BJ$5:BJ139,BJ140),2))</f>
        <v/>
      </c>
      <c r="BB140" s="68" t="str">
        <f aca="false">IF(B140="","",IF(AND(AF140&lt;&gt;"",AV140&lt;&gt;"",N(AF140)&gt;N(AV140)*(1+Settings!$C$13)),"Oversized",IF(AX140&gt;Settings!$C$10,"Overtraded",IF(AY140&lt;=-Settings!$C$11*(AW140-AY140),"Daily loss hit",IF(BA140&lt;=-Settings!$C$12*(AW140-BA140),"Weekly loss hit","OK")))))</f>
        <v/>
      </c>
      <c r="BC140" s="69"/>
      <c r="BD140" s="69"/>
      <c r="BE140" s="69"/>
      <c r="BF140" s="73"/>
      <c r="BG140" s="73"/>
      <c r="BH140" s="71"/>
      <c r="BI140" s="71"/>
      <c r="BJ140" s="68" t="str">
        <f aca="false">IF(B140="","",IF(E140="",Settings!$F$5,E140))</f>
        <v/>
      </c>
      <c r="BK140" s="76" t="str">
        <f aca="false">IF(B140="","",IFERROR(INDEX(Settings!$G$5:$G$10,MATCH(BJ140,Settings!$F$5:$F$10,0)),Settings!$G$5))</f>
        <v/>
      </c>
      <c r="BL140" s="82" t="str">
        <f aca="false">IF(I140="","",IFERROR(1/(1/INDEX(Lists!$C$6:$C$17,MATCH(I140,Lists!$B$6:$B$17,0))),""))</f>
        <v/>
      </c>
      <c r="BM140" s="81" t="str">
        <f aca="false">IF(I140="","",IFERROR(1/(1/INDEX(Lists!$D$6:$D$17,MATCH(I140,Lists!$B$6:$B$17,0))),""))</f>
        <v/>
      </c>
      <c r="BN140" s="76" t="str">
        <f aca="false">IF(AN140="","",MAX(BK140,_xlfn.MAXIFS(AN$6:AN140,BJ$6:BJ140,BJ140)))</f>
        <v/>
      </c>
      <c r="BO140" s="83" t="str">
        <f aca="false">IF(AN140="","",(AN140-BN140)/BN140)</f>
        <v/>
      </c>
      <c r="BP140" s="66" t="n">
        <f aca="false">IF(OR(B140="",AL140=""),0,IF(OR(Settings!$C$28="All Accounts",BJ140=Settings!$C$28),1,0))</f>
        <v>0</v>
      </c>
      <c r="BQ140" s="66" t="str">
        <f aca="false">IF(BP140=1,SUM(BP$6:BP140),"")</f>
        <v/>
      </c>
      <c r="BR140" s="76" t="str">
        <f aca="false">IF(BP140=1,ROUND(Settings!$C$29+SUMIFS(AM$6:AM140,BP$6:BP140,1),2),"")</f>
        <v/>
      </c>
      <c r="BS140" s="76" t="str">
        <f aca="false">IF(BP140=1,MAX(Settings!$C$29,MAX(BR$6:BR140)),"")</f>
        <v/>
      </c>
      <c r="BT140" s="83" t="str">
        <f aca="false">IF(BP140=1,(BR140-BS140)/BS140,"")</f>
        <v/>
      </c>
      <c r="BU140" s="66" t="str">
        <f aca="false">IF(BP140=1,IF(AL140="Win",1+IF(BQ140=1,0,INDEX(BU$5:BU139,MATCH(BQ140-1,BQ$5:BQ139,0))),0),"")</f>
        <v/>
      </c>
      <c r="BV140" s="66" t="str">
        <f aca="false">IF(BP140=1,IF(AL140="Loss",1+IF(BQ140=1,0,INDEX(BV$5:BV139,MATCH(BQ140-1,BQ$5:BQ139,0))),0),"")</f>
        <v/>
      </c>
    </row>
    <row r="141" customFormat="false" ht="15" hidden="false" customHeight="false" outlineLevel="0" collapsed="false">
      <c r="A141" s="66" t="str">
        <f aca="false">IF(B141="","",ROW()-5)</f>
        <v/>
      </c>
      <c r="B141" s="67"/>
      <c r="C141" s="68" t="str">
        <f aca="false">IF(B141="","",CHOOSE(WEEKDAY(B141,2),"Mon","Tue","Wed","Thu","Fri","Sat","Sun"))</f>
        <v/>
      </c>
      <c r="D141" s="66" t="str">
        <f aca="false">IF(B141="","",WEEKNUM(B141,2))</f>
        <v/>
      </c>
      <c r="E141" s="69"/>
      <c r="F141" s="69"/>
      <c r="G141" s="70"/>
      <c r="H141" s="70"/>
      <c r="I141" s="69"/>
      <c r="J141" s="69"/>
      <c r="K141" s="69"/>
      <c r="L141" s="71"/>
      <c r="M141" s="69"/>
      <c r="N141" s="69"/>
      <c r="O141" s="69"/>
      <c r="P141" s="71"/>
      <c r="Q141" s="69"/>
      <c r="R141" s="69"/>
      <c r="S141" s="69"/>
      <c r="T141" s="69"/>
      <c r="U141" s="69"/>
      <c r="V141" s="69"/>
      <c r="W141" s="69"/>
      <c r="X141" s="66" t="str">
        <f aca="false">IF(B141="","",COUNTIF(Q141:W141,"Yes"))</f>
        <v/>
      </c>
      <c r="Y141" s="68" t="str">
        <f aca="false">IF(B141="","",IF(X141&gt;=Settings!$C$16,"A+",IF(X141&gt;=Settings!$C$17,"A",IF(X141&gt;=Settings!$C$18,"B","C"))))</f>
        <v/>
      </c>
      <c r="Z141" s="72"/>
      <c r="AA141" s="72"/>
      <c r="AB141" s="72"/>
      <c r="AC141" s="72"/>
      <c r="AD141" s="72"/>
      <c r="AE141" s="72"/>
      <c r="AF141" s="73"/>
      <c r="AG141" s="74"/>
      <c r="AH141" s="75"/>
      <c r="AI141" s="76" t="str">
        <f aca="false">IF(B141="","",ROUND(IF(AG141="",Settings!$C$5,AG141)*AW141,2))</f>
        <v/>
      </c>
      <c r="AJ141" s="77" t="str">
        <f aca="false">IF(OR(B141="",AB141="",AC141="",AD141=""),"",IFERROR(ROUND(ABS(AD141-AB141)/ABS(AB141-AC141),2),""))</f>
        <v/>
      </c>
      <c r="AK141" s="78" t="str">
        <f aca="false">IF(OR(B141="",AB141="",AC141="",AE141=""),"",IFERROR(ROUND(IF(J141="Short",AB141-AE141,AE141-AB141)/ABS(AB141-AC141),2),""))</f>
        <v/>
      </c>
      <c r="AL141" s="68" t="str">
        <f aca="false">IF(AK141="","",IF(ABS(AK141)&lt;=Settings!$C$6,"BE",IF(AK141&gt;0,"Win","Loss")))</f>
        <v/>
      </c>
      <c r="AM141" s="79" t="str">
        <f aca="false">IF(OR(AK141="",AI141=""),"",ROUND(AK141*AI141-N(AH141),2))</f>
        <v/>
      </c>
      <c r="AN141" s="76" t="str">
        <f aca="false">IF(AM141="","",ROUND(BK141+SUMIFS(AM$6:AM141,BJ$6:BJ141,BJ141),2))</f>
        <v/>
      </c>
      <c r="AO141" s="78" t="str">
        <f aca="false">IF(AK141="","",ROUND(SUMIFS(AK$6:AK141,BJ$6:BJ141,BJ141),2))</f>
        <v/>
      </c>
      <c r="AP141" s="80" t="str">
        <f aca="false">IF(OR(AK141="",BL141=""),"",IFERROR(ROUND(IF(J141="Short",AB141-AE141,AE141-AB141)/BL141,1),""))</f>
        <v/>
      </c>
      <c r="AQ141" s="66" t="str">
        <f aca="false">IF(OR(G141="",H141=""),"",ROUND(MOD(H141-G141,1)*1440,0))</f>
        <v/>
      </c>
      <c r="AR141" s="68" t="str">
        <f aca="false">IF(AQ141="","",IF(AQ141&lt;15,"Under 15m",IF(AQ141&lt;60,"15-60m",IF(AQ141&lt;240,"1-4 hours","4+ hours"))))</f>
        <v/>
      </c>
      <c r="AS141" s="66" t="str">
        <f aca="false">IF(G141="","",HOUR(G141))</f>
        <v/>
      </c>
      <c r="AT141" s="80" t="str">
        <f aca="false">IF(OR(Z141="",AB141="",BL141=""),"",IFERROR(ROUND(IF(J141="Short",Z141-AB141,AB141-Z141)/BL141,1),""))</f>
        <v/>
      </c>
      <c r="AU141" s="68" t="str">
        <f aca="false">IF(OR(AA141="",AC141=""),"",IF(AA141=AC141,"No","Yes"))</f>
        <v/>
      </c>
      <c r="AV141" s="81" t="str">
        <f aca="false">IF(OR(B141="",BL141="",BM141="",AB141="",AC141=""),"",IFERROR(ROUND(AI141/(ABS(AB141-AC141)/BL141*BM141),2),""))</f>
        <v/>
      </c>
      <c r="AW141" s="76" t="str">
        <f aca="false">IF(B141="","",ROUND(BK141+SUMIFS(AM$5:AM140,BJ$5:BJ140,BJ141),2))</f>
        <v/>
      </c>
      <c r="AX141" s="66" t="str">
        <f aca="false">IF(B141="","",COUNTIFS(B$6:B141,B141,BJ$6:BJ141,BJ141))</f>
        <v/>
      </c>
      <c r="AY141" s="79" t="str">
        <f aca="false">IF(B141="","",ROUND(SUMIFS(AM$5:AM140,B$5:B140,B141,BJ$5:BJ140,BJ141),2))</f>
        <v/>
      </c>
      <c r="AZ141" s="79" t="str">
        <f aca="false">IF(AM141="","",ROUND(AY141+AM141,2))</f>
        <v/>
      </c>
      <c r="BA141" s="79" t="str">
        <f aca="false">IF(B141="","",ROUND(SUMIFS(AM$5:AM140,B$5:B140,"&gt;="&amp;(B141-WEEKDAY(B141,2)+1),B$5:B140,"&lt;="&amp;B141,BJ$5:BJ140,BJ141),2))</f>
        <v/>
      </c>
      <c r="BB141" s="68" t="str">
        <f aca="false">IF(B141="","",IF(AND(AF141&lt;&gt;"",AV141&lt;&gt;"",N(AF141)&gt;N(AV141)*(1+Settings!$C$13)),"Oversized",IF(AX141&gt;Settings!$C$10,"Overtraded",IF(AY141&lt;=-Settings!$C$11*(AW141-AY141),"Daily loss hit",IF(BA141&lt;=-Settings!$C$12*(AW141-BA141),"Weekly loss hit","OK")))))</f>
        <v/>
      </c>
      <c r="BC141" s="69"/>
      <c r="BD141" s="69"/>
      <c r="BE141" s="69"/>
      <c r="BF141" s="73"/>
      <c r="BG141" s="73"/>
      <c r="BH141" s="71"/>
      <c r="BI141" s="71"/>
      <c r="BJ141" s="68" t="str">
        <f aca="false">IF(B141="","",IF(E141="",Settings!$F$5,E141))</f>
        <v/>
      </c>
      <c r="BK141" s="76" t="str">
        <f aca="false">IF(B141="","",IFERROR(INDEX(Settings!$G$5:$G$10,MATCH(BJ141,Settings!$F$5:$F$10,0)),Settings!$G$5))</f>
        <v/>
      </c>
      <c r="BL141" s="82" t="str">
        <f aca="false">IF(I141="","",IFERROR(1/(1/INDEX(Lists!$C$6:$C$17,MATCH(I141,Lists!$B$6:$B$17,0))),""))</f>
        <v/>
      </c>
      <c r="BM141" s="81" t="str">
        <f aca="false">IF(I141="","",IFERROR(1/(1/INDEX(Lists!$D$6:$D$17,MATCH(I141,Lists!$B$6:$B$17,0))),""))</f>
        <v/>
      </c>
      <c r="BN141" s="76" t="str">
        <f aca="false">IF(AN141="","",MAX(BK141,_xlfn.MAXIFS(AN$6:AN141,BJ$6:BJ141,BJ141)))</f>
        <v/>
      </c>
      <c r="BO141" s="83" t="str">
        <f aca="false">IF(AN141="","",(AN141-BN141)/BN141)</f>
        <v/>
      </c>
      <c r="BP141" s="66" t="n">
        <f aca="false">IF(OR(B141="",AL141=""),0,IF(OR(Settings!$C$28="All Accounts",BJ141=Settings!$C$28),1,0))</f>
        <v>0</v>
      </c>
      <c r="BQ141" s="66" t="str">
        <f aca="false">IF(BP141=1,SUM(BP$6:BP141),"")</f>
        <v/>
      </c>
      <c r="BR141" s="76" t="str">
        <f aca="false">IF(BP141=1,ROUND(Settings!$C$29+SUMIFS(AM$6:AM141,BP$6:BP141,1),2),"")</f>
        <v/>
      </c>
      <c r="BS141" s="76" t="str">
        <f aca="false">IF(BP141=1,MAX(Settings!$C$29,MAX(BR$6:BR141)),"")</f>
        <v/>
      </c>
      <c r="BT141" s="83" t="str">
        <f aca="false">IF(BP141=1,(BR141-BS141)/BS141,"")</f>
        <v/>
      </c>
      <c r="BU141" s="66" t="str">
        <f aca="false">IF(BP141=1,IF(AL141="Win",1+IF(BQ141=1,0,INDEX(BU$5:BU140,MATCH(BQ141-1,BQ$5:BQ140,0))),0),"")</f>
        <v/>
      </c>
      <c r="BV141" s="66" t="str">
        <f aca="false">IF(BP141=1,IF(AL141="Loss",1+IF(BQ141=1,0,INDEX(BV$5:BV140,MATCH(BQ141-1,BQ$5:BQ140,0))),0),"")</f>
        <v/>
      </c>
    </row>
    <row r="142" customFormat="false" ht="15" hidden="false" customHeight="false" outlineLevel="0" collapsed="false">
      <c r="A142" s="66" t="str">
        <f aca="false">IF(B142="","",ROW()-5)</f>
        <v/>
      </c>
      <c r="B142" s="67"/>
      <c r="C142" s="68" t="str">
        <f aca="false">IF(B142="","",CHOOSE(WEEKDAY(B142,2),"Mon","Tue","Wed","Thu","Fri","Sat","Sun"))</f>
        <v/>
      </c>
      <c r="D142" s="66" t="str">
        <f aca="false">IF(B142="","",WEEKNUM(B142,2))</f>
        <v/>
      </c>
      <c r="E142" s="69"/>
      <c r="F142" s="69"/>
      <c r="G142" s="70"/>
      <c r="H142" s="70"/>
      <c r="I142" s="69"/>
      <c r="J142" s="69"/>
      <c r="K142" s="69"/>
      <c r="L142" s="71"/>
      <c r="M142" s="69"/>
      <c r="N142" s="69"/>
      <c r="O142" s="69"/>
      <c r="P142" s="71"/>
      <c r="Q142" s="69"/>
      <c r="R142" s="69"/>
      <c r="S142" s="69"/>
      <c r="T142" s="69"/>
      <c r="U142" s="69"/>
      <c r="V142" s="69"/>
      <c r="W142" s="69"/>
      <c r="X142" s="66" t="str">
        <f aca="false">IF(B142="","",COUNTIF(Q142:W142,"Yes"))</f>
        <v/>
      </c>
      <c r="Y142" s="68" t="str">
        <f aca="false">IF(B142="","",IF(X142&gt;=Settings!$C$16,"A+",IF(X142&gt;=Settings!$C$17,"A",IF(X142&gt;=Settings!$C$18,"B","C"))))</f>
        <v/>
      </c>
      <c r="Z142" s="72"/>
      <c r="AA142" s="72"/>
      <c r="AB142" s="72"/>
      <c r="AC142" s="72"/>
      <c r="AD142" s="72"/>
      <c r="AE142" s="72"/>
      <c r="AF142" s="73"/>
      <c r="AG142" s="74"/>
      <c r="AH142" s="75"/>
      <c r="AI142" s="76" t="str">
        <f aca="false">IF(B142="","",ROUND(IF(AG142="",Settings!$C$5,AG142)*AW142,2))</f>
        <v/>
      </c>
      <c r="AJ142" s="77" t="str">
        <f aca="false">IF(OR(B142="",AB142="",AC142="",AD142=""),"",IFERROR(ROUND(ABS(AD142-AB142)/ABS(AB142-AC142),2),""))</f>
        <v/>
      </c>
      <c r="AK142" s="78" t="str">
        <f aca="false">IF(OR(B142="",AB142="",AC142="",AE142=""),"",IFERROR(ROUND(IF(J142="Short",AB142-AE142,AE142-AB142)/ABS(AB142-AC142),2),""))</f>
        <v/>
      </c>
      <c r="AL142" s="68" t="str">
        <f aca="false">IF(AK142="","",IF(ABS(AK142)&lt;=Settings!$C$6,"BE",IF(AK142&gt;0,"Win","Loss")))</f>
        <v/>
      </c>
      <c r="AM142" s="79" t="str">
        <f aca="false">IF(OR(AK142="",AI142=""),"",ROUND(AK142*AI142-N(AH142),2))</f>
        <v/>
      </c>
      <c r="AN142" s="76" t="str">
        <f aca="false">IF(AM142="","",ROUND(BK142+SUMIFS(AM$6:AM142,BJ$6:BJ142,BJ142),2))</f>
        <v/>
      </c>
      <c r="AO142" s="78" t="str">
        <f aca="false">IF(AK142="","",ROUND(SUMIFS(AK$6:AK142,BJ$6:BJ142,BJ142),2))</f>
        <v/>
      </c>
      <c r="AP142" s="80" t="str">
        <f aca="false">IF(OR(AK142="",BL142=""),"",IFERROR(ROUND(IF(J142="Short",AB142-AE142,AE142-AB142)/BL142,1),""))</f>
        <v/>
      </c>
      <c r="AQ142" s="66" t="str">
        <f aca="false">IF(OR(G142="",H142=""),"",ROUND(MOD(H142-G142,1)*1440,0))</f>
        <v/>
      </c>
      <c r="AR142" s="68" t="str">
        <f aca="false">IF(AQ142="","",IF(AQ142&lt;15,"Under 15m",IF(AQ142&lt;60,"15-60m",IF(AQ142&lt;240,"1-4 hours","4+ hours"))))</f>
        <v/>
      </c>
      <c r="AS142" s="66" t="str">
        <f aca="false">IF(G142="","",HOUR(G142))</f>
        <v/>
      </c>
      <c r="AT142" s="80" t="str">
        <f aca="false">IF(OR(Z142="",AB142="",BL142=""),"",IFERROR(ROUND(IF(J142="Short",Z142-AB142,AB142-Z142)/BL142,1),""))</f>
        <v/>
      </c>
      <c r="AU142" s="68" t="str">
        <f aca="false">IF(OR(AA142="",AC142=""),"",IF(AA142=AC142,"No","Yes"))</f>
        <v/>
      </c>
      <c r="AV142" s="81" t="str">
        <f aca="false">IF(OR(B142="",BL142="",BM142="",AB142="",AC142=""),"",IFERROR(ROUND(AI142/(ABS(AB142-AC142)/BL142*BM142),2),""))</f>
        <v/>
      </c>
      <c r="AW142" s="76" t="str">
        <f aca="false">IF(B142="","",ROUND(BK142+SUMIFS(AM$5:AM141,BJ$5:BJ141,BJ142),2))</f>
        <v/>
      </c>
      <c r="AX142" s="66" t="str">
        <f aca="false">IF(B142="","",COUNTIFS(B$6:B142,B142,BJ$6:BJ142,BJ142))</f>
        <v/>
      </c>
      <c r="AY142" s="79" t="str">
        <f aca="false">IF(B142="","",ROUND(SUMIFS(AM$5:AM141,B$5:B141,B142,BJ$5:BJ141,BJ142),2))</f>
        <v/>
      </c>
      <c r="AZ142" s="79" t="str">
        <f aca="false">IF(AM142="","",ROUND(AY142+AM142,2))</f>
        <v/>
      </c>
      <c r="BA142" s="79" t="str">
        <f aca="false">IF(B142="","",ROUND(SUMIFS(AM$5:AM141,B$5:B141,"&gt;="&amp;(B142-WEEKDAY(B142,2)+1),B$5:B141,"&lt;="&amp;B142,BJ$5:BJ141,BJ142),2))</f>
        <v/>
      </c>
      <c r="BB142" s="68" t="str">
        <f aca="false">IF(B142="","",IF(AND(AF142&lt;&gt;"",AV142&lt;&gt;"",N(AF142)&gt;N(AV142)*(1+Settings!$C$13)),"Oversized",IF(AX142&gt;Settings!$C$10,"Overtraded",IF(AY142&lt;=-Settings!$C$11*(AW142-AY142),"Daily loss hit",IF(BA142&lt;=-Settings!$C$12*(AW142-BA142),"Weekly loss hit","OK")))))</f>
        <v/>
      </c>
      <c r="BC142" s="69"/>
      <c r="BD142" s="69"/>
      <c r="BE142" s="69"/>
      <c r="BF142" s="73"/>
      <c r="BG142" s="73"/>
      <c r="BH142" s="71"/>
      <c r="BI142" s="71"/>
      <c r="BJ142" s="68" t="str">
        <f aca="false">IF(B142="","",IF(E142="",Settings!$F$5,E142))</f>
        <v/>
      </c>
      <c r="BK142" s="76" t="str">
        <f aca="false">IF(B142="","",IFERROR(INDEX(Settings!$G$5:$G$10,MATCH(BJ142,Settings!$F$5:$F$10,0)),Settings!$G$5))</f>
        <v/>
      </c>
      <c r="BL142" s="82" t="str">
        <f aca="false">IF(I142="","",IFERROR(1/(1/INDEX(Lists!$C$6:$C$17,MATCH(I142,Lists!$B$6:$B$17,0))),""))</f>
        <v/>
      </c>
      <c r="BM142" s="81" t="str">
        <f aca="false">IF(I142="","",IFERROR(1/(1/INDEX(Lists!$D$6:$D$17,MATCH(I142,Lists!$B$6:$B$17,0))),""))</f>
        <v/>
      </c>
      <c r="BN142" s="76" t="str">
        <f aca="false">IF(AN142="","",MAX(BK142,_xlfn.MAXIFS(AN$6:AN142,BJ$6:BJ142,BJ142)))</f>
        <v/>
      </c>
      <c r="BO142" s="83" t="str">
        <f aca="false">IF(AN142="","",(AN142-BN142)/BN142)</f>
        <v/>
      </c>
      <c r="BP142" s="66" t="n">
        <f aca="false">IF(OR(B142="",AL142=""),0,IF(OR(Settings!$C$28="All Accounts",BJ142=Settings!$C$28),1,0))</f>
        <v>0</v>
      </c>
      <c r="BQ142" s="66" t="str">
        <f aca="false">IF(BP142=1,SUM(BP$6:BP142),"")</f>
        <v/>
      </c>
      <c r="BR142" s="76" t="str">
        <f aca="false">IF(BP142=1,ROUND(Settings!$C$29+SUMIFS(AM$6:AM142,BP$6:BP142,1),2),"")</f>
        <v/>
      </c>
      <c r="BS142" s="76" t="str">
        <f aca="false">IF(BP142=1,MAX(Settings!$C$29,MAX(BR$6:BR142)),"")</f>
        <v/>
      </c>
      <c r="BT142" s="83" t="str">
        <f aca="false">IF(BP142=1,(BR142-BS142)/BS142,"")</f>
        <v/>
      </c>
      <c r="BU142" s="66" t="str">
        <f aca="false">IF(BP142=1,IF(AL142="Win",1+IF(BQ142=1,0,INDEX(BU$5:BU141,MATCH(BQ142-1,BQ$5:BQ141,0))),0),"")</f>
        <v/>
      </c>
      <c r="BV142" s="66" t="str">
        <f aca="false">IF(BP142=1,IF(AL142="Loss",1+IF(BQ142=1,0,INDEX(BV$5:BV141,MATCH(BQ142-1,BQ$5:BQ141,0))),0),"")</f>
        <v/>
      </c>
    </row>
    <row r="143" customFormat="false" ht="15" hidden="false" customHeight="false" outlineLevel="0" collapsed="false">
      <c r="A143" s="66" t="str">
        <f aca="false">IF(B143="","",ROW()-5)</f>
        <v/>
      </c>
      <c r="B143" s="67"/>
      <c r="C143" s="68" t="str">
        <f aca="false">IF(B143="","",CHOOSE(WEEKDAY(B143,2),"Mon","Tue","Wed","Thu","Fri","Sat","Sun"))</f>
        <v/>
      </c>
      <c r="D143" s="66" t="str">
        <f aca="false">IF(B143="","",WEEKNUM(B143,2))</f>
        <v/>
      </c>
      <c r="E143" s="69"/>
      <c r="F143" s="69"/>
      <c r="G143" s="70"/>
      <c r="H143" s="70"/>
      <c r="I143" s="69"/>
      <c r="J143" s="69"/>
      <c r="K143" s="69"/>
      <c r="L143" s="71"/>
      <c r="M143" s="69"/>
      <c r="N143" s="69"/>
      <c r="O143" s="69"/>
      <c r="P143" s="71"/>
      <c r="Q143" s="69"/>
      <c r="R143" s="69"/>
      <c r="S143" s="69"/>
      <c r="T143" s="69"/>
      <c r="U143" s="69"/>
      <c r="V143" s="69"/>
      <c r="W143" s="69"/>
      <c r="X143" s="66" t="str">
        <f aca="false">IF(B143="","",COUNTIF(Q143:W143,"Yes"))</f>
        <v/>
      </c>
      <c r="Y143" s="68" t="str">
        <f aca="false">IF(B143="","",IF(X143&gt;=Settings!$C$16,"A+",IF(X143&gt;=Settings!$C$17,"A",IF(X143&gt;=Settings!$C$18,"B","C"))))</f>
        <v/>
      </c>
      <c r="Z143" s="72"/>
      <c r="AA143" s="72"/>
      <c r="AB143" s="72"/>
      <c r="AC143" s="72"/>
      <c r="AD143" s="72"/>
      <c r="AE143" s="72"/>
      <c r="AF143" s="73"/>
      <c r="AG143" s="74"/>
      <c r="AH143" s="75"/>
      <c r="AI143" s="76" t="str">
        <f aca="false">IF(B143="","",ROUND(IF(AG143="",Settings!$C$5,AG143)*AW143,2))</f>
        <v/>
      </c>
      <c r="AJ143" s="77" t="str">
        <f aca="false">IF(OR(B143="",AB143="",AC143="",AD143=""),"",IFERROR(ROUND(ABS(AD143-AB143)/ABS(AB143-AC143),2),""))</f>
        <v/>
      </c>
      <c r="AK143" s="78" t="str">
        <f aca="false">IF(OR(B143="",AB143="",AC143="",AE143=""),"",IFERROR(ROUND(IF(J143="Short",AB143-AE143,AE143-AB143)/ABS(AB143-AC143),2),""))</f>
        <v/>
      </c>
      <c r="AL143" s="68" t="str">
        <f aca="false">IF(AK143="","",IF(ABS(AK143)&lt;=Settings!$C$6,"BE",IF(AK143&gt;0,"Win","Loss")))</f>
        <v/>
      </c>
      <c r="AM143" s="79" t="str">
        <f aca="false">IF(OR(AK143="",AI143=""),"",ROUND(AK143*AI143-N(AH143),2))</f>
        <v/>
      </c>
      <c r="AN143" s="76" t="str">
        <f aca="false">IF(AM143="","",ROUND(BK143+SUMIFS(AM$6:AM143,BJ$6:BJ143,BJ143),2))</f>
        <v/>
      </c>
      <c r="AO143" s="78" t="str">
        <f aca="false">IF(AK143="","",ROUND(SUMIFS(AK$6:AK143,BJ$6:BJ143,BJ143),2))</f>
        <v/>
      </c>
      <c r="AP143" s="80" t="str">
        <f aca="false">IF(OR(AK143="",BL143=""),"",IFERROR(ROUND(IF(J143="Short",AB143-AE143,AE143-AB143)/BL143,1),""))</f>
        <v/>
      </c>
      <c r="AQ143" s="66" t="str">
        <f aca="false">IF(OR(G143="",H143=""),"",ROUND(MOD(H143-G143,1)*1440,0))</f>
        <v/>
      </c>
      <c r="AR143" s="68" t="str">
        <f aca="false">IF(AQ143="","",IF(AQ143&lt;15,"Under 15m",IF(AQ143&lt;60,"15-60m",IF(AQ143&lt;240,"1-4 hours","4+ hours"))))</f>
        <v/>
      </c>
      <c r="AS143" s="66" t="str">
        <f aca="false">IF(G143="","",HOUR(G143))</f>
        <v/>
      </c>
      <c r="AT143" s="80" t="str">
        <f aca="false">IF(OR(Z143="",AB143="",BL143=""),"",IFERROR(ROUND(IF(J143="Short",Z143-AB143,AB143-Z143)/BL143,1),""))</f>
        <v/>
      </c>
      <c r="AU143" s="68" t="str">
        <f aca="false">IF(OR(AA143="",AC143=""),"",IF(AA143=AC143,"No","Yes"))</f>
        <v/>
      </c>
      <c r="AV143" s="81" t="str">
        <f aca="false">IF(OR(B143="",BL143="",BM143="",AB143="",AC143=""),"",IFERROR(ROUND(AI143/(ABS(AB143-AC143)/BL143*BM143),2),""))</f>
        <v/>
      </c>
      <c r="AW143" s="76" t="str">
        <f aca="false">IF(B143="","",ROUND(BK143+SUMIFS(AM$5:AM142,BJ$5:BJ142,BJ143),2))</f>
        <v/>
      </c>
      <c r="AX143" s="66" t="str">
        <f aca="false">IF(B143="","",COUNTIFS(B$6:B143,B143,BJ$6:BJ143,BJ143))</f>
        <v/>
      </c>
      <c r="AY143" s="79" t="str">
        <f aca="false">IF(B143="","",ROUND(SUMIFS(AM$5:AM142,B$5:B142,B143,BJ$5:BJ142,BJ143),2))</f>
        <v/>
      </c>
      <c r="AZ143" s="79" t="str">
        <f aca="false">IF(AM143="","",ROUND(AY143+AM143,2))</f>
        <v/>
      </c>
      <c r="BA143" s="79" t="str">
        <f aca="false">IF(B143="","",ROUND(SUMIFS(AM$5:AM142,B$5:B142,"&gt;="&amp;(B143-WEEKDAY(B143,2)+1),B$5:B142,"&lt;="&amp;B143,BJ$5:BJ142,BJ143),2))</f>
        <v/>
      </c>
      <c r="BB143" s="68" t="str">
        <f aca="false">IF(B143="","",IF(AND(AF143&lt;&gt;"",AV143&lt;&gt;"",N(AF143)&gt;N(AV143)*(1+Settings!$C$13)),"Oversized",IF(AX143&gt;Settings!$C$10,"Overtraded",IF(AY143&lt;=-Settings!$C$11*(AW143-AY143),"Daily loss hit",IF(BA143&lt;=-Settings!$C$12*(AW143-BA143),"Weekly loss hit","OK")))))</f>
        <v/>
      </c>
      <c r="BC143" s="69"/>
      <c r="BD143" s="69"/>
      <c r="BE143" s="69"/>
      <c r="BF143" s="73"/>
      <c r="BG143" s="73"/>
      <c r="BH143" s="71"/>
      <c r="BI143" s="71"/>
      <c r="BJ143" s="68" t="str">
        <f aca="false">IF(B143="","",IF(E143="",Settings!$F$5,E143))</f>
        <v/>
      </c>
      <c r="BK143" s="76" t="str">
        <f aca="false">IF(B143="","",IFERROR(INDEX(Settings!$G$5:$G$10,MATCH(BJ143,Settings!$F$5:$F$10,0)),Settings!$G$5))</f>
        <v/>
      </c>
      <c r="BL143" s="82" t="str">
        <f aca="false">IF(I143="","",IFERROR(1/(1/INDEX(Lists!$C$6:$C$17,MATCH(I143,Lists!$B$6:$B$17,0))),""))</f>
        <v/>
      </c>
      <c r="BM143" s="81" t="str">
        <f aca="false">IF(I143="","",IFERROR(1/(1/INDEX(Lists!$D$6:$D$17,MATCH(I143,Lists!$B$6:$B$17,0))),""))</f>
        <v/>
      </c>
      <c r="BN143" s="76" t="str">
        <f aca="false">IF(AN143="","",MAX(BK143,_xlfn.MAXIFS(AN$6:AN143,BJ$6:BJ143,BJ143)))</f>
        <v/>
      </c>
      <c r="BO143" s="83" t="str">
        <f aca="false">IF(AN143="","",(AN143-BN143)/BN143)</f>
        <v/>
      </c>
      <c r="BP143" s="66" t="n">
        <f aca="false">IF(OR(B143="",AL143=""),0,IF(OR(Settings!$C$28="All Accounts",BJ143=Settings!$C$28),1,0))</f>
        <v>0</v>
      </c>
      <c r="BQ143" s="66" t="str">
        <f aca="false">IF(BP143=1,SUM(BP$6:BP143),"")</f>
        <v/>
      </c>
      <c r="BR143" s="76" t="str">
        <f aca="false">IF(BP143=1,ROUND(Settings!$C$29+SUMIFS(AM$6:AM143,BP$6:BP143,1),2),"")</f>
        <v/>
      </c>
      <c r="BS143" s="76" t="str">
        <f aca="false">IF(BP143=1,MAX(Settings!$C$29,MAX(BR$6:BR143)),"")</f>
        <v/>
      </c>
      <c r="BT143" s="83" t="str">
        <f aca="false">IF(BP143=1,(BR143-BS143)/BS143,"")</f>
        <v/>
      </c>
      <c r="BU143" s="66" t="str">
        <f aca="false">IF(BP143=1,IF(AL143="Win",1+IF(BQ143=1,0,INDEX(BU$5:BU142,MATCH(BQ143-1,BQ$5:BQ142,0))),0),"")</f>
        <v/>
      </c>
      <c r="BV143" s="66" t="str">
        <f aca="false">IF(BP143=1,IF(AL143="Loss",1+IF(BQ143=1,0,INDEX(BV$5:BV142,MATCH(BQ143-1,BQ$5:BQ142,0))),0),"")</f>
        <v/>
      </c>
    </row>
    <row r="144" customFormat="false" ht="15" hidden="false" customHeight="false" outlineLevel="0" collapsed="false">
      <c r="A144" s="66" t="str">
        <f aca="false">IF(B144="","",ROW()-5)</f>
        <v/>
      </c>
      <c r="B144" s="67"/>
      <c r="C144" s="68" t="str">
        <f aca="false">IF(B144="","",CHOOSE(WEEKDAY(B144,2),"Mon","Tue","Wed","Thu","Fri","Sat","Sun"))</f>
        <v/>
      </c>
      <c r="D144" s="66" t="str">
        <f aca="false">IF(B144="","",WEEKNUM(B144,2))</f>
        <v/>
      </c>
      <c r="E144" s="69"/>
      <c r="F144" s="69"/>
      <c r="G144" s="70"/>
      <c r="H144" s="70"/>
      <c r="I144" s="69"/>
      <c r="J144" s="69"/>
      <c r="K144" s="69"/>
      <c r="L144" s="71"/>
      <c r="M144" s="69"/>
      <c r="N144" s="69"/>
      <c r="O144" s="69"/>
      <c r="P144" s="71"/>
      <c r="Q144" s="69"/>
      <c r="R144" s="69"/>
      <c r="S144" s="69"/>
      <c r="T144" s="69"/>
      <c r="U144" s="69"/>
      <c r="V144" s="69"/>
      <c r="W144" s="69"/>
      <c r="X144" s="66" t="str">
        <f aca="false">IF(B144="","",COUNTIF(Q144:W144,"Yes"))</f>
        <v/>
      </c>
      <c r="Y144" s="68" t="str">
        <f aca="false">IF(B144="","",IF(X144&gt;=Settings!$C$16,"A+",IF(X144&gt;=Settings!$C$17,"A",IF(X144&gt;=Settings!$C$18,"B","C"))))</f>
        <v/>
      </c>
      <c r="Z144" s="72"/>
      <c r="AA144" s="72"/>
      <c r="AB144" s="72"/>
      <c r="AC144" s="72"/>
      <c r="AD144" s="72"/>
      <c r="AE144" s="72"/>
      <c r="AF144" s="73"/>
      <c r="AG144" s="74"/>
      <c r="AH144" s="75"/>
      <c r="AI144" s="76" t="str">
        <f aca="false">IF(B144="","",ROUND(IF(AG144="",Settings!$C$5,AG144)*AW144,2))</f>
        <v/>
      </c>
      <c r="AJ144" s="77" t="str">
        <f aca="false">IF(OR(B144="",AB144="",AC144="",AD144=""),"",IFERROR(ROUND(ABS(AD144-AB144)/ABS(AB144-AC144),2),""))</f>
        <v/>
      </c>
      <c r="AK144" s="78" t="str">
        <f aca="false">IF(OR(B144="",AB144="",AC144="",AE144=""),"",IFERROR(ROUND(IF(J144="Short",AB144-AE144,AE144-AB144)/ABS(AB144-AC144),2),""))</f>
        <v/>
      </c>
      <c r="AL144" s="68" t="str">
        <f aca="false">IF(AK144="","",IF(ABS(AK144)&lt;=Settings!$C$6,"BE",IF(AK144&gt;0,"Win","Loss")))</f>
        <v/>
      </c>
      <c r="AM144" s="79" t="str">
        <f aca="false">IF(OR(AK144="",AI144=""),"",ROUND(AK144*AI144-N(AH144),2))</f>
        <v/>
      </c>
      <c r="AN144" s="76" t="str">
        <f aca="false">IF(AM144="","",ROUND(BK144+SUMIFS(AM$6:AM144,BJ$6:BJ144,BJ144),2))</f>
        <v/>
      </c>
      <c r="AO144" s="78" t="str">
        <f aca="false">IF(AK144="","",ROUND(SUMIFS(AK$6:AK144,BJ$6:BJ144,BJ144),2))</f>
        <v/>
      </c>
      <c r="AP144" s="80" t="str">
        <f aca="false">IF(OR(AK144="",BL144=""),"",IFERROR(ROUND(IF(J144="Short",AB144-AE144,AE144-AB144)/BL144,1),""))</f>
        <v/>
      </c>
      <c r="AQ144" s="66" t="str">
        <f aca="false">IF(OR(G144="",H144=""),"",ROUND(MOD(H144-G144,1)*1440,0))</f>
        <v/>
      </c>
      <c r="AR144" s="68" t="str">
        <f aca="false">IF(AQ144="","",IF(AQ144&lt;15,"Under 15m",IF(AQ144&lt;60,"15-60m",IF(AQ144&lt;240,"1-4 hours","4+ hours"))))</f>
        <v/>
      </c>
      <c r="AS144" s="66" t="str">
        <f aca="false">IF(G144="","",HOUR(G144))</f>
        <v/>
      </c>
      <c r="AT144" s="80" t="str">
        <f aca="false">IF(OR(Z144="",AB144="",BL144=""),"",IFERROR(ROUND(IF(J144="Short",Z144-AB144,AB144-Z144)/BL144,1),""))</f>
        <v/>
      </c>
      <c r="AU144" s="68" t="str">
        <f aca="false">IF(OR(AA144="",AC144=""),"",IF(AA144=AC144,"No","Yes"))</f>
        <v/>
      </c>
      <c r="AV144" s="81" t="str">
        <f aca="false">IF(OR(B144="",BL144="",BM144="",AB144="",AC144=""),"",IFERROR(ROUND(AI144/(ABS(AB144-AC144)/BL144*BM144),2),""))</f>
        <v/>
      </c>
      <c r="AW144" s="76" t="str">
        <f aca="false">IF(B144="","",ROUND(BK144+SUMIFS(AM$5:AM143,BJ$5:BJ143,BJ144),2))</f>
        <v/>
      </c>
      <c r="AX144" s="66" t="str">
        <f aca="false">IF(B144="","",COUNTIFS(B$6:B144,B144,BJ$6:BJ144,BJ144))</f>
        <v/>
      </c>
      <c r="AY144" s="79" t="str">
        <f aca="false">IF(B144="","",ROUND(SUMIFS(AM$5:AM143,B$5:B143,B144,BJ$5:BJ143,BJ144),2))</f>
        <v/>
      </c>
      <c r="AZ144" s="79" t="str">
        <f aca="false">IF(AM144="","",ROUND(AY144+AM144,2))</f>
        <v/>
      </c>
      <c r="BA144" s="79" t="str">
        <f aca="false">IF(B144="","",ROUND(SUMIFS(AM$5:AM143,B$5:B143,"&gt;="&amp;(B144-WEEKDAY(B144,2)+1),B$5:B143,"&lt;="&amp;B144,BJ$5:BJ143,BJ144),2))</f>
        <v/>
      </c>
      <c r="BB144" s="68" t="str">
        <f aca="false">IF(B144="","",IF(AND(AF144&lt;&gt;"",AV144&lt;&gt;"",N(AF144)&gt;N(AV144)*(1+Settings!$C$13)),"Oversized",IF(AX144&gt;Settings!$C$10,"Overtraded",IF(AY144&lt;=-Settings!$C$11*(AW144-AY144),"Daily loss hit",IF(BA144&lt;=-Settings!$C$12*(AW144-BA144),"Weekly loss hit","OK")))))</f>
        <v/>
      </c>
      <c r="BC144" s="69"/>
      <c r="BD144" s="69"/>
      <c r="BE144" s="69"/>
      <c r="BF144" s="73"/>
      <c r="BG144" s="73"/>
      <c r="BH144" s="71"/>
      <c r="BI144" s="71"/>
      <c r="BJ144" s="68" t="str">
        <f aca="false">IF(B144="","",IF(E144="",Settings!$F$5,E144))</f>
        <v/>
      </c>
      <c r="BK144" s="76" t="str">
        <f aca="false">IF(B144="","",IFERROR(INDEX(Settings!$G$5:$G$10,MATCH(BJ144,Settings!$F$5:$F$10,0)),Settings!$G$5))</f>
        <v/>
      </c>
      <c r="BL144" s="82" t="str">
        <f aca="false">IF(I144="","",IFERROR(1/(1/INDEX(Lists!$C$6:$C$17,MATCH(I144,Lists!$B$6:$B$17,0))),""))</f>
        <v/>
      </c>
      <c r="BM144" s="81" t="str">
        <f aca="false">IF(I144="","",IFERROR(1/(1/INDEX(Lists!$D$6:$D$17,MATCH(I144,Lists!$B$6:$B$17,0))),""))</f>
        <v/>
      </c>
      <c r="BN144" s="76" t="str">
        <f aca="false">IF(AN144="","",MAX(BK144,_xlfn.MAXIFS(AN$6:AN144,BJ$6:BJ144,BJ144)))</f>
        <v/>
      </c>
      <c r="BO144" s="83" t="str">
        <f aca="false">IF(AN144="","",(AN144-BN144)/BN144)</f>
        <v/>
      </c>
      <c r="BP144" s="66" t="n">
        <f aca="false">IF(OR(B144="",AL144=""),0,IF(OR(Settings!$C$28="All Accounts",BJ144=Settings!$C$28),1,0))</f>
        <v>0</v>
      </c>
      <c r="BQ144" s="66" t="str">
        <f aca="false">IF(BP144=1,SUM(BP$6:BP144),"")</f>
        <v/>
      </c>
      <c r="BR144" s="76" t="str">
        <f aca="false">IF(BP144=1,ROUND(Settings!$C$29+SUMIFS(AM$6:AM144,BP$6:BP144,1),2),"")</f>
        <v/>
      </c>
      <c r="BS144" s="76" t="str">
        <f aca="false">IF(BP144=1,MAX(Settings!$C$29,MAX(BR$6:BR144)),"")</f>
        <v/>
      </c>
      <c r="BT144" s="83" t="str">
        <f aca="false">IF(BP144=1,(BR144-BS144)/BS144,"")</f>
        <v/>
      </c>
      <c r="BU144" s="66" t="str">
        <f aca="false">IF(BP144=1,IF(AL144="Win",1+IF(BQ144=1,0,INDEX(BU$5:BU143,MATCH(BQ144-1,BQ$5:BQ143,0))),0),"")</f>
        <v/>
      </c>
      <c r="BV144" s="66" t="str">
        <f aca="false">IF(BP144=1,IF(AL144="Loss",1+IF(BQ144=1,0,INDEX(BV$5:BV143,MATCH(BQ144-1,BQ$5:BQ143,0))),0),"")</f>
        <v/>
      </c>
    </row>
    <row r="145" customFormat="false" ht="15" hidden="false" customHeight="false" outlineLevel="0" collapsed="false">
      <c r="A145" s="66" t="str">
        <f aca="false">IF(B145="","",ROW()-5)</f>
        <v/>
      </c>
      <c r="B145" s="67"/>
      <c r="C145" s="68" t="str">
        <f aca="false">IF(B145="","",CHOOSE(WEEKDAY(B145,2),"Mon","Tue","Wed","Thu","Fri","Sat","Sun"))</f>
        <v/>
      </c>
      <c r="D145" s="66" t="str">
        <f aca="false">IF(B145="","",WEEKNUM(B145,2))</f>
        <v/>
      </c>
      <c r="E145" s="69"/>
      <c r="F145" s="69"/>
      <c r="G145" s="70"/>
      <c r="H145" s="70"/>
      <c r="I145" s="69"/>
      <c r="J145" s="69"/>
      <c r="K145" s="69"/>
      <c r="L145" s="71"/>
      <c r="M145" s="69"/>
      <c r="N145" s="69"/>
      <c r="O145" s="69"/>
      <c r="P145" s="71"/>
      <c r="Q145" s="69"/>
      <c r="R145" s="69"/>
      <c r="S145" s="69"/>
      <c r="T145" s="69"/>
      <c r="U145" s="69"/>
      <c r="V145" s="69"/>
      <c r="W145" s="69"/>
      <c r="X145" s="66" t="str">
        <f aca="false">IF(B145="","",COUNTIF(Q145:W145,"Yes"))</f>
        <v/>
      </c>
      <c r="Y145" s="68" t="str">
        <f aca="false">IF(B145="","",IF(X145&gt;=Settings!$C$16,"A+",IF(X145&gt;=Settings!$C$17,"A",IF(X145&gt;=Settings!$C$18,"B","C"))))</f>
        <v/>
      </c>
      <c r="Z145" s="72"/>
      <c r="AA145" s="72"/>
      <c r="AB145" s="72"/>
      <c r="AC145" s="72"/>
      <c r="AD145" s="72"/>
      <c r="AE145" s="72"/>
      <c r="AF145" s="73"/>
      <c r="AG145" s="74"/>
      <c r="AH145" s="75"/>
      <c r="AI145" s="76" t="str">
        <f aca="false">IF(B145="","",ROUND(IF(AG145="",Settings!$C$5,AG145)*AW145,2))</f>
        <v/>
      </c>
      <c r="AJ145" s="77" t="str">
        <f aca="false">IF(OR(B145="",AB145="",AC145="",AD145=""),"",IFERROR(ROUND(ABS(AD145-AB145)/ABS(AB145-AC145),2),""))</f>
        <v/>
      </c>
      <c r="AK145" s="78" t="str">
        <f aca="false">IF(OR(B145="",AB145="",AC145="",AE145=""),"",IFERROR(ROUND(IF(J145="Short",AB145-AE145,AE145-AB145)/ABS(AB145-AC145),2),""))</f>
        <v/>
      </c>
      <c r="AL145" s="68" t="str">
        <f aca="false">IF(AK145="","",IF(ABS(AK145)&lt;=Settings!$C$6,"BE",IF(AK145&gt;0,"Win","Loss")))</f>
        <v/>
      </c>
      <c r="AM145" s="79" t="str">
        <f aca="false">IF(OR(AK145="",AI145=""),"",ROUND(AK145*AI145-N(AH145),2))</f>
        <v/>
      </c>
      <c r="AN145" s="76" t="str">
        <f aca="false">IF(AM145="","",ROUND(BK145+SUMIFS(AM$6:AM145,BJ$6:BJ145,BJ145),2))</f>
        <v/>
      </c>
      <c r="AO145" s="78" t="str">
        <f aca="false">IF(AK145="","",ROUND(SUMIFS(AK$6:AK145,BJ$6:BJ145,BJ145),2))</f>
        <v/>
      </c>
      <c r="AP145" s="80" t="str">
        <f aca="false">IF(OR(AK145="",BL145=""),"",IFERROR(ROUND(IF(J145="Short",AB145-AE145,AE145-AB145)/BL145,1),""))</f>
        <v/>
      </c>
      <c r="AQ145" s="66" t="str">
        <f aca="false">IF(OR(G145="",H145=""),"",ROUND(MOD(H145-G145,1)*1440,0))</f>
        <v/>
      </c>
      <c r="AR145" s="68" t="str">
        <f aca="false">IF(AQ145="","",IF(AQ145&lt;15,"Under 15m",IF(AQ145&lt;60,"15-60m",IF(AQ145&lt;240,"1-4 hours","4+ hours"))))</f>
        <v/>
      </c>
      <c r="AS145" s="66" t="str">
        <f aca="false">IF(G145="","",HOUR(G145))</f>
        <v/>
      </c>
      <c r="AT145" s="80" t="str">
        <f aca="false">IF(OR(Z145="",AB145="",BL145=""),"",IFERROR(ROUND(IF(J145="Short",Z145-AB145,AB145-Z145)/BL145,1),""))</f>
        <v/>
      </c>
      <c r="AU145" s="68" t="str">
        <f aca="false">IF(OR(AA145="",AC145=""),"",IF(AA145=AC145,"No","Yes"))</f>
        <v/>
      </c>
      <c r="AV145" s="81" t="str">
        <f aca="false">IF(OR(B145="",BL145="",BM145="",AB145="",AC145=""),"",IFERROR(ROUND(AI145/(ABS(AB145-AC145)/BL145*BM145),2),""))</f>
        <v/>
      </c>
      <c r="AW145" s="76" t="str">
        <f aca="false">IF(B145="","",ROUND(BK145+SUMIFS(AM$5:AM144,BJ$5:BJ144,BJ145),2))</f>
        <v/>
      </c>
      <c r="AX145" s="66" t="str">
        <f aca="false">IF(B145="","",COUNTIFS(B$6:B145,B145,BJ$6:BJ145,BJ145))</f>
        <v/>
      </c>
      <c r="AY145" s="79" t="str">
        <f aca="false">IF(B145="","",ROUND(SUMIFS(AM$5:AM144,B$5:B144,B145,BJ$5:BJ144,BJ145),2))</f>
        <v/>
      </c>
      <c r="AZ145" s="79" t="str">
        <f aca="false">IF(AM145="","",ROUND(AY145+AM145,2))</f>
        <v/>
      </c>
      <c r="BA145" s="79" t="str">
        <f aca="false">IF(B145="","",ROUND(SUMIFS(AM$5:AM144,B$5:B144,"&gt;="&amp;(B145-WEEKDAY(B145,2)+1),B$5:B144,"&lt;="&amp;B145,BJ$5:BJ144,BJ145),2))</f>
        <v/>
      </c>
      <c r="BB145" s="68" t="str">
        <f aca="false">IF(B145="","",IF(AND(AF145&lt;&gt;"",AV145&lt;&gt;"",N(AF145)&gt;N(AV145)*(1+Settings!$C$13)),"Oversized",IF(AX145&gt;Settings!$C$10,"Overtraded",IF(AY145&lt;=-Settings!$C$11*(AW145-AY145),"Daily loss hit",IF(BA145&lt;=-Settings!$C$12*(AW145-BA145),"Weekly loss hit","OK")))))</f>
        <v/>
      </c>
      <c r="BC145" s="69"/>
      <c r="BD145" s="69"/>
      <c r="BE145" s="69"/>
      <c r="BF145" s="73"/>
      <c r="BG145" s="73"/>
      <c r="BH145" s="71"/>
      <c r="BI145" s="71"/>
      <c r="BJ145" s="68" t="str">
        <f aca="false">IF(B145="","",IF(E145="",Settings!$F$5,E145))</f>
        <v/>
      </c>
      <c r="BK145" s="76" t="str">
        <f aca="false">IF(B145="","",IFERROR(INDEX(Settings!$G$5:$G$10,MATCH(BJ145,Settings!$F$5:$F$10,0)),Settings!$G$5))</f>
        <v/>
      </c>
      <c r="BL145" s="82" t="str">
        <f aca="false">IF(I145="","",IFERROR(1/(1/INDEX(Lists!$C$6:$C$17,MATCH(I145,Lists!$B$6:$B$17,0))),""))</f>
        <v/>
      </c>
      <c r="BM145" s="81" t="str">
        <f aca="false">IF(I145="","",IFERROR(1/(1/INDEX(Lists!$D$6:$D$17,MATCH(I145,Lists!$B$6:$B$17,0))),""))</f>
        <v/>
      </c>
      <c r="BN145" s="76" t="str">
        <f aca="false">IF(AN145="","",MAX(BK145,_xlfn.MAXIFS(AN$6:AN145,BJ$6:BJ145,BJ145)))</f>
        <v/>
      </c>
      <c r="BO145" s="83" t="str">
        <f aca="false">IF(AN145="","",(AN145-BN145)/BN145)</f>
        <v/>
      </c>
      <c r="BP145" s="66" t="n">
        <f aca="false">IF(OR(B145="",AL145=""),0,IF(OR(Settings!$C$28="All Accounts",BJ145=Settings!$C$28),1,0))</f>
        <v>0</v>
      </c>
      <c r="BQ145" s="66" t="str">
        <f aca="false">IF(BP145=1,SUM(BP$6:BP145),"")</f>
        <v/>
      </c>
      <c r="BR145" s="76" t="str">
        <f aca="false">IF(BP145=1,ROUND(Settings!$C$29+SUMIFS(AM$6:AM145,BP$6:BP145,1),2),"")</f>
        <v/>
      </c>
      <c r="BS145" s="76" t="str">
        <f aca="false">IF(BP145=1,MAX(Settings!$C$29,MAX(BR$6:BR145)),"")</f>
        <v/>
      </c>
      <c r="BT145" s="83" t="str">
        <f aca="false">IF(BP145=1,(BR145-BS145)/BS145,"")</f>
        <v/>
      </c>
      <c r="BU145" s="66" t="str">
        <f aca="false">IF(BP145=1,IF(AL145="Win",1+IF(BQ145=1,0,INDEX(BU$5:BU144,MATCH(BQ145-1,BQ$5:BQ144,0))),0),"")</f>
        <v/>
      </c>
      <c r="BV145" s="66" t="str">
        <f aca="false">IF(BP145=1,IF(AL145="Loss",1+IF(BQ145=1,0,INDEX(BV$5:BV144,MATCH(BQ145-1,BQ$5:BQ144,0))),0),"")</f>
        <v/>
      </c>
    </row>
    <row r="146" customFormat="false" ht="15" hidden="false" customHeight="false" outlineLevel="0" collapsed="false">
      <c r="A146" s="66" t="str">
        <f aca="false">IF(B146="","",ROW()-5)</f>
        <v/>
      </c>
      <c r="B146" s="67"/>
      <c r="C146" s="68" t="str">
        <f aca="false">IF(B146="","",CHOOSE(WEEKDAY(B146,2),"Mon","Tue","Wed","Thu","Fri","Sat","Sun"))</f>
        <v/>
      </c>
      <c r="D146" s="66" t="str">
        <f aca="false">IF(B146="","",WEEKNUM(B146,2))</f>
        <v/>
      </c>
      <c r="E146" s="69"/>
      <c r="F146" s="69"/>
      <c r="G146" s="70"/>
      <c r="H146" s="70"/>
      <c r="I146" s="69"/>
      <c r="J146" s="69"/>
      <c r="K146" s="69"/>
      <c r="L146" s="71"/>
      <c r="M146" s="69"/>
      <c r="N146" s="69"/>
      <c r="O146" s="69"/>
      <c r="P146" s="71"/>
      <c r="Q146" s="69"/>
      <c r="R146" s="69"/>
      <c r="S146" s="69"/>
      <c r="T146" s="69"/>
      <c r="U146" s="69"/>
      <c r="V146" s="69"/>
      <c r="W146" s="69"/>
      <c r="X146" s="66" t="str">
        <f aca="false">IF(B146="","",COUNTIF(Q146:W146,"Yes"))</f>
        <v/>
      </c>
      <c r="Y146" s="68" t="str">
        <f aca="false">IF(B146="","",IF(X146&gt;=Settings!$C$16,"A+",IF(X146&gt;=Settings!$C$17,"A",IF(X146&gt;=Settings!$C$18,"B","C"))))</f>
        <v/>
      </c>
      <c r="Z146" s="72"/>
      <c r="AA146" s="72"/>
      <c r="AB146" s="72"/>
      <c r="AC146" s="72"/>
      <c r="AD146" s="72"/>
      <c r="AE146" s="72"/>
      <c r="AF146" s="73"/>
      <c r="AG146" s="74"/>
      <c r="AH146" s="75"/>
      <c r="AI146" s="76" t="str">
        <f aca="false">IF(B146="","",ROUND(IF(AG146="",Settings!$C$5,AG146)*AW146,2))</f>
        <v/>
      </c>
      <c r="AJ146" s="77" t="str">
        <f aca="false">IF(OR(B146="",AB146="",AC146="",AD146=""),"",IFERROR(ROUND(ABS(AD146-AB146)/ABS(AB146-AC146),2),""))</f>
        <v/>
      </c>
      <c r="AK146" s="78" t="str">
        <f aca="false">IF(OR(B146="",AB146="",AC146="",AE146=""),"",IFERROR(ROUND(IF(J146="Short",AB146-AE146,AE146-AB146)/ABS(AB146-AC146),2),""))</f>
        <v/>
      </c>
      <c r="AL146" s="68" t="str">
        <f aca="false">IF(AK146="","",IF(ABS(AK146)&lt;=Settings!$C$6,"BE",IF(AK146&gt;0,"Win","Loss")))</f>
        <v/>
      </c>
      <c r="AM146" s="79" t="str">
        <f aca="false">IF(OR(AK146="",AI146=""),"",ROUND(AK146*AI146-N(AH146),2))</f>
        <v/>
      </c>
      <c r="AN146" s="76" t="str">
        <f aca="false">IF(AM146="","",ROUND(BK146+SUMIFS(AM$6:AM146,BJ$6:BJ146,BJ146),2))</f>
        <v/>
      </c>
      <c r="AO146" s="78" t="str">
        <f aca="false">IF(AK146="","",ROUND(SUMIFS(AK$6:AK146,BJ$6:BJ146,BJ146),2))</f>
        <v/>
      </c>
      <c r="AP146" s="80" t="str">
        <f aca="false">IF(OR(AK146="",BL146=""),"",IFERROR(ROUND(IF(J146="Short",AB146-AE146,AE146-AB146)/BL146,1),""))</f>
        <v/>
      </c>
      <c r="AQ146" s="66" t="str">
        <f aca="false">IF(OR(G146="",H146=""),"",ROUND(MOD(H146-G146,1)*1440,0))</f>
        <v/>
      </c>
      <c r="AR146" s="68" t="str">
        <f aca="false">IF(AQ146="","",IF(AQ146&lt;15,"Under 15m",IF(AQ146&lt;60,"15-60m",IF(AQ146&lt;240,"1-4 hours","4+ hours"))))</f>
        <v/>
      </c>
      <c r="AS146" s="66" t="str">
        <f aca="false">IF(G146="","",HOUR(G146))</f>
        <v/>
      </c>
      <c r="AT146" s="80" t="str">
        <f aca="false">IF(OR(Z146="",AB146="",BL146=""),"",IFERROR(ROUND(IF(J146="Short",Z146-AB146,AB146-Z146)/BL146,1),""))</f>
        <v/>
      </c>
      <c r="AU146" s="68" t="str">
        <f aca="false">IF(OR(AA146="",AC146=""),"",IF(AA146=AC146,"No","Yes"))</f>
        <v/>
      </c>
      <c r="AV146" s="81" t="str">
        <f aca="false">IF(OR(B146="",BL146="",BM146="",AB146="",AC146=""),"",IFERROR(ROUND(AI146/(ABS(AB146-AC146)/BL146*BM146),2),""))</f>
        <v/>
      </c>
      <c r="AW146" s="76" t="str">
        <f aca="false">IF(B146="","",ROUND(BK146+SUMIFS(AM$5:AM145,BJ$5:BJ145,BJ146),2))</f>
        <v/>
      </c>
      <c r="AX146" s="66" t="str">
        <f aca="false">IF(B146="","",COUNTIFS(B$6:B146,B146,BJ$6:BJ146,BJ146))</f>
        <v/>
      </c>
      <c r="AY146" s="79" t="str">
        <f aca="false">IF(B146="","",ROUND(SUMIFS(AM$5:AM145,B$5:B145,B146,BJ$5:BJ145,BJ146),2))</f>
        <v/>
      </c>
      <c r="AZ146" s="79" t="str">
        <f aca="false">IF(AM146="","",ROUND(AY146+AM146,2))</f>
        <v/>
      </c>
      <c r="BA146" s="79" t="str">
        <f aca="false">IF(B146="","",ROUND(SUMIFS(AM$5:AM145,B$5:B145,"&gt;="&amp;(B146-WEEKDAY(B146,2)+1),B$5:B145,"&lt;="&amp;B146,BJ$5:BJ145,BJ146),2))</f>
        <v/>
      </c>
      <c r="BB146" s="68" t="str">
        <f aca="false">IF(B146="","",IF(AND(AF146&lt;&gt;"",AV146&lt;&gt;"",N(AF146)&gt;N(AV146)*(1+Settings!$C$13)),"Oversized",IF(AX146&gt;Settings!$C$10,"Overtraded",IF(AY146&lt;=-Settings!$C$11*(AW146-AY146),"Daily loss hit",IF(BA146&lt;=-Settings!$C$12*(AW146-BA146),"Weekly loss hit","OK")))))</f>
        <v/>
      </c>
      <c r="BC146" s="69"/>
      <c r="BD146" s="69"/>
      <c r="BE146" s="69"/>
      <c r="BF146" s="73"/>
      <c r="BG146" s="73"/>
      <c r="BH146" s="71"/>
      <c r="BI146" s="71"/>
      <c r="BJ146" s="68" t="str">
        <f aca="false">IF(B146="","",IF(E146="",Settings!$F$5,E146))</f>
        <v/>
      </c>
      <c r="BK146" s="76" t="str">
        <f aca="false">IF(B146="","",IFERROR(INDEX(Settings!$G$5:$G$10,MATCH(BJ146,Settings!$F$5:$F$10,0)),Settings!$G$5))</f>
        <v/>
      </c>
      <c r="BL146" s="82" t="str">
        <f aca="false">IF(I146="","",IFERROR(1/(1/INDEX(Lists!$C$6:$C$17,MATCH(I146,Lists!$B$6:$B$17,0))),""))</f>
        <v/>
      </c>
      <c r="BM146" s="81" t="str">
        <f aca="false">IF(I146="","",IFERROR(1/(1/INDEX(Lists!$D$6:$D$17,MATCH(I146,Lists!$B$6:$B$17,0))),""))</f>
        <v/>
      </c>
      <c r="BN146" s="76" t="str">
        <f aca="false">IF(AN146="","",MAX(BK146,_xlfn.MAXIFS(AN$6:AN146,BJ$6:BJ146,BJ146)))</f>
        <v/>
      </c>
      <c r="BO146" s="83" t="str">
        <f aca="false">IF(AN146="","",(AN146-BN146)/BN146)</f>
        <v/>
      </c>
      <c r="BP146" s="66" t="n">
        <f aca="false">IF(OR(B146="",AL146=""),0,IF(OR(Settings!$C$28="All Accounts",BJ146=Settings!$C$28),1,0))</f>
        <v>0</v>
      </c>
      <c r="BQ146" s="66" t="str">
        <f aca="false">IF(BP146=1,SUM(BP$6:BP146),"")</f>
        <v/>
      </c>
      <c r="BR146" s="76" t="str">
        <f aca="false">IF(BP146=1,ROUND(Settings!$C$29+SUMIFS(AM$6:AM146,BP$6:BP146,1),2),"")</f>
        <v/>
      </c>
      <c r="BS146" s="76" t="str">
        <f aca="false">IF(BP146=1,MAX(Settings!$C$29,MAX(BR$6:BR146)),"")</f>
        <v/>
      </c>
      <c r="BT146" s="83" t="str">
        <f aca="false">IF(BP146=1,(BR146-BS146)/BS146,"")</f>
        <v/>
      </c>
      <c r="BU146" s="66" t="str">
        <f aca="false">IF(BP146=1,IF(AL146="Win",1+IF(BQ146=1,0,INDEX(BU$5:BU145,MATCH(BQ146-1,BQ$5:BQ145,0))),0),"")</f>
        <v/>
      </c>
      <c r="BV146" s="66" t="str">
        <f aca="false">IF(BP146=1,IF(AL146="Loss",1+IF(BQ146=1,0,INDEX(BV$5:BV145,MATCH(BQ146-1,BQ$5:BQ145,0))),0),"")</f>
        <v/>
      </c>
    </row>
    <row r="147" customFormat="false" ht="15" hidden="false" customHeight="false" outlineLevel="0" collapsed="false">
      <c r="A147" s="66" t="str">
        <f aca="false">IF(B147="","",ROW()-5)</f>
        <v/>
      </c>
      <c r="B147" s="67"/>
      <c r="C147" s="68" t="str">
        <f aca="false">IF(B147="","",CHOOSE(WEEKDAY(B147,2),"Mon","Tue","Wed","Thu","Fri","Sat","Sun"))</f>
        <v/>
      </c>
      <c r="D147" s="66" t="str">
        <f aca="false">IF(B147="","",WEEKNUM(B147,2))</f>
        <v/>
      </c>
      <c r="E147" s="69"/>
      <c r="F147" s="69"/>
      <c r="G147" s="70"/>
      <c r="H147" s="70"/>
      <c r="I147" s="69"/>
      <c r="J147" s="69"/>
      <c r="K147" s="69"/>
      <c r="L147" s="71"/>
      <c r="M147" s="69"/>
      <c r="N147" s="69"/>
      <c r="O147" s="69"/>
      <c r="P147" s="71"/>
      <c r="Q147" s="69"/>
      <c r="R147" s="69"/>
      <c r="S147" s="69"/>
      <c r="T147" s="69"/>
      <c r="U147" s="69"/>
      <c r="V147" s="69"/>
      <c r="W147" s="69"/>
      <c r="X147" s="66" t="str">
        <f aca="false">IF(B147="","",COUNTIF(Q147:W147,"Yes"))</f>
        <v/>
      </c>
      <c r="Y147" s="68" t="str">
        <f aca="false">IF(B147="","",IF(X147&gt;=Settings!$C$16,"A+",IF(X147&gt;=Settings!$C$17,"A",IF(X147&gt;=Settings!$C$18,"B","C"))))</f>
        <v/>
      </c>
      <c r="Z147" s="72"/>
      <c r="AA147" s="72"/>
      <c r="AB147" s="72"/>
      <c r="AC147" s="72"/>
      <c r="AD147" s="72"/>
      <c r="AE147" s="72"/>
      <c r="AF147" s="73"/>
      <c r="AG147" s="74"/>
      <c r="AH147" s="75"/>
      <c r="AI147" s="76" t="str">
        <f aca="false">IF(B147="","",ROUND(IF(AG147="",Settings!$C$5,AG147)*AW147,2))</f>
        <v/>
      </c>
      <c r="AJ147" s="77" t="str">
        <f aca="false">IF(OR(B147="",AB147="",AC147="",AD147=""),"",IFERROR(ROUND(ABS(AD147-AB147)/ABS(AB147-AC147),2),""))</f>
        <v/>
      </c>
      <c r="AK147" s="78" t="str">
        <f aca="false">IF(OR(B147="",AB147="",AC147="",AE147=""),"",IFERROR(ROUND(IF(J147="Short",AB147-AE147,AE147-AB147)/ABS(AB147-AC147),2),""))</f>
        <v/>
      </c>
      <c r="AL147" s="68" t="str">
        <f aca="false">IF(AK147="","",IF(ABS(AK147)&lt;=Settings!$C$6,"BE",IF(AK147&gt;0,"Win","Loss")))</f>
        <v/>
      </c>
      <c r="AM147" s="79" t="str">
        <f aca="false">IF(OR(AK147="",AI147=""),"",ROUND(AK147*AI147-N(AH147),2))</f>
        <v/>
      </c>
      <c r="AN147" s="76" t="str">
        <f aca="false">IF(AM147="","",ROUND(BK147+SUMIFS(AM$6:AM147,BJ$6:BJ147,BJ147),2))</f>
        <v/>
      </c>
      <c r="AO147" s="78" t="str">
        <f aca="false">IF(AK147="","",ROUND(SUMIFS(AK$6:AK147,BJ$6:BJ147,BJ147),2))</f>
        <v/>
      </c>
      <c r="AP147" s="80" t="str">
        <f aca="false">IF(OR(AK147="",BL147=""),"",IFERROR(ROUND(IF(J147="Short",AB147-AE147,AE147-AB147)/BL147,1),""))</f>
        <v/>
      </c>
      <c r="AQ147" s="66" t="str">
        <f aca="false">IF(OR(G147="",H147=""),"",ROUND(MOD(H147-G147,1)*1440,0))</f>
        <v/>
      </c>
      <c r="AR147" s="68" t="str">
        <f aca="false">IF(AQ147="","",IF(AQ147&lt;15,"Under 15m",IF(AQ147&lt;60,"15-60m",IF(AQ147&lt;240,"1-4 hours","4+ hours"))))</f>
        <v/>
      </c>
      <c r="AS147" s="66" t="str">
        <f aca="false">IF(G147="","",HOUR(G147))</f>
        <v/>
      </c>
      <c r="AT147" s="80" t="str">
        <f aca="false">IF(OR(Z147="",AB147="",BL147=""),"",IFERROR(ROUND(IF(J147="Short",Z147-AB147,AB147-Z147)/BL147,1),""))</f>
        <v/>
      </c>
      <c r="AU147" s="68" t="str">
        <f aca="false">IF(OR(AA147="",AC147=""),"",IF(AA147=AC147,"No","Yes"))</f>
        <v/>
      </c>
      <c r="AV147" s="81" t="str">
        <f aca="false">IF(OR(B147="",BL147="",BM147="",AB147="",AC147=""),"",IFERROR(ROUND(AI147/(ABS(AB147-AC147)/BL147*BM147),2),""))</f>
        <v/>
      </c>
      <c r="AW147" s="76" t="str">
        <f aca="false">IF(B147="","",ROUND(BK147+SUMIFS(AM$5:AM146,BJ$5:BJ146,BJ147),2))</f>
        <v/>
      </c>
      <c r="AX147" s="66" t="str">
        <f aca="false">IF(B147="","",COUNTIFS(B$6:B147,B147,BJ$6:BJ147,BJ147))</f>
        <v/>
      </c>
      <c r="AY147" s="79" t="str">
        <f aca="false">IF(B147="","",ROUND(SUMIFS(AM$5:AM146,B$5:B146,B147,BJ$5:BJ146,BJ147),2))</f>
        <v/>
      </c>
      <c r="AZ147" s="79" t="str">
        <f aca="false">IF(AM147="","",ROUND(AY147+AM147,2))</f>
        <v/>
      </c>
      <c r="BA147" s="79" t="str">
        <f aca="false">IF(B147="","",ROUND(SUMIFS(AM$5:AM146,B$5:B146,"&gt;="&amp;(B147-WEEKDAY(B147,2)+1),B$5:B146,"&lt;="&amp;B147,BJ$5:BJ146,BJ147),2))</f>
        <v/>
      </c>
      <c r="BB147" s="68" t="str">
        <f aca="false">IF(B147="","",IF(AND(AF147&lt;&gt;"",AV147&lt;&gt;"",N(AF147)&gt;N(AV147)*(1+Settings!$C$13)),"Oversized",IF(AX147&gt;Settings!$C$10,"Overtraded",IF(AY147&lt;=-Settings!$C$11*(AW147-AY147),"Daily loss hit",IF(BA147&lt;=-Settings!$C$12*(AW147-BA147),"Weekly loss hit","OK")))))</f>
        <v/>
      </c>
      <c r="BC147" s="69"/>
      <c r="BD147" s="69"/>
      <c r="BE147" s="69"/>
      <c r="BF147" s="73"/>
      <c r="BG147" s="73"/>
      <c r="BH147" s="71"/>
      <c r="BI147" s="71"/>
      <c r="BJ147" s="68" t="str">
        <f aca="false">IF(B147="","",IF(E147="",Settings!$F$5,E147))</f>
        <v/>
      </c>
      <c r="BK147" s="76" t="str">
        <f aca="false">IF(B147="","",IFERROR(INDEX(Settings!$G$5:$G$10,MATCH(BJ147,Settings!$F$5:$F$10,0)),Settings!$G$5))</f>
        <v/>
      </c>
      <c r="BL147" s="82" t="str">
        <f aca="false">IF(I147="","",IFERROR(1/(1/INDEX(Lists!$C$6:$C$17,MATCH(I147,Lists!$B$6:$B$17,0))),""))</f>
        <v/>
      </c>
      <c r="BM147" s="81" t="str">
        <f aca="false">IF(I147="","",IFERROR(1/(1/INDEX(Lists!$D$6:$D$17,MATCH(I147,Lists!$B$6:$B$17,0))),""))</f>
        <v/>
      </c>
      <c r="BN147" s="76" t="str">
        <f aca="false">IF(AN147="","",MAX(BK147,_xlfn.MAXIFS(AN$6:AN147,BJ$6:BJ147,BJ147)))</f>
        <v/>
      </c>
      <c r="BO147" s="83" t="str">
        <f aca="false">IF(AN147="","",(AN147-BN147)/BN147)</f>
        <v/>
      </c>
      <c r="BP147" s="66" t="n">
        <f aca="false">IF(OR(B147="",AL147=""),0,IF(OR(Settings!$C$28="All Accounts",BJ147=Settings!$C$28),1,0))</f>
        <v>0</v>
      </c>
      <c r="BQ147" s="66" t="str">
        <f aca="false">IF(BP147=1,SUM(BP$6:BP147),"")</f>
        <v/>
      </c>
      <c r="BR147" s="76" t="str">
        <f aca="false">IF(BP147=1,ROUND(Settings!$C$29+SUMIFS(AM$6:AM147,BP$6:BP147,1),2),"")</f>
        <v/>
      </c>
      <c r="BS147" s="76" t="str">
        <f aca="false">IF(BP147=1,MAX(Settings!$C$29,MAX(BR$6:BR147)),"")</f>
        <v/>
      </c>
      <c r="BT147" s="83" t="str">
        <f aca="false">IF(BP147=1,(BR147-BS147)/BS147,"")</f>
        <v/>
      </c>
      <c r="BU147" s="66" t="str">
        <f aca="false">IF(BP147=1,IF(AL147="Win",1+IF(BQ147=1,0,INDEX(BU$5:BU146,MATCH(BQ147-1,BQ$5:BQ146,0))),0),"")</f>
        <v/>
      </c>
      <c r="BV147" s="66" t="str">
        <f aca="false">IF(BP147=1,IF(AL147="Loss",1+IF(BQ147=1,0,INDEX(BV$5:BV146,MATCH(BQ147-1,BQ$5:BQ146,0))),0),"")</f>
        <v/>
      </c>
    </row>
    <row r="148" customFormat="false" ht="15" hidden="false" customHeight="false" outlineLevel="0" collapsed="false">
      <c r="A148" s="66" t="str">
        <f aca="false">IF(B148="","",ROW()-5)</f>
        <v/>
      </c>
      <c r="B148" s="67"/>
      <c r="C148" s="68" t="str">
        <f aca="false">IF(B148="","",CHOOSE(WEEKDAY(B148,2),"Mon","Tue","Wed","Thu","Fri","Sat","Sun"))</f>
        <v/>
      </c>
      <c r="D148" s="66" t="str">
        <f aca="false">IF(B148="","",WEEKNUM(B148,2))</f>
        <v/>
      </c>
      <c r="E148" s="69"/>
      <c r="F148" s="69"/>
      <c r="G148" s="70"/>
      <c r="H148" s="70"/>
      <c r="I148" s="69"/>
      <c r="J148" s="69"/>
      <c r="K148" s="69"/>
      <c r="L148" s="71"/>
      <c r="M148" s="69"/>
      <c r="N148" s="69"/>
      <c r="O148" s="69"/>
      <c r="P148" s="71"/>
      <c r="Q148" s="69"/>
      <c r="R148" s="69"/>
      <c r="S148" s="69"/>
      <c r="T148" s="69"/>
      <c r="U148" s="69"/>
      <c r="V148" s="69"/>
      <c r="W148" s="69"/>
      <c r="X148" s="66" t="str">
        <f aca="false">IF(B148="","",COUNTIF(Q148:W148,"Yes"))</f>
        <v/>
      </c>
      <c r="Y148" s="68" t="str">
        <f aca="false">IF(B148="","",IF(X148&gt;=Settings!$C$16,"A+",IF(X148&gt;=Settings!$C$17,"A",IF(X148&gt;=Settings!$C$18,"B","C"))))</f>
        <v/>
      </c>
      <c r="Z148" s="72"/>
      <c r="AA148" s="72"/>
      <c r="AB148" s="72"/>
      <c r="AC148" s="72"/>
      <c r="AD148" s="72"/>
      <c r="AE148" s="72"/>
      <c r="AF148" s="73"/>
      <c r="AG148" s="74"/>
      <c r="AH148" s="75"/>
      <c r="AI148" s="76" t="str">
        <f aca="false">IF(B148="","",ROUND(IF(AG148="",Settings!$C$5,AG148)*AW148,2))</f>
        <v/>
      </c>
      <c r="AJ148" s="77" t="str">
        <f aca="false">IF(OR(B148="",AB148="",AC148="",AD148=""),"",IFERROR(ROUND(ABS(AD148-AB148)/ABS(AB148-AC148),2),""))</f>
        <v/>
      </c>
      <c r="AK148" s="78" t="str">
        <f aca="false">IF(OR(B148="",AB148="",AC148="",AE148=""),"",IFERROR(ROUND(IF(J148="Short",AB148-AE148,AE148-AB148)/ABS(AB148-AC148),2),""))</f>
        <v/>
      </c>
      <c r="AL148" s="68" t="str">
        <f aca="false">IF(AK148="","",IF(ABS(AK148)&lt;=Settings!$C$6,"BE",IF(AK148&gt;0,"Win","Loss")))</f>
        <v/>
      </c>
      <c r="AM148" s="79" t="str">
        <f aca="false">IF(OR(AK148="",AI148=""),"",ROUND(AK148*AI148-N(AH148),2))</f>
        <v/>
      </c>
      <c r="AN148" s="76" t="str">
        <f aca="false">IF(AM148="","",ROUND(BK148+SUMIFS(AM$6:AM148,BJ$6:BJ148,BJ148),2))</f>
        <v/>
      </c>
      <c r="AO148" s="78" t="str">
        <f aca="false">IF(AK148="","",ROUND(SUMIFS(AK$6:AK148,BJ$6:BJ148,BJ148),2))</f>
        <v/>
      </c>
      <c r="AP148" s="80" t="str">
        <f aca="false">IF(OR(AK148="",BL148=""),"",IFERROR(ROUND(IF(J148="Short",AB148-AE148,AE148-AB148)/BL148,1),""))</f>
        <v/>
      </c>
      <c r="AQ148" s="66" t="str">
        <f aca="false">IF(OR(G148="",H148=""),"",ROUND(MOD(H148-G148,1)*1440,0))</f>
        <v/>
      </c>
      <c r="AR148" s="68" t="str">
        <f aca="false">IF(AQ148="","",IF(AQ148&lt;15,"Under 15m",IF(AQ148&lt;60,"15-60m",IF(AQ148&lt;240,"1-4 hours","4+ hours"))))</f>
        <v/>
      </c>
      <c r="AS148" s="66" t="str">
        <f aca="false">IF(G148="","",HOUR(G148))</f>
        <v/>
      </c>
      <c r="AT148" s="80" t="str">
        <f aca="false">IF(OR(Z148="",AB148="",BL148=""),"",IFERROR(ROUND(IF(J148="Short",Z148-AB148,AB148-Z148)/BL148,1),""))</f>
        <v/>
      </c>
      <c r="AU148" s="68" t="str">
        <f aca="false">IF(OR(AA148="",AC148=""),"",IF(AA148=AC148,"No","Yes"))</f>
        <v/>
      </c>
      <c r="AV148" s="81" t="str">
        <f aca="false">IF(OR(B148="",BL148="",BM148="",AB148="",AC148=""),"",IFERROR(ROUND(AI148/(ABS(AB148-AC148)/BL148*BM148),2),""))</f>
        <v/>
      </c>
      <c r="AW148" s="76" t="str">
        <f aca="false">IF(B148="","",ROUND(BK148+SUMIFS(AM$5:AM147,BJ$5:BJ147,BJ148),2))</f>
        <v/>
      </c>
      <c r="AX148" s="66" t="str">
        <f aca="false">IF(B148="","",COUNTIFS(B$6:B148,B148,BJ$6:BJ148,BJ148))</f>
        <v/>
      </c>
      <c r="AY148" s="79" t="str">
        <f aca="false">IF(B148="","",ROUND(SUMIFS(AM$5:AM147,B$5:B147,B148,BJ$5:BJ147,BJ148),2))</f>
        <v/>
      </c>
      <c r="AZ148" s="79" t="str">
        <f aca="false">IF(AM148="","",ROUND(AY148+AM148,2))</f>
        <v/>
      </c>
      <c r="BA148" s="79" t="str">
        <f aca="false">IF(B148="","",ROUND(SUMIFS(AM$5:AM147,B$5:B147,"&gt;="&amp;(B148-WEEKDAY(B148,2)+1),B$5:B147,"&lt;="&amp;B148,BJ$5:BJ147,BJ148),2))</f>
        <v/>
      </c>
      <c r="BB148" s="68" t="str">
        <f aca="false">IF(B148="","",IF(AND(AF148&lt;&gt;"",AV148&lt;&gt;"",N(AF148)&gt;N(AV148)*(1+Settings!$C$13)),"Oversized",IF(AX148&gt;Settings!$C$10,"Overtraded",IF(AY148&lt;=-Settings!$C$11*(AW148-AY148),"Daily loss hit",IF(BA148&lt;=-Settings!$C$12*(AW148-BA148),"Weekly loss hit","OK")))))</f>
        <v/>
      </c>
      <c r="BC148" s="69"/>
      <c r="BD148" s="69"/>
      <c r="BE148" s="69"/>
      <c r="BF148" s="73"/>
      <c r="BG148" s="73"/>
      <c r="BH148" s="71"/>
      <c r="BI148" s="71"/>
      <c r="BJ148" s="68" t="str">
        <f aca="false">IF(B148="","",IF(E148="",Settings!$F$5,E148))</f>
        <v/>
      </c>
      <c r="BK148" s="76" t="str">
        <f aca="false">IF(B148="","",IFERROR(INDEX(Settings!$G$5:$G$10,MATCH(BJ148,Settings!$F$5:$F$10,0)),Settings!$G$5))</f>
        <v/>
      </c>
      <c r="BL148" s="82" t="str">
        <f aca="false">IF(I148="","",IFERROR(1/(1/INDEX(Lists!$C$6:$C$17,MATCH(I148,Lists!$B$6:$B$17,0))),""))</f>
        <v/>
      </c>
      <c r="BM148" s="81" t="str">
        <f aca="false">IF(I148="","",IFERROR(1/(1/INDEX(Lists!$D$6:$D$17,MATCH(I148,Lists!$B$6:$B$17,0))),""))</f>
        <v/>
      </c>
      <c r="BN148" s="76" t="str">
        <f aca="false">IF(AN148="","",MAX(BK148,_xlfn.MAXIFS(AN$6:AN148,BJ$6:BJ148,BJ148)))</f>
        <v/>
      </c>
      <c r="BO148" s="83" t="str">
        <f aca="false">IF(AN148="","",(AN148-BN148)/BN148)</f>
        <v/>
      </c>
      <c r="BP148" s="66" t="n">
        <f aca="false">IF(OR(B148="",AL148=""),0,IF(OR(Settings!$C$28="All Accounts",BJ148=Settings!$C$28),1,0))</f>
        <v>0</v>
      </c>
      <c r="BQ148" s="66" t="str">
        <f aca="false">IF(BP148=1,SUM(BP$6:BP148),"")</f>
        <v/>
      </c>
      <c r="BR148" s="76" t="str">
        <f aca="false">IF(BP148=1,ROUND(Settings!$C$29+SUMIFS(AM$6:AM148,BP$6:BP148,1),2),"")</f>
        <v/>
      </c>
      <c r="BS148" s="76" t="str">
        <f aca="false">IF(BP148=1,MAX(Settings!$C$29,MAX(BR$6:BR148)),"")</f>
        <v/>
      </c>
      <c r="BT148" s="83" t="str">
        <f aca="false">IF(BP148=1,(BR148-BS148)/BS148,"")</f>
        <v/>
      </c>
      <c r="BU148" s="66" t="str">
        <f aca="false">IF(BP148=1,IF(AL148="Win",1+IF(BQ148=1,0,INDEX(BU$5:BU147,MATCH(BQ148-1,BQ$5:BQ147,0))),0),"")</f>
        <v/>
      </c>
      <c r="BV148" s="66" t="str">
        <f aca="false">IF(BP148=1,IF(AL148="Loss",1+IF(BQ148=1,0,INDEX(BV$5:BV147,MATCH(BQ148-1,BQ$5:BQ147,0))),0),"")</f>
        <v/>
      </c>
    </row>
    <row r="149" customFormat="false" ht="15" hidden="false" customHeight="false" outlineLevel="0" collapsed="false">
      <c r="A149" s="66" t="str">
        <f aca="false">IF(B149="","",ROW()-5)</f>
        <v/>
      </c>
      <c r="B149" s="67"/>
      <c r="C149" s="68" t="str">
        <f aca="false">IF(B149="","",CHOOSE(WEEKDAY(B149,2),"Mon","Tue","Wed","Thu","Fri","Sat","Sun"))</f>
        <v/>
      </c>
      <c r="D149" s="66" t="str">
        <f aca="false">IF(B149="","",WEEKNUM(B149,2))</f>
        <v/>
      </c>
      <c r="E149" s="69"/>
      <c r="F149" s="69"/>
      <c r="G149" s="70"/>
      <c r="H149" s="70"/>
      <c r="I149" s="69"/>
      <c r="J149" s="69"/>
      <c r="K149" s="69"/>
      <c r="L149" s="71"/>
      <c r="M149" s="69"/>
      <c r="N149" s="69"/>
      <c r="O149" s="69"/>
      <c r="P149" s="71"/>
      <c r="Q149" s="69"/>
      <c r="R149" s="69"/>
      <c r="S149" s="69"/>
      <c r="T149" s="69"/>
      <c r="U149" s="69"/>
      <c r="V149" s="69"/>
      <c r="W149" s="69"/>
      <c r="X149" s="66" t="str">
        <f aca="false">IF(B149="","",COUNTIF(Q149:W149,"Yes"))</f>
        <v/>
      </c>
      <c r="Y149" s="68" t="str">
        <f aca="false">IF(B149="","",IF(X149&gt;=Settings!$C$16,"A+",IF(X149&gt;=Settings!$C$17,"A",IF(X149&gt;=Settings!$C$18,"B","C"))))</f>
        <v/>
      </c>
      <c r="Z149" s="72"/>
      <c r="AA149" s="72"/>
      <c r="AB149" s="72"/>
      <c r="AC149" s="72"/>
      <c r="AD149" s="72"/>
      <c r="AE149" s="72"/>
      <c r="AF149" s="73"/>
      <c r="AG149" s="74"/>
      <c r="AH149" s="75"/>
      <c r="AI149" s="76" t="str">
        <f aca="false">IF(B149="","",ROUND(IF(AG149="",Settings!$C$5,AG149)*AW149,2))</f>
        <v/>
      </c>
      <c r="AJ149" s="77" t="str">
        <f aca="false">IF(OR(B149="",AB149="",AC149="",AD149=""),"",IFERROR(ROUND(ABS(AD149-AB149)/ABS(AB149-AC149),2),""))</f>
        <v/>
      </c>
      <c r="AK149" s="78" t="str">
        <f aca="false">IF(OR(B149="",AB149="",AC149="",AE149=""),"",IFERROR(ROUND(IF(J149="Short",AB149-AE149,AE149-AB149)/ABS(AB149-AC149),2),""))</f>
        <v/>
      </c>
      <c r="AL149" s="68" t="str">
        <f aca="false">IF(AK149="","",IF(ABS(AK149)&lt;=Settings!$C$6,"BE",IF(AK149&gt;0,"Win","Loss")))</f>
        <v/>
      </c>
      <c r="AM149" s="79" t="str">
        <f aca="false">IF(OR(AK149="",AI149=""),"",ROUND(AK149*AI149-N(AH149),2))</f>
        <v/>
      </c>
      <c r="AN149" s="76" t="str">
        <f aca="false">IF(AM149="","",ROUND(BK149+SUMIFS(AM$6:AM149,BJ$6:BJ149,BJ149),2))</f>
        <v/>
      </c>
      <c r="AO149" s="78" t="str">
        <f aca="false">IF(AK149="","",ROUND(SUMIFS(AK$6:AK149,BJ$6:BJ149,BJ149),2))</f>
        <v/>
      </c>
      <c r="AP149" s="80" t="str">
        <f aca="false">IF(OR(AK149="",BL149=""),"",IFERROR(ROUND(IF(J149="Short",AB149-AE149,AE149-AB149)/BL149,1),""))</f>
        <v/>
      </c>
      <c r="AQ149" s="66" t="str">
        <f aca="false">IF(OR(G149="",H149=""),"",ROUND(MOD(H149-G149,1)*1440,0))</f>
        <v/>
      </c>
      <c r="AR149" s="68" t="str">
        <f aca="false">IF(AQ149="","",IF(AQ149&lt;15,"Under 15m",IF(AQ149&lt;60,"15-60m",IF(AQ149&lt;240,"1-4 hours","4+ hours"))))</f>
        <v/>
      </c>
      <c r="AS149" s="66" t="str">
        <f aca="false">IF(G149="","",HOUR(G149))</f>
        <v/>
      </c>
      <c r="AT149" s="80" t="str">
        <f aca="false">IF(OR(Z149="",AB149="",BL149=""),"",IFERROR(ROUND(IF(J149="Short",Z149-AB149,AB149-Z149)/BL149,1),""))</f>
        <v/>
      </c>
      <c r="AU149" s="68" t="str">
        <f aca="false">IF(OR(AA149="",AC149=""),"",IF(AA149=AC149,"No","Yes"))</f>
        <v/>
      </c>
      <c r="AV149" s="81" t="str">
        <f aca="false">IF(OR(B149="",BL149="",BM149="",AB149="",AC149=""),"",IFERROR(ROUND(AI149/(ABS(AB149-AC149)/BL149*BM149),2),""))</f>
        <v/>
      </c>
      <c r="AW149" s="76" t="str">
        <f aca="false">IF(B149="","",ROUND(BK149+SUMIFS(AM$5:AM148,BJ$5:BJ148,BJ149),2))</f>
        <v/>
      </c>
      <c r="AX149" s="66" t="str">
        <f aca="false">IF(B149="","",COUNTIFS(B$6:B149,B149,BJ$6:BJ149,BJ149))</f>
        <v/>
      </c>
      <c r="AY149" s="79" t="str">
        <f aca="false">IF(B149="","",ROUND(SUMIFS(AM$5:AM148,B$5:B148,B149,BJ$5:BJ148,BJ149),2))</f>
        <v/>
      </c>
      <c r="AZ149" s="79" t="str">
        <f aca="false">IF(AM149="","",ROUND(AY149+AM149,2))</f>
        <v/>
      </c>
      <c r="BA149" s="79" t="str">
        <f aca="false">IF(B149="","",ROUND(SUMIFS(AM$5:AM148,B$5:B148,"&gt;="&amp;(B149-WEEKDAY(B149,2)+1),B$5:B148,"&lt;="&amp;B149,BJ$5:BJ148,BJ149),2))</f>
        <v/>
      </c>
      <c r="BB149" s="68" t="str">
        <f aca="false">IF(B149="","",IF(AND(AF149&lt;&gt;"",AV149&lt;&gt;"",N(AF149)&gt;N(AV149)*(1+Settings!$C$13)),"Oversized",IF(AX149&gt;Settings!$C$10,"Overtraded",IF(AY149&lt;=-Settings!$C$11*(AW149-AY149),"Daily loss hit",IF(BA149&lt;=-Settings!$C$12*(AW149-BA149),"Weekly loss hit","OK")))))</f>
        <v/>
      </c>
      <c r="BC149" s="69"/>
      <c r="BD149" s="69"/>
      <c r="BE149" s="69"/>
      <c r="BF149" s="73"/>
      <c r="BG149" s="73"/>
      <c r="BH149" s="71"/>
      <c r="BI149" s="71"/>
      <c r="BJ149" s="68" t="str">
        <f aca="false">IF(B149="","",IF(E149="",Settings!$F$5,E149))</f>
        <v/>
      </c>
      <c r="BK149" s="76" t="str">
        <f aca="false">IF(B149="","",IFERROR(INDEX(Settings!$G$5:$G$10,MATCH(BJ149,Settings!$F$5:$F$10,0)),Settings!$G$5))</f>
        <v/>
      </c>
      <c r="BL149" s="82" t="str">
        <f aca="false">IF(I149="","",IFERROR(1/(1/INDEX(Lists!$C$6:$C$17,MATCH(I149,Lists!$B$6:$B$17,0))),""))</f>
        <v/>
      </c>
      <c r="BM149" s="81" t="str">
        <f aca="false">IF(I149="","",IFERROR(1/(1/INDEX(Lists!$D$6:$D$17,MATCH(I149,Lists!$B$6:$B$17,0))),""))</f>
        <v/>
      </c>
      <c r="BN149" s="76" t="str">
        <f aca="false">IF(AN149="","",MAX(BK149,_xlfn.MAXIFS(AN$6:AN149,BJ$6:BJ149,BJ149)))</f>
        <v/>
      </c>
      <c r="BO149" s="83" t="str">
        <f aca="false">IF(AN149="","",(AN149-BN149)/BN149)</f>
        <v/>
      </c>
      <c r="BP149" s="66" t="n">
        <f aca="false">IF(OR(B149="",AL149=""),0,IF(OR(Settings!$C$28="All Accounts",BJ149=Settings!$C$28),1,0))</f>
        <v>0</v>
      </c>
      <c r="BQ149" s="66" t="str">
        <f aca="false">IF(BP149=1,SUM(BP$6:BP149),"")</f>
        <v/>
      </c>
      <c r="BR149" s="76" t="str">
        <f aca="false">IF(BP149=1,ROUND(Settings!$C$29+SUMIFS(AM$6:AM149,BP$6:BP149,1),2),"")</f>
        <v/>
      </c>
      <c r="BS149" s="76" t="str">
        <f aca="false">IF(BP149=1,MAX(Settings!$C$29,MAX(BR$6:BR149)),"")</f>
        <v/>
      </c>
      <c r="BT149" s="83" t="str">
        <f aca="false">IF(BP149=1,(BR149-BS149)/BS149,"")</f>
        <v/>
      </c>
      <c r="BU149" s="66" t="str">
        <f aca="false">IF(BP149=1,IF(AL149="Win",1+IF(BQ149=1,0,INDEX(BU$5:BU148,MATCH(BQ149-1,BQ$5:BQ148,0))),0),"")</f>
        <v/>
      </c>
      <c r="BV149" s="66" t="str">
        <f aca="false">IF(BP149=1,IF(AL149="Loss",1+IF(BQ149=1,0,INDEX(BV$5:BV148,MATCH(BQ149-1,BQ$5:BQ148,0))),0),"")</f>
        <v/>
      </c>
    </row>
    <row r="150" customFormat="false" ht="15" hidden="false" customHeight="false" outlineLevel="0" collapsed="false">
      <c r="A150" s="66" t="str">
        <f aca="false">IF(B150="","",ROW()-5)</f>
        <v/>
      </c>
      <c r="B150" s="67"/>
      <c r="C150" s="68" t="str">
        <f aca="false">IF(B150="","",CHOOSE(WEEKDAY(B150,2),"Mon","Tue","Wed","Thu","Fri","Sat","Sun"))</f>
        <v/>
      </c>
      <c r="D150" s="66" t="str">
        <f aca="false">IF(B150="","",WEEKNUM(B150,2))</f>
        <v/>
      </c>
      <c r="E150" s="69"/>
      <c r="F150" s="69"/>
      <c r="G150" s="70"/>
      <c r="H150" s="70"/>
      <c r="I150" s="69"/>
      <c r="J150" s="69"/>
      <c r="K150" s="69"/>
      <c r="L150" s="71"/>
      <c r="M150" s="69"/>
      <c r="N150" s="69"/>
      <c r="O150" s="69"/>
      <c r="P150" s="71"/>
      <c r="Q150" s="69"/>
      <c r="R150" s="69"/>
      <c r="S150" s="69"/>
      <c r="T150" s="69"/>
      <c r="U150" s="69"/>
      <c r="V150" s="69"/>
      <c r="W150" s="69"/>
      <c r="X150" s="66" t="str">
        <f aca="false">IF(B150="","",COUNTIF(Q150:W150,"Yes"))</f>
        <v/>
      </c>
      <c r="Y150" s="68" t="str">
        <f aca="false">IF(B150="","",IF(X150&gt;=Settings!$C$16,"A+",IF(X150&gt;=Settings!$C$17,"A",IF(X150&gt;=Settings!$C$18,"B","C"))))</f>
        <v/>
      </c>
      <c r="Z150" s="72"/>
      <c r="AA150" s="72"/>
      <c r="AB150" s="72"/>
      <c r="AC150" s="72"/>
      <c r="AD150" s="72"/>
      <c r="AE150" s="72"/>
      <c r="AF150" s="73"/>
      <c r="AG150" s="74"/>
      <c r="AH150" s="75"/>
      <c r="AI150" s="76" t="str">
        <f aca="false">IF(B150="","",ROUND(IF(AG150="",Settings!$C$5,AG150)*AW150,2))</f>
        <v/>
      </c>
      <c r="AJ150" s="77" t="str">
        <f aca="false">IF(OR(B150="",AB150="",AC150="",AD150=""),"",IFERROR(ROUND(ABS(AD150-AB150)/ABS(AB150-AC150),2),""))</f>
        <v/>
      </c>
      <c r="AK150" s="78" t="str">
        <f aca="false">IF(OR(B150="",AB150="",AC150="",AE150=""),"",IFERROR(ROUND(IF(J150="Short",AB150-AE150,AE150-AB150)/ABS(AB150-AC150),2),""))</f>
        <v/>
      </c>
      <c r="AL150" s="68" t="str">
        <f aca="false">IF(AK150="","",IF(ABS(AK150)&lt;=Settings!$C$6,"BE",IF(AK150&gt;0,"Win","Loss")))</f>
        <v/>
      </c>
      <c r="AM150" s="79" t="str">
        <f aca="false">IF(OR(AK150="",AI150=""),"",ROUND(AK150*AI150-N(AH150),2))</f>
        <v/>
      </c>
      <c r="AN150" s="76" t="str">
        <f aca="false">IF(AM150="","",ROUND(BK150+SUMIFS(AM$6:AM150,BJ$6:BJ150,BJ150),2))</f>
        <v/>
      </c>
      <c r="AO150" s="78" t="str">
        <f aca="false">IF(AK150="","",ROUND(SUMIFS(AK$6:AK150,BJ$6:BJ150,BJ150),2))</f>
        <v/>
      </c>
      <c r="AP150" s="80" t="str">
        <f aca="false">IF(OR(AK150="",BL150=""),"",IFERROR(ROUND(IF(J150="Short",AB150-AE150,AE150-AB150)/BL150,1),""))</f>
        <v/>
      </c>
      <c r="AQ150" s="66" t="str">
        <f aca="false">IF(OR(G150="",H150=""),"",ROUND(MOD(H150-G150,1)*1440,0))</f>
        <v/>
      </c>
      <c r="AR150" s="68" t="str">
        <f aca="false">IF(AQ150="","",IF(AQ150&lt;15,"Under 15m",IF(AQ150&lt;60,"15-60m",IF(AQ150&lt;240,"1-4 hours","4+ hours"))))</f>
        <v/>
      </c>
      <c r="AS150" s="66" t="str">
        <f aca="false">IF(G150="","",HOUR(G150))</f>
        <v/>
      </c>
      <c r="AT150" s="80" t="str">
        <f aca="false">IF(OR(Z150="",AB150="",BL150=""),"",IFERROR(ROUND(IF(J150="Short",Z150-AB150,AB150-Z150)/BL150,1),""))</f>
        <v/>
      </c>
      <c r="AU150" s="68" t="str">
        <f aca="false">IF(OR(AA150="",AC150=""),"",IF(AA150=AC150,"No","Yes"))</f>
        <v/>
      </c>
      <c r="AV150" s="81" t="str">
        <f aca="false">IF(OR(B150="",BL150="",BM150="",AB150="",AC150=""),"",IFERROR(ROUND(AI150/(ABS(AB150-AC150)/BL150*BM150),2),""))</f>
        <v/>
      </c>
      <c r="AW150" s="76" t="str">
        <f aca="false">IF(B150="","",ROUND(BK150+SUMIFS(AM$5:AM149,BJ$5:BJ149,BJ150),2))</f>
        <v/>
      </c>
      <c r="AX150" s="66" t="str">
        <f aca="false">IF(B150="","",COUNTIFS(B$6:B150,B150,BJ$6:BJ150,BJ150))</f>
        <v/>
      </c>
      <c r="AY150" s="79" t="str">
        <f aca="false">IF(B150="","",ROUND(SUMIFS(AM$5:AM149,B$5:B149,B150,BJ$5:BJ149,BJ150),2))</f>
        <v/>
      </c>
      <c r="AZ150" s="79" t="str">
        <f aca="false">IF(AM150="","",ROUND(AY150+AM150,2))</f>
        <v/>
      </c>
      <c r="BA150" s="79" t="str">
        <f aca="false">IF(B150="","",ROUND(SUMIFS(AM$5:AM149,B$5:B149,"&gt;="&amp;(B150-WEEKDAY(B150,2)+1),B$5:B149,"&lt;="&amp;B150,BJ$5:BJ149,BJ150),2))</f>
        <v/>
      </c>
      <c r="BB150" s="68" t="str">
        <f aca="false">IF(B150="","",IF(AND(AF150&lt;&gt;"",AV150&lt;&gt;"",N(AF150)&gt;N(AV150)*(1+Settings!$C$13)),"Oversized",IF(AX150&gt;Settings!$C$10,"Overtraded",IF(AY150&lt;=-Settings!$C$11*(AW150-AY150),"Daily loss hit",IF(BA150&lt;=-Settings!$C$12*(AW150-BA150),"Weekly loss hit","OK")))))</f>
        <v/>
      </c>
      <c r="BC150" s="69"/>
      <c r="BD150" s="69"/>
      <c r="BE150" s="69"/>
      <c r="BF150" s="73"/>
      <c r="BG150" s="73"/>
      <c r="BH150" s="71"/>
      <c r="BI150" s="71"/>
      <c r="BJ150" s="68" t="str">
        <f aca="false">IF(B150="","",IF(E150="",Settings!$F$5,E150))</f>
        <v/>
      </c>
      <c r="BK150" s="76" t="str">
        <f aca="false">IF(B150="","",IFERROR(INDEX(Settings!$G$5:$G$10,MATCH(BJ150,Settings!$F$5:$F$10,0)),Settings!$G$5))</f>
        <v/>
      </c>
      <c r="BL150" s="82" t="str">
        <f aca="false">IF(I150="","",IFERROR(1/(1/INDEX(Lists!$C$6:$C$17,MATCH(I150,Lists!$B$6:$B$17,0))),""))</f>
        <v/>
      </c>
      <c r="BM150" s="81" t="str">
        <f aca="false">IF(I150="","",IFERROR(1/(1/INDEX(Lists!$D$6:$D$17,MATCH(I150,Lists!$B$6:$B$17,0))),""))</f>
        <v/>
      </c>
      <c r="BN150" s="76" t="str">
        <f aca="false">IF(AN150="","",MAX(BK150,_xlfn.MAXIFS(AN$6:AN150,BJ$6:BJ150,BJ150)))</f>
        <v/>
      </c>
      <c r="BO150" s="83" t="str">
        <f aca="false">IF(AN150="","",(AN150-BN150)/BN150)</f>
        <v/>
      </c>
      <c r="BP150" s="66" t="n">
        <f aca="false">IF(OR(B150="",AL150=""),0,IF(OR(Settings!$C$28="All Accounts",BJ150=Settings!$C$28),1,0))</f>
        <v>0</v>
      </c>
      <c r="BQ150" s="66" t="str">
        <f aca="false">IF(BP150=1,SUM(BP$6:BP150),"")</f>
        <v/>
      </c>
      <c r="BR150" s="76" t="str">
        <f aca="false">IF(BP150=1,ROUND(Settings!$C$29+SUMIFS(AM$6:AM150,BP$6:BP150,1),2),"")</f>
        <v/>
      </c>
      <c r="BS150" s="76" t="str">
        <f aca="false">IF(BP150=1,MAX(Settings!$C$29,MAX(BR$6:BR150)),"")</f>
        <v/>
      </c>
      <c r="BT150" s="83" t="str">
        <f aca="false">IF(BP150=1,(BR150-BS150)/BS150,"")</f>
        <v/>
      </c>
      <c r="BU150" s="66" t="str">
        <f aca="false">IF(BP150=1,IF(AL150="Win",1+IF(BQ150=1,0,INDEX(BU$5:BU149,MATCH(BQ150-1,BQ$5:BQ149,0))),0),"")</f>
        <v/>
      </c>
      <c r="BV150" s="66" t="str">
        <f aca="false">IF(BP150=1,IF(AL150="Loss",1+IF(BQ150=1,0,INDEX(BV$5:BV149,MATCH(BQ150-1,BQ$5:BQ149,0))),0),"")</f>
        <v/>
      </c>
    </row>
    <row r="151" customFormat="false" ht="15" hidden="false" customHeight="false" outlineLevel="0" collapsed="false">
      <c r="A151" s="66" t="str">
        <f aca="false">IF(B151="","",ROW()-5)</f>
        <v/>
      </c>
      <c r="B151" s="67"/>
      <c r="C151" s="68" t="str">
        <f aca="false">IF(B151="","",CHOOSE(WEEKDAY(B151,2),"Mon","Tue","Wed","Thu","Fri","Sat","Sun"))</f>
        <v/>
      </c>
      <c r="D151" s="66" t="str">
        <f aca="false">IF(B151="","",WEEKNUM(B151,2))</f>
        <v/>
      </c>
      <c r="E151" s="69"/>
      <c r="F151" s="69"/>
      <c r="G151" s="70"/>
      <c r="H151" s="70"/>
      <c r="I151" s="69"/>
      <c r="J151" s="69"/>
      <c r="K151" s="69"/>
      <c r="L151" s="71"/>
      <c r="M151" s="69"/>
      <c r="N151" s="69"/>
      <c r="O151" s="69"/>
      <c r="P151" s="71"/>
      <c r="Q151" s="69"/>
      <c r="R151" s="69"/>
      <c r="S151" s="69"/>
      <c r="T151" s="69"/>
      <c r="U151" s="69"/>
      <c r="V151" s="69"/>
      <c r="W151" s="69"/>
      <c r="X151" s="66" t="str">
        <f aca="false">IF(B151="","",COUNTIF(Q151:W151,"Yes"))</f>
        <v/>
      </c>
      <c r="Y151" s="68" t="str">
        <f aca="false">IF(B151="","",IF(X151&gt;=Settings!$C$16,"A+",IF(X151&gt;=Settings!$C$17,"A",IF(X151&gt;=Settings!$C$18,"B","C"))))</f>
        <v/>
      </c>
      <c r="Z151" s="72"/>
      <c r="AA151" s="72"/>
      <c r="AB151" s="72"/>
      <c r="AC151" s="72"/>
      <c r="AD151" s="72"/>
      <c r="AE151" s="72"/>
      <c r="AF151" s="73"/>
      <c r="AG151" s="74"/>
      <c r="AH151" s="75"/>
      <c r="AI151" s="76" t="str">
        <f aca="false">IF(B151="","",ROUND(IF(AG151="",Settings!$C$5,AG151)*AW151,2))</f>
        <v/>
      </c>
      <c r="AJ151" s="77" t="str">
        <f aca="false">IF(OR(B151="",AB151="",AC151="",AD151=""),"",IFERROR(ROUND(ABS(AD151-AB151)/ABS(AB151-AC151),2),""))</f>
        <v/>
      </c>
      <c r="AK151" s="78" t="str">
        <f aca="false">IF(OR(B151="",AB151="",AC151="",AE151=""),"",IFERROR(ROUND(IF(J151="Short",AB151-AE151,AE151-AB151)/ABS(AB151-AC151),2),""))</f>
        <v/>
      </c>
      <c r="AL151" s="68" t="str">
        <f aca="false">IF(AK151="","",IF(ABS(AK151)&lt;=Settings!$C$6,"BE",IF(AK151&gt;0,"Win","Loss")))</f>
        <v/>
      </c>
      <c r="AM151" s="79" t="str">
        <f aca="false">IF(OR(AK151="",AI151=""),"",ROUND(AK151*AI151-N(AH151),2))</f>
        <v/>
      </c>
      <c r="AN151" s="76" t="str">
        <f aca="false">IF(AM151="","",ROUND(BK151+SUMIFS(AM$6:AM151,BJ$6:BJ151,BJ151),2))</f>
        <v/>
      </c>
      <c r="AO151" s="78" t="str">
        <f aca="false">IF(AK151="","",ROUND(SUMIFS(AK$6:AK151,BJ$6:BJ151,BJ151),2))</f>
        <v/>
      </c>
      <c r="AP151" s="80" t="str">
        <f aca="false">IF(OR(AK151="",BL151=""),"",IFERROR(ROUND(IF(J151="Short",AB151-AE151,AE151-AB151)/BL151,1),""))</f>
        <v/>
      </c>
      <c r="AQ151" s="66" t="str">
        <f aca="false">IF(OR(G151="",H151=""),"",ROUND(MOD(H151-G151,1)*1440,0))</f>
        <v/>
      </c>
      <c r="AR151" s="68" t="str">
        <f aca="false">IF(AQ151="","",IF(AQ151&lt;15,"Under 15m",IF(AQ151&lt;60,"15-60m",IF(AQ151&lt;240,"1-4 hours","4+ hours"))))</f>
        <v/>
      </c>
      <c r="AS151" s="66" t="str">
        <f aca="false">IF(G151="","",HOUR(G151))</f>
        <v/>
      </c>
      <c r="AT151" s="80" t="str">
        <f aca="false">IF(OR(Z151="",AB151="",BL151=""),"",IFERROR(ROUND(IF(J151="Short",Z151-AB151,AB151-Z151)/BL151,1),""))</f>
        <v/>
      </c>
      <c r="AU151" s="68" t="str">
        <f aca="false">IF(OR(AA151="",AC151=""),"",IF(AA151=AC151,"No","Yes"))</f>
        <v/>
      </c>
      <c r="AV151" s="81" t="str">
        <f aca="false">IF(OR(B151="",BL151="",BM151="",AB151="",AC151=""),"",IFERROR(ROUND(AI151/(ABS(AB151-AC151)/BL151*BM151),2),""))</f>
        <v/>
      </c>
      <c r="AW151" s="76" t="str">
        <f aca="false">IF(B151="","",ROUND(BK151+SUMIFS(AM$5:AM150,BJ$5:BJ150,BJ151),2))</f>
        <v/>
      </c>
      <c r="AX151" s="66" t="str">
        <f aca="false">IF(B151="","",COUNTIFS(B$6:B151,B151,BJ$6:BJ151,BJ151))</f>
        <v/>
      </c>
      <c r="AY151" s="79" t="str">
        <f aca="false">IF(B151="","",ROUND(SUMIFS(AM$5:AM150,B$5:B150,B151,BJ$5:BJ150,BJ151),2))</f>
        <v/>
      </c>
      <c r="AZ151" s="79" t="str">
        <f aca="false">IF(AM151="","",ROUND(AY151+AM151,2))</f>
        <v/>
      </c>
      <c r="BA151" s="79" t="str">
        <f aca="false">IF(B151="","",ROUND(SUMIFS(AM$5:AM150,B$5:B150,"&gt;="&amp;(B151-WEEKDAY(B151,2)+1),B$5:B150,"&lt;="&amp;B151,BJ$5:BJ150,BJ151),2))</f>
        <v/>
      </c>
      <c r="BB151" s="68" t="str">
        <f aca="false">IF(B151="","",IF(AND(AF151&lt;&gt;"",AV151&lt;&gt;"",N(AF151)&gt;N(AV151)*(1+Settings!$C$13)),"Oversized",IF(AX151&gt;Settings!$C$10,"Overtraded",IF(AY151&lt;=-Settings!$C$11*(AW151-AY151),"Daily loss hit",IF(BA151&lt;=-Settings!$C$12*(AW151-BA151),"Weekly loss hit","OK")))))</f>
        <v/>
      </c>
      <c r="BC151" s="69"/>
      <c r="BD151" s="69"/>
      <c r="BE151" s="69"/>
      <c r="BF151" s="73"/>
      <c r="BG151" s="73"/>
      <c r="BH151" s="71"/>
      <c r="BI151" s="71"/>
      <c r="BJ151" s="68" t="str">
        <f aca="false">IF(B151="","",IF(E151="",Settings!$F$5,E151))</f>
        <v/>
      </c>
      <c r="BK151" s="76" t="str">
        <f aca="false">IF(B151="","",IFERROR(INDEX(Settings!$G$5:$G$10,MATCH(BJ151,Settings!$F$5:$F$10,0)),Settings!$G$5))</f>
        <v/>
      </c>
      <c r="BL151" s="82" t="str">
        <f aca="false">IF(I151="","",IFERROR(1/(1/INDEX(Lists!$C$6:$C$17,MATCH(I151,Lists!$B$6:$B$17,0))),""))</f>
        <v/>
      </c>
      <c r="BM151" s="81" t="str">
        <f aca="false">IF(I151="","",IFERROR(1/(1/INDEX(Lists!$D$6:$D$17,MATCH(I151,Lists!$B$6:$B$17,0))),""))</f>
        <v/>
      </c>
      <c r="BN151" s="76" t="str">
        <f aca="false">IF(AN151="","",MAX(BK151,_xlfn.MAXIFS(AN$6:AN151,BJ$6:BJ151,BJ151)))</f>
        <v/>
      </c>
      <c r="BO151" s="83" t="str">
        <f aca="false">IF(AN151="","",(AN151-BN151)/BN151)</f>
        <v/>
      </c>
      <c r="BP151" s="66" t="n">
        <f aca="false">IF(OR(B151="",AL151=""),0,IF(OR(Settings!$C$28="All Accounts",BJ151=Settings!$C$28),1,0))</f>
        <v>0</v>
      </c>
      <c r="BQ151" s="66" t="str">
        <f aca="false">IF(BP151=1,SUM(BP$6:BP151),"")</f>
        <v/>
      </c>
      <c r="BR151" s="76" t="str">
        <f aca="false">IF(BP151=1,ROUND(Settings!$C$29+SUMIFS(AM$6:AM151,BP$6:BP151,1),2),"")</f>
        <v/>
      </c>
      <c r="BS151" s="76" t="str">
        <f aca="false">IF(BP151=1,MAX(Settings!$C$29,MAX(BR$6:BR151)),"")</f>
        <v/>
      </c>
      <c r="BT151" s="83" t="str">
        <f aca="false">IF(BP151=1,(BR151-BS151)/BS151,"")</f>
        <v/>
      </c>
      <c r="BU151" s="66" t="str">
        <f aca="false">IF(BP151=1,IF(AL151="Win",1+IF(BQ151=1,0,INDEX(BU$5:BU150,MATCH(BQ151-1,BQ$5:BQ150,0))),0),"")</f>
        <v/>
      </c>
      <c r="BV151" s="66" t="str">
        <f aca="false">IF(BP151=1,IF(AL151="Loss",1+IF(BQ151=1,0,INDEX(BV$5:BV150,MATCH(BQ151-1,BQ$5:BQ150,0))),0),"")</f>
        <v/>
      </c>
    </row>
    <row r="152" customFormat="false" ht="15" hidden="false" customHeight="false" outlineLevel="0" collapsed="false">
      <c r="A152" s="66" t="str">
        <f aca="false">IF(B152="","",ROW()-5)</f>
        <v/>
      </c>
      <c r="B152" s="67"/>
      <c r="C152" s="68" t="str">
        <f aca="false">IF(B152="","",CHOOSE(WEEKDAY(B152,2),"Mon","Tue","Wed","Thu","Fri","Sat","Sun"))</f>
        <v/>
      </c>
      <c r="D152" s="66" t="str">
        <f aca="false">IF(B152="","",WEEKNUM(B152,2))</f>
        <v/>
      </c>
      <c r="E152" s="69"/>
      <c r="F152" s="69"/>
      <c r="G152" s="70"/>
      <c r="H152" s="70"/>
      <c r="I152" s="69"/>
      <c r="J152" s="69"/>
      <c r="K152" s="69"/>
      <c r="L152" s="71"/>
      <c r="M152" s="69"/>
      <c r="N152" s="69"/>
      <c r="O152" s="69"/>
      <c r="P152" s="71"/>
      <c r="Q152" s="69"/>
      <c r="R152" s="69"/>
      <c r="S152" s="69"/>
      <c r="T152" s="69"/>
      <c r="U152" s="69"/>
      <c r="V152" s="69"/>
      <c r="W152" s="69"/>
      <c r="X152" s="66" t="str">
        <f aca="false">IF(B152="","",COUNTIF(Q152:W152,"Yes"))</f>
        <v/>
      </c>
      <c r="Y152" s="68" t="str">
        <f aca="false">IF(B152="","",IF(X152&gt;=Settings!$C$16,"A+",IF(X152&gt;=Settings!$C$17,"A",IF(X152&gt;=Settings!$C$18,"B","C"))))</f>
        <v/>
      </c>
      <c r="Z152" s="72"/>
      <c r="AA152" s="72"/>
      <c r="AB152" s="72"/>
      <c r="AC152" s="72"/>
      <c r="AD152" s="72"/>
      <c r="AE152" s="72"/>
      <c r="AF152" s="73"/>
      <c r="AG152" s="74"/>
      <c r="AH152" s="75"/>
      <c r="AI152" s="76" t="str">
        <f aca="false">IF(B152="","",ROUND(IF(AG152="",Settings!$C$5,AG152)*AW152,2))</f>
        <v/>
      </c>
      <c r="AJ152" s="77" t="str">
        <f aca="false">IF(OR(B152="",AB152="",AC152="",AD152=""),"",IFERROR(ROUND(ABS(AD152-AB152)/ABS(AB152-AC152),2),""))</f>
        <v/>
      </c>
      <c r="AK152" s="78" t="str">
        <f aca="false">IF(OR(B152="",AB152="",AC152="",AE152=""),"",IFERROR(ROUND(IF(J152="Short",AB152-AE152,AE152-AB152)/ABS(AB152-AC152),2),""))</f>
        <v/>
      </c>
      <c r="AL152" s="68" t="str">
        <f aca="false">IF(AK152="","",IF(ABS(AK152)&lt;=Settings!$C$6,"BE",IF(AK152&gt;0,"Win","Loss")))</f>
        <v/>
      </c>
      <c r="AM152" s="79" t="str">
        <f aca="false">IF(OR(AK152="",AI152=""),"",ROUND(AK152*AI152-N(AH152),2))</f>
        <v/>
      </c>
      <c r="AN152" s="76" t="str">
        <f aca="false">IF(AM152="","",ROUND(BK152+SUMIFS(AM$6:AM152,BJ$6:BJ152,BJ152),2))</f>
        <v/>
      </c>
      <c r="AO152" s="78" t="str">
        <f aca="false">IF(AK152="","",ROUND(SUMIFS(AK$6:AK152,BJ$6:BJ152,BJ152),2))</f>
        <v/>
      </c>
      <c r="AP152" s="80" t="str">
        <f aca="false">IF(OR(AK152="",BL152=""),"",IFERROR(ROUND(IF(J152="Short",AB152-AE152,AE152-AB152)/BL152,1),""))</f>
        <v/>
      </c>
      <c r="AQ152" s="66" t="str">
        <f aca="false">IF(OR(G152="",H152=""),"",ROUND(MOD(H152-G152,1)*1440,0))</f>
        <v/>
      </c>
      <c r="AR152" s="68" t="str">
        <f aca="false">IF(AQ152="","",IF(AQ152&lt;15,"Under 15m",IF(AQ152&lt;60,"15-60m",IF(AQ152&lt;240,"1-4 hours","4+ hours"))))</f>
        <v/>
      </c>
      <c r="AS152" s="66" t="str">
        <f aca="false">IF(G152="","",HOUR(G152))</f>
        <v/>
      </c>
      <c r="AT152" s="80" t="str">
        <f aca="false">IF(OR(Z152="",AB152="",BL152=""),"",IFERROR(ROUND(IF(J152="Short",Z152-AB152,AB152-Z152)/BL152,1),""))</f>
        <v/>
      </c>
      <c r="AU152" s="68" t="str">
        <f aca="false">IF(OR(AA152="",AC152=""),"",IF(AA152=AC152,"No","Yes"))</f>
        <v/>
      </c>
      <c r="AV152" s="81" t="str">
        <f aca="false">IF(OR(B152="",BL152="",BM152="",AB152="",AC152=""),"",IFERROR(ROUND(AI152/(ABS(AB152-AC152)/BL152*BM152),2),""))</f>
        <v/>
      </c>
      <c r="AW152" s="76" t="str">
        <f aca="false">IF(B152="","",ROUND(BK152+SUMIFS(AM$5:AM151,BJ$5:BJ151,BJ152),2))</f>
        <v/>
      </c>
      <c r="AX152" s="66" t="str">
        <f aca="false">IF(B152="","",COUNTIFS(B$6:B152,B152,BJ$6:BJ152,BJ152))</f>
        <v/>
      </c>
      <c r="AY152" s="79" t="str">
        <f aca="false">IF(B152="","",ROUND(SUMIFS(AM$5:AM151,B$5:B151,B152,BJ$5:BJ151,BJ152),2))</f>
        <v/>
      </c>
      <c r="AZ152" s="79" t="str">
        <f aca="false">IF(AM152="","",ROUND(AY152+AM152,2))</f>
        <v/>
      </c>
      <c r="BA152" s="79" t="str">
        <f aca="false">IF(B152="","",ROUND(SUMIFS(AM$5:AM151,B$5:B151,"&gt;="&amp;(B152-WEEKDAY(B152,2)+1),B$5:B151,"&lt;="&amp;B152,BJ$5:BJ151,BJ152),2))</f>
        <v/>
      </c>
      <c r="BB152" s="68" t="str">
        <f aca="false">IF(B152="","",IF(AND(AF152&lt;&gt;"",AV152&lt;&gt;"",N(AF152)&gt;N(AV152)*(1+Settings!$C$13)),"Oversized",IF(AX152&gt;Settings!$C$10,"Overtraded",IF(AY152&lt;=-Settings!$C$11*(AW152-AY152),"Daily loss hit",IF(BA152&lt;=-Settings!$C$12*(AW152-BA152),"Weekly loss hit","OK")))))</f>
        <v/>
      </c>
      <c r="BC152" s="69"/>
      <c r="BD152" s="69"/>
      <c r="BE152" s="69"/>
      <c r="BF152" s="73"/>
      <c r="BG152" s="73"/>
      <c r="BH152" s="71"/>
      <c r="BI152" s="71"/>
      <c r="BJ152" s="68" t="str">
        <f aca="false">IF(B152="","",IF(E152="",Settings!$F$5,E152))</f>
        <v/>
      </c>
      <c r="BK152" s="76" t="str">
        <f aca="false">IF(B152="","",IFERROR(INDEX(Settings!$G$5:$G$10,MATCH(BJ152,Settings!$F$5:$F$10,0)),Settings!$G$5))</f>
        <v/>
      </c>
      <c r="BL152" s="82" t="str">
        <f aca="false">IF(I152="","",IFERROR(1/(1/INDEX(Lists!$C$6:$C$17,MATCH(I152,Lists!$B$6:$B$17,0))),""))</f>
        <v/>
      </c>
      <c r="BM152" s="81" t="str">
        <f aca="false">IF(I152="","",IFERROR(1/(1/INDEX(Lists!$D$6:$D$17,MATCH(I152,Lists!$B$6:$B$17,0))),""))</f>
        <v/>
      </c>
      <c r="BN152" s="76" t="str">
        <f aca="false">IF(AN152="","",MAX(BK152,_xlfn.MAXIFS(AN$6:AN152,BJ$6:BJ152,BJ152)))</f>
        <v/>
      </c>
      <c r="BO152" s="83" t="str">
        <f aca="false">IF(AN152="","",(AN152-BN152)/BN152)</f>
        <v/>
      </c>
      <c r="BP152" s="66" t="n">
        <f aca="false">IF(OR(B152="",AL152=""),0,IF(OR(Settings!$C$28="All Accounts",BJ152=Settings!$C$28),1,0))</f>
        <v>0</v>
      </c>
      <c r="BQ152" s="66" t="str">
        <f aca="false">IF(BP152=1,SUM(BP$6:BP152),"")</f>
        <v/>
      </c>
      <c r="BR152" s="76" t="str">
        <f aca="false">IF(BP152=1,ROUND(Settings!$C$29+SUMIFS(AM$6:AM152,BP$6:BP152,1),2),"")</f>
        <v/>
      </c>
      <c r="BS152" s="76" t="str">
        <f aca="false">IF(BP152=1,MAX(Settings!$C$29,MAX(BR$6:BR152)),"")</f>
        <v/>
      </c>
      <c r="BT152" s="83" t="str">
        <f aca="false">IF(BP152=1,(BR152-BS152)/BS152,"")</f>
        <v/>
      </c>
      <c r="BU152" s="66" t="str">
        <f aca="false">IF(BP152=1,IF(AL152="Win",1+IF(BQ152=1,0,INDEX(BU$5:BU151,MATCH(BQ152-1,BQ$5:BQ151,0))),0),"")</f>
        <v/>
      </c>
      <c r="BV152" s="66" t="str">
        <f aca="false">IF(BP152=1,IF(AL152="Loss",1+IF(BQ152=1,0,INDEX(BV$5:BV151,MATCH(BQ152-1,BQ$5:BQ151,0))),0),"")</f>
        <v/>
      </c>
    </row>
    <row r="153" customFormat="false" ht="15" hidden="false" customHeight="false" outlineLevel="0" collapsed="false">
      <c r="A153" s="66" t="str">
        <f aca="false">IF(B153="","",ROW()-5)</f>
        <v/>
      </c>
      <c r="B153" s="67"/>
      <c r="C153" s="68" t="str">
        <f aca="false">IF(B153="","",CHOOSE(WEEKDAY(B153,2),"Mon","Tue","Wed","Thu","Fri","Sat","Sun"))</f>
        <v/>
      </c>
      <c r="D153" s="66" t="str">
        <f aca="false">IF(B153="","",WEEKNUM(B153,2))</f>
        <v/>
      </c>
      <c r="E153" s="69"/>
      <c r="F153" s="69"/>
      <c r="G153" s="70"/>
      <c r="H153" s="70"/>
      <c r="I153" s="69"/>
      <c r="J153" s="69"/>
      <c r="K153" s="69"/>
      <c r="L153" s="71"/>
      <c r="M153" s="69"/>
      <c r="N153" s="69"/>
      <c r="O153" s="69"/>
      <c r="P153" s="71"/>
      <c r="Q153" s="69"/>
      <c r="R153" s="69"/>
      <c r="S153" s="69"/>
      <c r="T153" s="69"/>
      <c r="U153" s="69"/>
      <c r="V153" s="69"/>
      <c r="W153" s="69"/>
      <c r="X153" s="66" t="str">
        <f aca="false">IF(B153="","",COUNTIF(Q153:W153,"Yes"))</f>
        <v/>
      </c>
      <c r="Y153" s="68" t="str">
        <f aca="false">IF(B153="","",IF(X153&gt;=Settings!$C$16,"A+",IF(X153&gt;=Settings!$C$17,"A",IF(X153&gt;=Settings!$C$18,"B","C"))))</f>
        <v/>
      </c>
      <c r="Z153" s="72"/>
      <c r="AA153" s="72"/>
      <c r="AB153" s="72"/>
      <c r="AC153" s="72"/>
      <c r="AD153" s="72"/>
      <c r="AE153" s="72"/>
      <c r="AF153" s="73"/>
      <c r="AG153" s="74"/>
      <c r="AH153" s="75"/>
      <c r="AI153" s="76" t="str">
        <f aca="false">IF(B153="","",ROUND(IF(AG153="",Settings!$C$5,AG153)*AW153,2))</f>
        <v/>
      </c>
      <c r="AJ153" s="77" t="str">
        <f aca="false">IF(OR(B153="",AB153="",AC153="",AD153=""),"",IFERROR(ROUND(ABS(AD153-AB153)/ABS(AB153-AC153),2),""))</f>
        <v/>
      </c>
      <c r="AK153" s="78" t="str">
        <f aca="false">IF(OR(B153="",AB153="",AC153="",AE153=""),"",IFERROR(ROUND(IF(J153="Short",AB153-AE153,AE153-AB153)/ABS(AB153-AC153),2),""))</f>
        <v/>
      </c>
      <c r="AL153" s="68" t="str">
        <f aca="false">IF(AK153="","",IF(ABS(AK153)&lt;=Settings!$C$6,"BE",IF(AK153&gt;0,"Win","Loss")))</f>
        <v/>
      </c>
      <c r="AM153" s="79" t="str">
        <f aca="false">IF(OR(AK153="",AI153=""),"",ROUND(AK153*AI153-N(AH153),2))</f>
        <v/>
      </c>
      <c r="AN153" s="76" t="str">
        <f aca="false">IF(AM153="","",ROUND(BK153+SUMIFS(AM$6:AM153,BJ$6:BJ153,BJ153),2))</f>
        <v/>
      </c>
      <c r="AO153" s="78" t="str">
        <f aca="false">IF(AK153="","",ROUND(SUMIFS(AK$6:AK153,BJ$6:BJ153,BJ153),2))</f>
        <v/>
      </c>
      <c r="AP153" s="80" t="str">
        <f aca="false">IF(OR(AK153="",BL153=""),"",IFERROR(ROUND(IF(J153="Short",AB153-AE153,AE153-AB153)/BL153,1),""))</f>
        <v/>
      </c>
      <c r="AQ153" s="66" t="str">
        <f aca="false">IF(OR(G153="",H153=""),"",ROUND(MOD(H153-G153,1)*1440,0))</f>
        <v/>
      </c>
      <c r="AR153" s="68" t="str">
        <f aca="false">IF(AQ153="","",IF(AQ153&lt;15,"Under 15m",IF(AQ153&lt;60,"15-60m",IF(AQ153&lt;240,"1-4 hours","4+ hours"))))</f>
        <v/>
      </c>
      <c r="AS153" s="66" t="str">
        <f aca="false">IF(G153="","",HOUR(G153))</f>
        <v/>
      </c>
      <c r="AT153" s="80" t="str">
        <f aca="false">IF(OR(Z153="",AB153="",BL153=""),"",IFERROR(ROUND(IF(J153="Short",Z153-AB153,AB153-Z153)/BL153,1),""))</f>
        <v/>
      </c>
      <c r="AU153" s="68" t="str">
        <f aca="false">IF(OR(AA153="",AC153=""),"",IF(AA153=AC153,"No","Yes"))</f>
        <v/>
      </c>
      <c r="AV153" s="81" t="str">
        <f aca="false">IF(OR(B153="",BL153="",BM153="",AB153="",AC153=""),"",IFERROR(ROUND(AI153/(ABS(AB153-AC153)/BL153*BM153),2),""))</f>
        <v/>
      </c>
      <c r="AW153" s="76" t="str">
        <f aca="false">IF(B153="","",ROUND(BK153+SUMIFS(AM$5:AM152,BJ$5:BJ152,BJ153),2))</f>
        <v/>
      </c>
      <c r="AX153" s="66" t="str">
        <f aca="false">IF(B153="","",COUNTIFS(B$6:B153,B153,BJ$6:BJ153,BJ153))</f>
        <v/>
      </c>
      <c r="AY153" s="79" t="str">
        <f aca="false">IF(B153="","",ROUND(SUMIFS(AM$5:AM152,B$5:B152,B153,BJ$5:BJ152,BJ153),2))</f>
        <v/>
      </c>
      <c r="AZ153" s="79" t="str">
        <f aca="false">IF(AM153="","",ROUND(AY153+AM153,2))</f>
        <v/>
      </c>
      <c r="BA153" s="79" t="str">
        <f aca="false">IF(B153="","",ROUND(SUMIFS(AM$5:AM152,B$5:B152,"&gt;="&amp;(B153-WEEKDAY(B153,2)+1),B$5:B152,"&lt;="&amp;B153,BJ$5:BJ152,BJ153),2))</f>
        <v/>
      </c>
      <c r="BB153" s="68" t="str">
        <f aca="false">IF(B153="","",IF(AND(AF153&lt;&gt;"",AV153&lt;&gt;"",N(AF153)&gt;N(AV153)*(1+Settings!$C$13)),"Oversized",IF(AX153&gt;Settings!$C$10,"Overtraded",IF(AY153&lt;=-Settings!$C$11*(AW153-AY153),"Daily loss hit",IF(BA153&lt;=-Settings!$C$12*(AW153-BA153),"Weekly loss hit","OK")))))</f>
        <v/>
      </c>
      <c r="BC153" s="69"/>
      <c r="BD153" s="69"/>
      <c r="BE153" s="69"/>
      <c r="BF153" s="73"/>
      <c r="BG153" s="73"/>
      <c r="BH153" s="71"/>
      <c r="BI153" s="71"/>
      <c r="BJ153" s="68" t="str">
        <f aca="false">IF(B153="","",IF(E153="",Settings!$F$5,E153))</f>
        <v/>
      </c>
      <c r="BK153" s="76" t="str">
        <f aca="false">IF(B153="","",IFERROR(INDEX(Settings!$G$5:$G$10,MATCH(BJ153,Settings!$F$5:$F$10,0)),Settings!$G$5))</f>
        <v/>
      </c>
      <c r="BL153" s="82" t="str">
        <f aca="false">IF(I153="","",IFERROR(1/(1/INDEX(Lists!$C$6:$C$17,MATCH(I153,Lists!$B$6:$B$17,0))),""))</f>
        <v/>
      </c>
      <c r="BM153" s="81" t="str">
        <f aca="false">IF(I153="","",IFERROR(1/(1/INDEX(Lists!$D$6:$D$17,MATCH(I153,Lists!$B$6:$B$17,0))),""))</f>
        <v/>
      </c>
      <c r="BN153" s="76" t="str">
        <f aca="false">IF(AN153="","",MAX(BK153,_xlfn.MAXIFS(AN$6:AN153,BJ$6:BJ153,BJ153)))</f>
        <v/>
      </c>
      <c r="BO153" s="83" t="str">
        <f aca="false">IF(AN153="","",(AN153-BN153)/BN153)</f>
        <v/>
      </c>
      <c r="BP153" s="66" t="n">
        <f aca="false">IF(OR(B153="",AL153=""),0,IF(OR(Settings!$C$28="All Accounts",BJ153=Settings!$C$28),1,0))</f>
        <v>0</v>
      </c>
      <c r="BQ153" s="66" t="str">
        <f aca="false">IF(BP153=1,SUM(BP$6:BP153),"")</f>
        <v/>
      </c>
      <c r="BR153" s="76" t="str">
        <f aca="false">IF(BP153=1,ROUND(Settings!$C$29+SUMIFS(AM$6:AM153,BP$6:BP153,1),2),"")</f>
        <v/>
      </c>
      <c r="BS153" s="76" t="str">
        <f aca="false">IF(BP153=1,MAX(Settings!$C$29,MAX(BR$6:BR153)),"")</f>
        <v/>
      </c>
      <c r="BT153" s="83" t="str">
        <f aca="false">IF(BP153=1,(BR153-BS153)/BS153,"")</f>
        <v/>
      </c>
      <c r="BU153" s="66" t="str">
        <f aca="false">IF(BP153=1,IF(AL153="Win",1+IF(BQ153=1,0,INDEX(BU$5:BU152,MATCH(BQ153-1,BQ$5:BQ152,0))),0),"")</f>
        <v/>
      </c>
      <c r="BV153" s="66" t="str">
        <f aca="false">IF(BP153=1,IF(AL153="Loss",1+IF(BQ153=1,0,INDEX(BV$5:BV152,MATCH(BQ153-1,BQ$5:BQ152,0))),0),"")</f>
        <v/>
      </c>
    </row>
    <row r="154" customFormat="false" ht="15" hidden="false" customHeight="false" outlineLevel="0" collapsed="false">
      <c r="A154" s="66" t="str">
        <f aca="false">IF(B154="","",ROW()-5)</f>
        <v/>
      </c>
      <c r="B154" s="67"/>
      <c r="C154" s="68" t="str">
        <f aca="false">IF(B154="","",CHOOSE(WEEKDAY(B154,2),"Mon","Tue","Wed","Thu","Fri","Sat","Sun"))</f>
        <v/>
      </c>
      <c r="D154" s="66" t="str">
        <f aca="false">IF(B154="","",WEEKNUM(B154,2))</f>
        <v/>
      </c>
      <c r="E154" s="69"/>
      <c r="F154" s="69"/>
      <c r="G154" s="70"/>
      <c r="H154" s="70"/>
      <c r="I154" s="69"/>
      <c r="J154" s="69"/>
      <c r="K154" s="69"/>
      <c r="L154" s="71"/>
      <c r="M154" s="69"/>
      <c r="N154" s="69"/>
      <c r="O154" s="69"/>
      <c r="P154" s="71"/>
      <c r="Q154" s="69"/>
      <c r="R154" s="69"/>
      <c r="S154" s="69"/>
      <c r="T154" s="69"/>
      <c r="U154" s="69"/>
      <c r="V154" s="69"/>
      <c r="W154" s="69"/>
      <c r="X154" s="66" t="str">
        <f aca="false">IF(B154="","",COUNTIF(Q154:W154,"Yes"))</f>
        <v/>
      </c>
      <c r="Y154" s="68" t="str">
        <f aca="false">IF(B154="","",IF(X154&gt;=Settings!$C$16,"A+",IF(X154&gt;=Settings!$C$17,"A",IF(X154&gt;=Settings!$C$18,"B","C"))))</f>
        <v/>
      </c>
      <c r="Z154" s="72"/>
      <c r="AA154" s="72"/>
      <c r="AB154" s="72"/>
      <c r="AC154" s="72"/>
      <c r="AD154" s="72"/>
      <c r="AE154" s="72"/>
      <c r="AF154" s="73"/>
      <c r="AG154" s="74"/>
      <c r="AH154" s="75"/>
      <c r="AI154" s="76" t="str">
        <f aca="false">IF(B154="","",ROUND(IF(AG154="",Settings!$C$5,AG154)*AW154,2))</f>
        <v/>
      </c>
      <c r="AJ154" s="77" t="str">
        <f aca="false">IF(OR(B154="",AB154="",AC154="",AD154=""),"",IFERROR(ROUND(ABS(AD154-AB154)/ABS(AB154-AC154),2),""))</f>
        <v/>
      </c>
      <c r="AK154" s="78" t="str">
        <f aca="false">IF(OR(B154="",AB154="",AC154="",AE154=""),"",IFERROR(ROUND(IF(J154="Short",AB154-AE154,AE154-AB154)/ABS(AB154-AC154),2),""))</f>
        <v/>
      </c>
      <c r="AL154" s="68" t="str">
        <f aca="false">IF(AK154="","",IF(ABS(AK154)&lt;=Settings!$C$6,"BE",IF(AK154&gt;0,"Win","Loss")))</f>
        <v/>
      </c>
      <c r="AM154" s="79" t="str">
        <f aca="false">IF(OR(AK154="",AI154=""),"",ROUND(AK154*AI154-N(AH154),2))</f>
        <v/>
      </c>
      <c r="AN154" s="76" t="str">
        <f aca="false">IF(AM154="","",ROUND(BK154+SUMIFS(AM$6:AM154,BJ$6:BJ154,BJ154),2))</f>
        <v/>
      </c>
      <c r="AO154" s="78" t="str">
        <f aca="false">IF(AK154="","",ROUND(SUMIFS(AK$6:AK154,BJ$6:BJ154,BJ154),2))</f>
        <v/>
      </c>
      <c r="AP154" s="80" t="str">
        <f aca="false">IF(OR(AK154="",BL154=""),"",IFERROR(ROUND(IF(J154="Short",AB154-AE154,AE154-AB154)/BL154,1),""))</f>
        <v/>
      </c>
      <c r="AQ154" s="66" t="str">
        <f aca="false">IF(OR(G154="",H154=""),"",ROUND(MOD(H154-G154,1)*1440,0))</f>
        <v/>
      </c>
      <c r="AR154" s="68" t="str">
        <f aca="false">IF(AQ154="","",IF(AQ154&lt;15,"Under 15m",IF(AQ154&lt;60,"15-60m",IF(AQ154&lt;240,"1-4 hours","4+ hours"))))</f>
        <v/>
      </c>
      <c r="AS154" s="66" t="str">
        <f aca="false">IF(G154="","",HOUR(G154))</f>
        <v/>
      </c>
      <c r="AT154" s="80" t="str">
        <f aca="false">IF(OR(Z154="",AB154="",BL154=""),"",IFERROR(ROUND(IF(J154="Short",Z154-AB154,AB154-Z154)/BL154,1),""))</f>
        <v/>
      </c>
      <c r="AU154" s="68" t="str">
        <f aca="false">IF(OR(AA154="",AC154=""),"",IF(AA154=AC154,"No","Yes"))</f>
        <v/>
      </c>
      <c r="AV154" s="81" t="str">
        <f aca="false">IF(OR(B154="",BL154="",BM154="",AB154="",AC154=""),"",IFERROR(ROUND(AI154/(ABS(AB154-AC154)/BL154*BM154),2),""))</f>
        <v/>
      </c>
      <c r="AW154" s="76" t="str">
        <f aca="false">IF(B154="","",ROUND(BK154+SUMIFS(AM$5:AM153,BJ$5:BJ153,BJ154),2))</f>
        <v/>
      </c>
      <c r="AX154" s="66" t="str">
        <f aca="false">IF(B154="","",COUNTIFS(B$6:B154,B154,BJ$6:BJ154,BJ154))</f>
        <v/>
      </c>
      <c r="AY154" s="79" t="str">
        <f aca="false">IF(B154="","",ROUND(SUMIFS(AM$5:AM153,B$5:B153,B154,BJ$5:BJ153,BJ154),2))</f>
        <v/>
      </c>
      <c r="AZ154" s="79" t="str">
        <f aca="false">IF(AM154="","",ROUND(AY154+AM154,2))</f>
        <v/>
      </c>
      <c r="BA154" s="79" t="str">
        <f aca="false">IF(B154="","",ROUND(SUMIFS(AM$5:AM153,B$5:B153,"&gt;="&amp;(B154-WEEKDAY(B154,2)+1),B$5:B153,"&lt;="&amp;B154,BJ$5:BJ153,BJ154),2))</f>
        <v/>
      </c>
      <c r="BB154" s="68" t="str">
        <f aca="false">IF(B154="","",IF(AND(AF154&lt;&gt;"",AV154&lt;&gt;"",N(AF154)&gt;N(AV154)*(1+Settings!$C$13)),"Oversized",IF(AX154&gt;Settings!$C$10,"Overtraded",IF(AY154&lt;=-Settings!$C$11*(AW154-AY154),"Daily loss hit",IF(BA154&lt;=-Settings!$C$12*(AW154-BA154),"Weekly loss hit","OK")))))</f>
        <v/>
      </c>
      <c r="BC154" s="69"/>
      <c r="BD154" s="69"/>
      <c r="BE154" s="69"/>
      <c r="BF154" s="73"/>
      <c r="BG154" s="73"/>
      <c r="BH154" s="71"/>
      <c r="BI154" s="71"/>
      <c r="BJ154" s="68" t="str">
        <f aca="false">IF(B154="","",IF(E154="",Settings!$F$5,E154))</f>
        <v/>
      </c>
      <c r="BK154" s="76" t="str">
        <f aca="false">IF(B154="","",IFERROR(INDEX(Settings!$G$5:$G$10,MATCH(BJ154,Settings!$F$5:$F$10,0)),Settings!$G$5))</f>
        <v/>
      </c>
      <c r="BL154" s="82" t="str">
        <f aca="false">IF(I154="","",IFERROR(1/(1/INDEX(Lists!$C$6:$C$17,MATCH(I154,Lists!$B$6:$B$17,0))),""))</f>
        <v/>
      </c>
      <c r="BM154" s="81" t="str">
        <f aca="false">IF(I154="","",IFERROR(1/(1/INDEX(Lists!$D$6:$D$17,MATCH(I154,Lists!$B$6:$B$17,0))),""))</f>
        <v/>
      </c>
      <c r="BN154" s="76" t="str">
        <f aca="false">IF(AN154="","",MAX(BK154,_xlfn.MAXIFS(AN$6:AN154,BJ$6:BJ154,BJ154)))</f>
        <v/>
      </c>
      <c r="BO154" s="83" t="str">
        <f aca="false">IF(AN154="","",(AN154-BN154)/BN154)</f>
        <v/>
      </c>
      <c r="BP154" s="66" t="n">
        <f aca="false">IF(OR(B154="",AL154=""),0,IF(OR(Settings!$C$28="All Accounts",BJ154=Settings!$C$28),1,0))</f>
        <v>0</v>
      </c>
      <c r="BQ154" s="66" t="str">
        <f aca="false">IF(BP154=1,SUM(BP$6:BP154),"")</f>
        <v/>
      </c>
      <c r="BR154" s="76" t="str">
        <f aca="false">IF(BP154=1,ROUND(Settings!$C$29+SUMIFS(AM$6:AM154,BP$6:BP154,1),2),"")</f>
        <v/>
      </c>
      <c r="BS154" s="76" t="str">
        <f aca="false">IF(BP154=1,MAX(Settings!$C$29,MAX(BR$6:BR154)),"")</f>
        <v/>
      </c>
      <c r="BT154" s="83" t="str">
        <f aca="false">IF(BP154=1,(BR154-BS154)/BS154,"")</f>
        <v/>
      </c>
      <c r="BU154" s="66" t="str">
        <f aca="false">IF(BP154=1,IF(AL154="Win",1+IF(BQ154=1,0,INDEX(BU$5:BU153,MATCH(BQ154-1,BQ$5:BQ153,0))),0),"")</f>
        <v/>
      </c>
      <c r="BV154" s="66" t="str">
        <f aca="false">IF(BP154=1,IF(AL154="Loss",1+IF(BQ154=1,0,INDEX(BV$5:BV153,MATCH(BQ154-1,BQ$5:BQ153,0))),0),"")</f>
        <v/>
      </c>
    </row>
    <row r="155" customFormat="false" ht="15" hidden="false" customHeight="false" outlineLevel="0" collapsed="false">
      <c r="A155" s="66" t="str">
        <f aca="false">IF(B155="","",ROW()-5)</f>
        <v/>
      </c>
      <c r="B155" s="67"/>
      <c r="C155" s="68" t="str">
        <f aca="false">IF(B155="","",CHOOSE(WEEKDAY(B155,2),"Mon","Tue","Wed","Thu","Fri","Sat","Sun"))</f>
        <v/>
      </c>
      <c r="D155" s="66" t="str">
        <f aca="false">IF(B155="","",WEEKNUM(B155,2))</f>
        <v/>
      </c>
      <c r="E155" s="69"/>
      <c r="F155" s="69"/>
      <c r="G155" s="70"/>
      <c r="H155" s="70"/>
      <c r="I155" s="69"/>
      <c r="J155" s="69"/>
      <c r="K155" s="69"/>
      <c r="L155" s="71"/>
      <c r="M155" s="69"/>
      <c r="N155" s="69"/>
      <c r="O155" s="69"/>
      <c r="P155" s="71"/>
      <c r="Q155" s="69"/>
      <c r="R155" s="69"/>
      <c r="S155" s="69"/>
      <c r="T155" s="69"/>
      <c r="U155" s="69"/>
      <c r="V155" s="69"/>
      <c r="W155" s="69"/>
      <c r="X155" s="66" t="str">
        <f aca="false">IF(B155="","",COUNTIF(Q155:W155,"Yes"))</f>
        <v/>
      </c>
      <c r="Y155" s="68" t="str">
        <f aca="false">IF(B155="","",IF(X155&gt;=Settings!$C$16,"A+",IF(X155&gt;=Settings!$C$17,"A",IF(X155&gt;=Settings!$C$18,"B","C"))))</f>
        <v/>
      </c>
      <c r="Z155" s="72"/>
      <c r="AA155" s="72"/>
      <c r="AB155" s="72"/>
      <c r="AC155" s="72"/>
      <c r="AD155" s="72"/>
      <c r="AE155" s="72"/>
      <c r="AF155" s="73"/>
      <c r="AG155" s="74"/>
      <c r="AH155" s="75"/>
      <c r="AI155" s="76" t="str">
        <f aca="false">IF(B155="","",ROUND(IF(AG155="",Settings!$C$5,AG155)*AW155,2))</f>
        <v/>
      </c>
      <c r="AJ155" s="77" t="str">
        <f aca="false">IF(OR(B155="",AB155="",AC155="",AD155=""),"",IFERROR(ROUND(ABS(AD155-AB155)/ABS(AB155-AC155),2),""))</f>
        <v/>
      </c>
      <c r="AK155" s="78" t="str">
        <f aca="false">IF(OR(B155="",AB155="",AC155="",AE155=""),"",IFERROR(ROUND(IF(J155="Short",AB155-AE155,AE155-AB155)/ABS(AB155-AC155),2),""))</f>
        <v/>
      </c>
      <c r="AL155" s="68" t="str">
        <f aca="false">IF(AK155="","",IF(ABS(AK155)&lt;=Settings!$C$6,"BE",IF(AK155&gt;0,"Win","Loss")))</f>
        <v/>
      </c>
      <c r="AM155" s="79" t="str">
        <f aca="false">IF(OR(AK155="",AI155=""),"",ROUND(AK155*AI155-N(AH155),2))</f>
        <v/>
      </c>
      <c r="AN155" s="76" t="str">
        <f aca="false">IF(AM155="","",ROUND(BK155+SUMIFS(AM$6:AM155,BJ$6:BJ155,BJ155),2))</f>
        <v/>
      </c>
      <c r="AO155" s="78" t="str">
        <f aca="false">IF(AK155="","",ROUND(SUMIFS(AK$6:AK155,BJ$6:BJ155,BJ155),2))</f>
        <v/>
      </c>
      <c r="AP155" s="80" t="str">
        <f aca="false">IF(OR(AK155="",BL155=""),"",IFERROR(ROUND(IF(J155="Short",AB155-AE155,AE155-AB155)/BL155,1),""))</f>
        <v/>
      </c>
      <c r="AQ155" s="66" t="str">
        <f aca="false">IF(OR(G155="",H155=""),"",ROUND(MOD(H155-G155,1)*1440,0))</f>
        <v/>
      </c>
      <c r="AR155" s="68" t="str">
        <f aca="false">IF(AQ155="","",IF(AQ155&lt;15,"Under 15m",IF(AQ155&lt;60,"15-60m",IF(AQ155&lt;240,"1-4 hours","4+ hours"))))</f>
        <v/>
      </c>
      <c r="AS155" s="66" t="str">
        <f aca="false">IF(G155="","",HOUR(G155))</f>
        <v/>
      </c>
      <c r="AT155" s="80" t="str">
        <f aca="false">IF(OR(Z155="",AB155="",BL155=""),"",IFERROR(ROUND(IF(J155="Short",Z155-AB155,AB155-Z155)/BL155,1),""))</f>
        <v/>
      </c>
      <c r="AU155" s="68" t="str">
        <f aca="false">IF(OR(AA155="",AC155=""),"",IF(AA155=AC155,"No","Yes"))</f>
        <v/>
      </c>
      <c r="AV155" s="81" t="str">
        <f aca="false">IF(OR(B155="",BL155="",BM155="",AB155="",AC155=""),"",IFERROR(ROUND(AI155/(ABS(AB155-AC155)/BL155*BM155),2),""))</f>
        <v/>
      </c>
      <c r="AW155" s="76" t="str">
        <f aca="false">IF(B155="","",ROUND(BK155+SUMIFS(AM$5:AM154,BJ$5:BJ154,BJ155),2))</f>
        <v/>
      </c>
      <c r="AX155" s="66" t="str">
        <f aca="false">IF(B155="","",COUNTIFS(B$6:B155,B155,BJ$6:BJ155,BJ155))</f>
        <v/>
      </c>
      <c r="AY155" s="79" t="str">
        <f aca="false">IF(B155="","",ROUND(SUMIFS(AM$5:AM154,B$5:B154,B155,BJ$5:BJ154,BJ155),2))</f>
        <v/>
      </c>
      <c r="AZ155" s="79" t="str">
        <f aca="false">IF(AM155="","",ROUND(AY155+AM155,2))</f>
        <v/>
      </c>
      <c r="BA155" s="79" t="str">
        <f aca="false">IF(B155="","",ROUND(SUMIFS(AM$5:AM154,B$5:B154,"&gt;="&amp;(B155-WEEKDAY(B155,2)+1),B$5:B154,"&lt;="&amp;B155,BJ$5:BJ154,BJ155),2))</f>
        <v/>
      </c>
      <c r="BB155" s="68" t="str">
        <f aca="false">IF(B155="","",IF(AND(AF155&lt;&gt;"",AV155&lt;&gt;"",N(AF155)&gt;N(AV155)*(1+Settings!$C$13)),"Oversized",IF(AX155&gt;Settings!$C$10,"Overtraded",IF(AY155&lt;=-Settings!$C$11*(AW155-AY155),"Daily loss hit",IF(BA155&lt;=-Settings!$C$12*(AW155-BA155),"Weekly loss hit","OK")))))</f>
        <v/>
      </c>
      <c r="BC155" s="69"/>
      <c r="BD155" s="69"/>
      <c r="BE155" s="69"/>
      <c r="BF155" s="73"/>
      <c r="BG155" s="73"/>
      <c r="BH155" s="71"/>
      <c r="BI155" s="71"/>
      <c r="BJ155" s="68" t="str">
        <f aca="false">IF(B155="","",IF(E155="",Settings!$F$5,E155))</f>
        <v/>
      </c>
      <c r="BK155" s="76" t="str">
        <f aca="false">IF(B155="","",IFERROR(INDEX(Settings!$G$5:$G$10,MATCH(BJ155,Settings!$F$5:$F$10,0)),Settings!$G$5))</f>
        <v/>
      </c>
      <c r="BL155" s="82" t="str">
        <f aca="false">IF(I155="","",IFERROR(1/(1/INDEX(Lists!$C$6:$C$17,MATCH(I155,Lists!$B$6:$B$17,0))),""))</f>
        <v/>
      </c>
      <c r="BM155" s="81" t="str">
        <f aca="false">IF(I155="","",IFERROR(1/(1/INDEX(Lists!$D$6:$D$17,MATCH(I155,Lists!$B$6:$B$17,0))),""))</f>
        <v/>
      </c>
      <c r="BN155" s="76" t="str">
        <f aca="false">IF(AN155="","",MAX(BK155,_xlfn.MAXIFS(AN$6:AN155,BJ$6:BJ155,BJ155)))</f>
        <v/>
      </c>
      <c r="BO155" s="83" t="str">
        <f aca="false">IF(AN155="","",(AN155-BN155)/BN155)</f>
        <v/>
      </c>
      <c r="BP155" s="66" t="n">
        <f aca="false">IF(OR(B155="",AL155=""),0,IF(OR(Settings!$C$28="All Accounts",BJ155=Settings!$C$28),1,0))</f>
        <v>0</v>
      </c>
      <c r="BQ155" s="66" t="str">
        <f aca="false">IF(BP155=1,SUM(BP$6:BP155),"")</f>
        <v/>
      </c>
      <c r="BR155" s="76" t="str">
        <f aca="false">IF(BP155=1,ROUND(Settings!$C$29+SUMIFS(AM$6:AM155,BP$6:BP155,1),2),"")</f>
        <v/>
      </c>
      <c r="BS155" s="76" t="str">
        <f aca="false">IF(BP155=1,MAX(Settings!$C$29,MAX(BR$6:BR155)),"")</f>
        <v/>
      </c>
      <c r="BT155" s="83" t="str">
        <f aca="false">IF(BP155=1,(BR155-BS155)/BS155,"")</f>
        <v/>
      </c>
      <c r="BU155" s="66" t="str">
        <f aca="false">IF(BP155=1,IF(AL155="Win",1+IF(BQ155=1,0,INDEX(BU$5:BU154,MATCH(BQ155-1,BQ$5:BQ154,0))),0),"")</f>
        <v/>
      </c>
      <c r="BV155" s="66" t="str">
        <f aca="false">IF(BP155=1,IF(AL155="Loss",1+IF(BQ155=1,0,INDEX(BV$5:BV154,MATCH(BQ155-1,BQ$5:BQ154,0))),0),"")</f>
        <v/>
      </c>
    </row>
    <row r="156" customFormat="false" ht="15" hidden="false" customHeight="false" outlineLevel="0" collapsed="false">
      <c r="A156" s="66" t="str">
        <f aca="false">IF(B156="","",ROW()-5)</f>
        <v/>
      </c>
      <c r="B156" s="67"/>
      <c r="C156" s="68" t="str">
        <f aca="false">IF(B156="","",CHOOSE(WEEKDAY(B156,2),"Mon","Tue","Wed","Thu","Fri","Sat","Sun"))</f>
        <v/>
      </c>
      <c r="D156" s="66" t="str">
        <f aca="false">IF(B156="","",WEEKNUM(B156,2))</f>
        <v/>
      </c>
      <c r="E156" s="69"/>
      <c r="F156" s="69"/>
      <c r="G156" s="70"/>
      <c r="H156" s="70"/>
      <c r="I156" s="69"/>
      <c r="J156" s="69"/>
      <c r="K156" s="69"/>
      <c r="L156" s="71"/>
      <c r="M156" s="69"/>
      <c r="N156" s="69"/>
      <c r="O156" s="69"/>
      <c r="P156" s="71"/>
      <c r="Q156" s="69"/>
      <c r="R156" s="69"/>
      <c r="S156" s="69"/>
      <c r="T156" s="69"/>
      <c r="U156" s="69"/>
      <c r="V156" s="69"/>
      <c r="W156" s="69"/>
      <c r="X156" s="66" t="str">
        <f aca="false">IF(B156="","",COUNTIF(Q156:W156,"Yes"))</f>
        <v/>
      </c>
      <c r="Y156" s="68" t="str">
        <f aca="false">IF(B156="","",IF(X156&gt;=Settings!$C$16,"A+",IF(X156&gt;=Settings!$C$17,"A",IF(X156&gt;=Settings!$C$18,"B","C"))))</f>
        <v/>
      </c>
      <c r="Z156" s="72"/>
      <c r="AA156" s="72"/>
      <c r="AB156" s="72"/>
      <c r="AC156" s="72"/>
      <c r="AD156" s="72"/>
      <c r="AE156" s="72"/>
      <c r="AF156" s="73"/>
      <c r="AG156" s="74"/>
      <c r="AH156" s="75"/>
      <c r="AI156" s="76" t="str">
        <f aca="false">IF(B156="","",ROUND(IF(AG156="",Settings!$C$5,AG156)*AW156,2))</f>
        <v/>
      </c>
      <c r="AJ156" s="77" t="str">
        <f aca="false">IF(OR(B156="",AB156="",AC156="",AD156=""),"",IFERROR(ROUND(ABS(AD156-AB156)/ABS(AB156-AC156),2),""))</f>
        <v/>
      </c>
      <c r="AK156" s="78" t="str">
        <f aca="false">IF(OR(B156="",AB156="",AC156="",AE156=""),"",IFERROR(ROUND(IF(J156="Short",AB156-AE156,AE156-AB156)/ABS(AB156-AC156),2),""))</f>
        <v/>
      </c>
      <c r="AL156" s="68" t="str">
        <f aca="false">IF(AK156="","",IF(ABS(AK156)&lt;=Settings!$C$6,"BE",IF(AK156&gt;0,"Win","Loss")))</f>
        <v/>
      </c>
      <c r="AM156" s="79" t="str">
        <f aca="false">IF(OR(AK156="",AI156=""),"",ROUND(AK156*AI156-N(AH156),2))</f>
        <v/>
      </c>
      <c r="AN156" s="76" t="str">
        <f aca="false">IF(AM156="","",ROUND(BK156+SUMIFS(AM$6:AM156,BJ$6:BJ156,BJ156),2))</f>
        <v/>
      </c>
      <c r="AO156" s="78" t="str">
        <f aca="false">IF(AK156="","",ROUND(SUMIFS(AK$6:AK156,BJ$6:BJ156,BJ156),2))</f>
        <v/>
      </c>
      <c r="AP156" s="80" t="str">
        <f aca="false">IF(OR(AK156="",BL156=""),"",IFERROR(ROUND(IF(J156="Short",AB156-AE156,AE156-AB156)/BL156,1),""))</f>
        <v/>
      </c>
      <c r="AQ156" s="66" t="str">
        <f aca="false">IF(OR(G156="",H156=""),"",ROUND(MOD(H156-G156,1)*1440,0))</f>
        <v/>
      </c>
      <c r="AR156" s="68" t="str">
        <f aca="false">IF(AQ156="","",IF(AQ156&lt;15,"Under 15m",IF(AQ156&lt;60,"15-60m",IF(AQ156&lt;240,"1-4 hours","4+ hours"))))</f>
        <v/>
      </c>
      <c r="AS156" s="66" t="str">
        <f aca="false">IF(G156="","",HOUR(G156))</f>
        <v/>
      </c>
      <c r="AT156" s="80" t="str">
        <f aca="false">IF(OR(Z156="",AB156="",BL156=""),"",IFERROR(ROUND(IF(J156="Short",Z156-AB156,AB156-Z156)/BL156,1),""))</f>
        <v/>
      </c>
      <c r="AU156" s="68" t="str">
        <f aca="false">IF(OR(AA156="",AC156=""),"",IF(AA156=AC156,"No","Yes"))</f>
        <v/>
      </c>
      <c r="AV156" s="81" t="str">
        <f aca="false">IF(OR(B156="",BL156="",BM156="",AB156="",AC156=""),"",IFERROR(ROUND(AI156/(ABS(AB156-AC156)/BL156*BM156),2),""))</f>
        <v/>
      </c>
      <c r="AW156" s="76" t="str">
        <f aca="false">IF(B156="","",ROUND(BK156+SUMIFS(AM$5:AM155,BJ$5:BJ155,BJ156),2))</f>
        <v/>
      </c>
      <c r="AX156" s="66" t="str">
        <f aca="false">IF(B156="","",COUNTIFS(B$6:B156,B156,BJ$6:BJ156,BJ156))</f>
        <v/>
      </c>
      <c r="AY156" s="79" t="str">
        <f aca="false">IF(B156="","",ROUND(SUMIFS(AM$5:AM155,B$5:B155,B156,BJ$5:BJ155,BJ156),2))</f>
        <v/>
      </c>
      <c r="AZ156" s="79" t="str">
        <f aca="false">IF(AM156="","",ROUND(AY156+AM156,2))</f>
        <v/>
      </c>
      <c r="BA156" s="79" t="str">
        <f aca="false">IF(B156="","",ROUND(SUMIFS(AM$5:AM155,B$5:B155,"&gt;="&amp;(B156-WEEKDAY(B156,2)+1),B$5:B155,"&lt;="&amp;B156,BJ$5:BJ155,BJ156),2))</f>
        <v/>
      </c>
      <c r="BB156" s="68" t="str">
        <f aca="false">IF(B156="","",IF(AND(AF156&lt;&gt;"",AV156&lt;&gt;"",N(AF156)&gt;N(AV156)*(1+Settings!$C$13)),"Oversized",IF(AX156&gt;Settings!$C$10,"Overtraded",IF(AY156&lt;=-Settings!$C$11*(AW156-AY156),"Daily loss hit",IF(BA156&lt;=-Settings!$C$12*(AW156-BA156),"Weekly loss hit","OK")))))</f>
        <v/>
      </c>
      <c r="BC156" s="69"/>
      <c r="BD156" s="69"/>
      <c r="BE156" s="69"/>
      <c r="BF156" s="73"/>
      <c r="BG156" s="73"/>
      <c r="BH156" s="71"/>
      <c r="BI156" s="71"/>
      <c r="BJ156" s="68" t="str">
        <f aca="false">IF(B156="","",IF(E156="",Settings!$F$5,E156))</f>
        <v/>
      </c>
      <c r="BK156" s="76" t="str">
        <f aca="false">IF(B156="","",IFERROR(INDEX(Settings!$G$5:$G$10,MATCH(BJ156,Settings!$F$5:$F$10,0)),Settings!$G$5))</f>
        <v/>
      </c>
      <c r="BL156" s="82" t="str">
        <f aca="false">IF(I156="","",IFERROR(1/(1/INDEX(Lists!$C$6:$C$17,MATCH(I156,Lists!$B$6:$B$17,0))),""))</f>
        <v/>
      </c>
      <c r="BM156" s="81" t="str">
        <f aca="false">IF(I156="","",IFERROR(1/(1/INDEX(Lists!$D$6:$D$17,MATCH(I156,Lists!$B$6:$B$17,0))),""))</f>
        <v/>
      </c>
      <c r="BN156" s="76" t="str">
        <f aca="false">IF(AN156="","",MAX(BK156,_xlfn.MAXIFS(AN$6:AN156,BJ$6:BJ156,BJ156)))</f>
        <v/>
      </c>
      <c r="BO156" s="83" t="str">
        <f aca="false">IF(AN156="","",(AN156-BN156)/BN156)</f>
        <v/>
      </c>
      <c r="BP156" s="66" t="n">
        <f aca="false">IF(OR(B156="",AL156=""),0,IF(OR(Settings!$C$28="All Accounts",BJ156=Settings!$C$28),1,0))</f>
        <v>0</v>
      </c>
      <c r="BQ156" s="66" t="str">
        <f aca="false">IF(BP156=1,SUM(BP$6:BP156),"")</f>
        <v/>
      </c>
      <c r="BR156" s="76" t="str">
        <f aca="false">IF(BP156=1,ROUND(Settings!$C$29+SUMIFS(AM$6:AM156,BP$6:BP156,1),2),"")</f>
        <v/>
      </c>
      <c r="BS156" s="76" t="str">
        <f aca="false">IF(BP156=1,MAX(Settings!$C$29,MAX(BR$6:BR156)),"")</f>
        <v/>
      </c>
      <c r="BT156" s="83" t="str">
        <f aca="false">IF(BP156=1,(BR156-BS156)/BS156,"")</f>
        <v/>
      </c>
      <c r="BU156" s="66" t="str">
        <f aca="false">IF(BP156=1,IF(AL156="Win",1+IF(BQ156=1,0,INDEX(BU$5:BU155,MATCH(BQ156-1,BQ$5:BQ155,0))),0),"")</f>
        <v/>
      </c>
      <c r="BV156" s="66" t="str">
        <f aca="false">IF(BP156=1,IF(AL156="Loss",1+IF(BQ156=1,0,INDEX(BV$5:BV155,MATCH(BQ156-1,BQ$5:BQ155,0))),0),"")</f>
        <v/>
      </c>
    </row>
    <row r="157" customFormat="false" ht="15" hidden="false" customHeight="false" outlineLevel="0" collapsed="false">
      <c r="A157" s="66" t="str">
        <f aca="false">IF(B157="","",ROW()-5)</f>
        <v/>
      </c>
      <c r="B157" s="67"/>
      <c r="C157" s="68" t="str">
        <f aca="false">IF(B157="","",CHOOSE(WEEKDAY(B157,2),"Mon","Tue","Wed","Thu","Fri","Sat","Sun"))</f>
        <v/>
      </c>
      <c r="D157" s="66" t="str">
        <f aca="false">IF(B157="","",WEEKNUM(B157,2))</f>
        <v/>
      </c>
      <c r="E157" s="69"/>
      <c r="F157" s="69"/>
      <c r="G157" s="70"/>
      <c r="H157" s="70"/>
      <c r="I157" s="69"/>
      <c r="J157" s="69"/>
      <c r="K157" s="69"/>
      <c r="L157" s="71"/>
      <c r="M157" s="69"/>
      <c r="N157" s="69"/>
      <c r="O157" s="69"/>
      <c r="P157" s="71"/>
      <c r="Q157" s="69"/>
      <c r="R157" s="69"/>
      <c r="S157" s="69"/>
      <c r="T157" s="69"/>
      <c r="U157" s="69"/>
      <c r="V157" s="69"/>
      <c r="W157" s="69"/>
      <c r="X157" s="66" t="str">
        <f aca="false">IF(B157="","",COUNTIF(Q157:W157,"Yes"))</f>
        <v/>
      </c>
      <c r="Y157" s="68" t="str">
        <f aca="false">IF(B157="","",IF(X157&gt;=Settings!$C$16,"A+",IF(X157&gt;=Settings!$C$17,"A",IF(X157&gt;=Settings!$C$18,"B","C"))))</f>
        <v/>
      </c>
      <c r="Z157" s="72"/>
      <c r="AA157" s="72"/>
      <c r="AB157" s="72"/>
      <c r="AC157" s="72"/>
      <c r="AD157" s="72"/>
      <c r="AE157" s="72"/>
      <c r="AF157" s="73"/>
      <c r="AG157" s="74"/>
      <c r="AH157" s="75"/>
      <c r="AI157" s="76" t="str">
        <f aca="false">IF(B157="","",ROUND(IF(AG157="",Settings!$C$5,AG157)*AW157,2))</f>
        <v/>
      </c>
      <c r="AJ157" s="77" t="str">
        <f aca="false">IF(OR(B157="",AB157="",AC157="",AD157=""),"",IFERROR(ROUND(ABS(AD157-AB157)/ABS(AB157-AC157),2),""))</f>
        <v/>
      </c>
      <c r="AK157" s="78" t="str">
        <f aca="false">IF(OR(B157="",AB157="",AC157="",AE157=""),"",IFERROR(ROUND(IF(J157="Short",AB157-AE157,AE157-AB157)/ABS(AB157-AC157),2),""))</f>
        <v/>
      </c>
      <c r="AL157" s="68" t="str">
        <f aca="false">IF(AK157="","",IF(ABS(AK157)&lt;=Settings!$C$6,"BE",IF(AK157&gt;0,"Win","Loss")))</f>
        <v/>
      </c>
      <c r="AM157" s="79" t="str">
        <f aca="false">IF(OR(AK157="",AI157=""),"",ROUND(AK157*AI157-N(AH157),2))</f>
        <v/>
      </c>
      <c r="AN157" s="76" t="str">
        <f aca="false">IF(AM157="","",ROUND(BK157+SUMIFS(AM$6:AM157,BJ$6:BJ157,BJ157),2))</f>
        <v/>
      </c>
      <c r="AO157" s="78" t="str">
        <f aca="false">IF(AK157="","",ROUND(SUMIFS(AK$6:AK157,BJ$6:BJ157,BJ157),2))</f>
        <v/>
      </c>
      <c r="AP157" s="80" t="str">
        <f aca="false">IF(OR(AK157="",BL157=""),"",IFERROR(ROUND(IF(J157="Short",AB157-AE157,AE157-AB157)/BL157,1),""))</f>
        <v/>
      </c>
      <c r="AQ157" s="66" t="str">
        <f aca="false">IF(OR(G157="",H157=""),"",ROUND(MOD(H157-G157,1)*1440,0))</f>
        <v/>
      </c>
      <c r="AR157" s="68" t="str">
        <f aca="false">IF(AQ157="","",IF(AQ157&lt;15,"Under 15m",IF(AQ157&lt;60,"15-60m",IF(AQ157&lt;240,"1-4 hours","4+ hours"))))</f>
        <v/>
      </c>
      <c r="AS157" s="66" t="str">
        <f aca="false">IF(G157="","",HOUR(G157))</f>
        <v/>
      </c>
      <c r="AT157" s="80" t="str">
        <f aca="false">IF(OR(Z157="",AB157="",BL157=""),"",IFERROR(ROUND(IF(J157="Short",Z157-AB157,AB157-Z157)/BL157,1),""))</f>
        <v/>
      </c>
      <c r="AU157" s="68" t="str">
        <f aca="false">IF(OR(AA157="",AC157=""),"",IF(AA157=AC157,"No","Yes"))</f>
        <v/>
      </c>
      <c r="AV157" s="81" t="str">
        <f aca="false">IF(OR(B157="",BL157="",BM157="",AB157="",AC157=""),"",IFERROR(ROUND(AI157/(ABS(AB157-AC157)/BL157*BM157),2),""))</f>
        <v/>
      </c>
      <c r="AW157" s="76" t="str">
        <f aca="false">IF(B157="","",ROUND(BK157+SUMIFS(AM$5:AM156,BJ$5:BJ156,BJ157),2))</f>
        <v/>
      </c>
      <c r="AX157" s="66" t="str">
        <f aca="false">IF(B157="","",COUNTIFS(B$6:B157,B157,BJ$6:BJ157,BJ157))</f>
        <v/>
      </c>
      <c r="AY157" s="79" t="str">
        <f aca="false">IF(B157="","",ROUND(SUMIFS(AM$5:AM156,B$5:B156,B157,BJ$5:BJ156,BJ157),2))</f>
        <v/>
      </c>
      <c r="AZ157" s="79" t="str">
        <f aca="false">IF(AM157="","",ROUND(AY157+AM157,2))</f>
        <v/>
      </c>
      <c r="BA157" s="79" t="str">
        <f aca="false">IF(B157="","",ROUND(SUMIFS(AM$5:AM156,B$5:B156,"&gt;="&amp;(B157-WEEKDAY(B157,2)+1),B$5:B156,"&lt;="&amp;B157,BJ$5:BJ156,BJ157),2))</f>
        <v/>
      </c>
      <c r="BB157" s="68" t="str">
        <f aca="false">IF(B157="","",IF(AND(AF157&lt;&gt;"",AV157&lt;&gt;"",N(AF157)&gt;N(AV157)*(1+Settings!$C$13)),"Oversized",IF(AX157&gt;Settings!$C$10,"Overtraded",IF(AY157&lt;=-Settings!$C$11*(AW157-AY157),"Daily loss hit",IF(BA157&lt;=-Settings!$C$12*(AW157-BA157),"Weekly loss hit","OK")))))</f>
        <v/>
      </c>
      <c r="BC157" s="69"/>
      <c r="BD157" s="69"/>
      <c r="BE157" s="69"/>
      <c r="BF157" s="73"/>
      <c r="BG157" s="73"/>
      <c r="BH157" s="71"/>
      <c r="BI157" s="71"/>
      <c r="BJ157" s="68" t="str">
        <f aca="false">IF(B157="","",IF(E157="",Settings!$F$5,E157))</f>
        <v/>
      </c>
      <c r="BK157" s="76" t="str">
        <f aca="false">IF(B157="","",IFERROR(INDEX(Settings!$G$5:$G$10,MATCH(BJ157,Settings!$F$5:$F$10,0)),Settings!$G$5))</f>
        <v/>
      </c>
      <c r="BL157" s="82" t="str">
        <f aca="false">IF(I157="","",IFERROR(1/(1/INDEX(Lists!$C$6:$C$17,MATCH(I157,Lists!$B$6:$B$17,0))),""))</f>
        <v/>
      </c>
      <c r="BM157" s="81" t="str">
        <f aca="false">IF(I157="","",IFERROR(1/(1/INDEX(Lists!$D$6:$D$17,MATCH(I157,Lists!$B$6:$B$17,0))),""))</f>
        <v/>
      </c>
      <c r="BN157" s="76" t="str">
        <f aca="false">IF(AN157="","",MAX(BK157,_xlfn.MAXIFS(AN$6:AN157,BJ$6:BJ157,BJ157)))</f>
        <v/>
      </c>
      <c r="BO157" s="83" t="str">
        <f aca="false">IF(AN157="","",(AN157-BN157)/BN157)</f>
        <v/>
      </c>
      <c r="BP157" s="66" t="n">
        <f aca="false">IF(OR(B157="",AL157=""),0,IF(OR(Settings!$C$28="All Accounts",BJ157=Settings!$C$28),1,0))</f>
        <v>0</v>
      </c>
      <c r="BQ157" s="66" t="str">
        <f aca="false">IF(BP157=1,SUM(BP$6:BP157),"")</f>
        <v/>
      </c>
      <c r="BR157" s="76" t="str">
        <f aca="false">IF(BP157=1,ROUND(Settings!$C$29+SUMIFS(AM$6:AM157,BP$6:BP157,1),2),"")</f>
        <v/>
      </c>
      <c r="BS157" s="76" t="str">
        <f aca="false">IF(BP157=1,MAX(Settings!$C$29,MAX(BR$6:BR157)),"")</f>
        <v/>
      </c>
      <c r="BT157" s="83" t="str">
        <f aca="false">IF(BP157=1,(BR157-BS157)/BS157,"")</f>
        <v/>
      </c>
      <c r="BU157" s="66" t="str">
        <f aca="false">IF(BP157=1,IF(AL157="Win",1+IF(BQ157=1,0,INDEX(BU$5:BU156,MATCH(BQ157-1,BQ$5:BQ156,0))),0),"")</f>
        <v/>
      </c>
      <c r="BV157" s="66" t="str">
        <f aca="false">IF(BP157=1,IF(AL157="Loss",1+IF(BQ157=1,0,INDEX(BV$5:BV156,MATCH(BQ157-1,BQ$5:BQ156,0))),0),"")</f>
        <v/>
      </c>
    </row>
    <row r="158" customFormat="false" ht="15" hidden="false" customHeight="false" outlineLevel="0" collapsed="false">
      <c r="A158" s="66" t="str">
        <f aca="false">IF(B158="","",ROW()-5)</f>
        <v/>
      </c>
      <c r="B158" s="67"/>
      <c r="C158" s="68" t="str">
        <f aca="false">IF(B158="","",CHOOSE(WEEKDAY(B158,2),"Mon","Tue","Wed","Thu","Fri","Sat","Sun"))</f>
        <v/>
      </c>
      <c r="D158" s="66" t="str">
        <f aca="false">IF(B158="","",WEEKNUM(B158,2))</f>
        <v/>
      </c>
      <c r="E158" s="69"/>
      <c r="F158" s="69"/>
      <c r="G158" s="70"/>
      <c r="H158" s="70"/>
      <c r="I158" s="69"/>
      <c r="J158" s="69"/>
      <c r="K158" s="69"/>
      <c r="L158" s="71"/>
      <c r="M158" s="69"/>
      <c r="N158" s="69"/>
      <c r="O158" s="69"/>
      <c r="P158" s="71"/>
      <c r="Q158" s="69"/>
      <c r="R158" s="69"/>
      <c r="S158" s="69"/>
      <c r="T158" s="69"/>
      <c r="U158" s="69"/>
      <c r="V158" s="69"/>
      <c r="W158" s="69"/>
      <c r="X158" s="66" t="str">
        <f aca="false">IF(B158="","",COUNTIF(Q158:W158,"Yes"))</f>
        <v/>
      </c>
      <c r="Y158" s="68" t="str">
        <f aca="false">IF(B158="","",IF(X158&gt;=Settings!$C$16,"A+",IF(X158&gt;=Settings!$C$17,"A",IF(X158&gt;=Settings!$C$18,"B","C"))))</f>
        <v/>
      </c>
      <c r="Z158" s="72"/>
      <c r="AA158" s="72"/>
      <c r="AB158" s="72"/>
      <c r="AC158" s="72"/>
      <c r="AD158" s="72"/>
      <c r="AE158" s="72"/>
      <c r="AF158" s="73"/>
      <c r="AG158" s="74"/>
      <c r="AH158" s="75"/>
      <c r="AI158" s="76" t="str">
        <f aca="false">IF(B158="","",ROUND(IF(AG158="",Settings!$C$5,AG158)*AW158,2))</f>
        <v/>
      </c>
      <c r="AJ158" s="77" t="str">
        <f aca="false">IF(OR(B158="",AB158="",AC158="",AD158=""),"",IFERROR(ROUND(ABS(AD158-AB158)/ABS(AB158-AC158),2),""))</f>
        <v/>
      </c>
      <c r="AK158" s="78" t="str">
        <f aca="false">IF(OR(B158="",AB158="",AC158="",AE158=""),"",IFERROR(ROUND(IF(J158="Short",AB158-AE158,AE158-AB158)/ABS(AB158-AC158),2),""))</f>
        <v/>
      </c>
      <c r="AL158" s="68" t="str">
        <f aca="false">IF(AK158="","",IF(ABS(AK158)&lt;=Settings!$C$6,"BE",IF(AK158&gt;0,"Win","Loss")))</f>
        <v/>
      </c>
      <c r="AM158" s="79" t="str">
        <f aca="false">IF(OR(AK158="",AI158=""),"",ROUND(AK158*AI158-N(AH158),2))</f>
        <v/>
      </c>
      <c r="AN158" s="76" t="str">
        <f aca="false">IF(AM158="","",ROUND(BK158+SUMIFS(AM$6:AM158,BJ$6:BJ158,BJ158),2))</f>
        <v/>
      </c>
      <c r="AO158" s="78" t="str">
        <f aca="false">IF(AK158="","",ROUND(SUMIFS(AK$6:AK158,BJ$6:BJ158,BJ158),2))</f>
        <v/>
      </c>
      <c r="AP158" s="80" t="str">
        <f aca="false">IF(OR(AK158="",BL158=""),"",IFERROR(ROUND(IF(J158="Short",AB158-AE158,AE158-AB158)/BL158,1),""))</f>
        <v/>
      </c>
      <c r="AQ158" s="66" t="str">
        <f aca="false">IF(OR(G158="",H158=""),"",ROUND(MOD(H158-G158,1)*1440,0))</f>
        <v/>
      </c>
      <c r="AR158" s="68" t="str">
        <f aca="false">IF(AQ158="","",IF(AQ158&lt;15,"Under 15m",IF(AQ158&lt;60,"15-60m",IF(AQ158&lt;240,"1-4 hours","4+ hours"))))</f>
        <v/>
      </c>
      <c r="AS158" s="66" t="str">
        <f aca="false">IF(G158="","",HOUR(G158))</f>
        <v/>
      </c>
      <c r="AT158" s="80" t="str">
        <f aca="false">IF(OR(Z158="",AB158="",BL158=""),"",IFERROR(ROUND(IF(J158="Short",Z158-AB158,AB158-Z158)/BL158,1),""))</f>
        <v/>
      </c>
      <c r="AU158" s="68" t="str">
        <f aca="false">IF(OR(AA158="",AC158=""),"",IF(AA158=AC158,"No","Yes"))</f>
        <v/>
      </c>
      <c r="AV158" s="81" t="str">
        <f aca="false">IF(OR(B158="",BL158="",BM158="",AB158="",AC158=""),"",IFERROR(ROUND(AI158/(ABS(AB158-AC158)/BL158*BM158),2),""))</f>
        <v/>
      </c>
      <c r="AW158" s="76" t="str">
        <f aca="false">IF(B158="","",ROUND(BK158+SUMIFS(AM$5:AM157,BJ$5:BJ157,BJ158),2))</f>
        <v/>
      </c>
      <c r="AX158" s="66" t="str">
        <f aca="false">IF(B158="","",COUNTIFS(B$6:B158,B158,BJ$6:BJ158,BJ158))</f>
        <v/>
      </c>
      <c r="AY158" s="79" t="str">
        <f aca="false">IF(B158="","",ROUND(SUMIFS(AM$5:AM157,B$5:B157,B158,BJ$5:BJ157,BJ158),2))</f>
        <v/>
      </c>
      <c r="AZ158" s="79" t="str">
        <f aca="false">IF(AM158="","",ROUND(AY158+AM158,2))</f>
        <v/>
      </c>
      <c r="BA158" s="79" t="str">
        <f aca="false">IF(B158="","",ROUND(SUMIFS(AM$5:AM157,B$5:B157,"&gt;="&amp;(B158-WEEKDAY(B158,2)+1),B$5:B157,"&lt;="&amp;B158,BJ$5:BJ157,BJ158),2))</f>
        <v/>
      </c>
      <c r="BB158" s="68" t="str">
        <f aca="false">IF(B158="","",IF(AND(AF158&lt;&gt;"",AV158&lt;&gt;"",N(AF158)&gt;N(AV158)*(1+Settings!$C$13)),"Oversized",IF(AX158&gt;Settings!$C$10,"Overtraded",IF(AY158&lt;=-Settings!$C$11*(AW158-AY158),"Daily loss hit",IF(BA158&lt;=-Settings!$C$12*(AW158-BA158),"Weekly loss hit","OK")))))</f>
        <v/>
      </c>
      <c r="BC158" s="69"/>
      <c r="BD158" s="69"/>
      <c r="BE158" s="69"/>
      <c r="BF158" s="73"/>
      <c r="BG158" s="73"/>
      <c r="BH158" s="71"/>
      <c r="BI158" s="71"/>
      <c r="BJ158" s="68" t="str">
        <f aca="false">IF(B158="","",IF(E158="",Settings!$F$5,E158))</f>
        <v/>
      </c>
      <c r="BK158" s="76" t="str">
        <f aca="false">IF(B158="","",IFERROR(INDEX(Settings!$G$5:$G$10,MATCH(BJ158,Settings!$F$5:$F$10,0)),Settings!$G$5))</f>
        <v/>
      </c>
      <c r="BL158" s="82" t="str">
        <f aca="false">IF(I158="","",IFERROR(1/(1/INDEX(Lists!$C$6:$C$17,MATCH(I158,Lists!$B$6:$B$17,0))),""))</f>
        <v/>
      </c>
      <c r="BM158" s="81" t="str">
        <f aca="false">IF(I158="","",IFERROR(1/(1/INDEX(Lists!$D$6:$D$17,MATCH(I158,Lists!$B$6:$B$17,0))),""))</f>
        <v/>
      </c>
      <c r="BN158" s="76" t="str">
        <f aca="false">IF(AN158="","",MAX(BK158,_xlfn.MAXIFS(AN$6:AN158,BJ$6:BJ158,BJ158)))</f>
        <v/>
      </c>
      <c r="BO158" s="83" t="str">
        <f aca="false">IF(AN158="","",(AN158-BN158)/BN158)</f>
        <v/>
      </c>
      <c r="BP158" s="66" t="n">
        <f aca="false">IF(OR(B158="",AL158=""),0,IF(OR(Settings!$C$28="All Accounts",BJ158=Settings!$C$28),1,0))</f>
        <v>0</v>
      </c>
      <c r="BQ158" s="66" t="str">
        <f aca="false">IF(BP158=1,SUM(BP$6:BP158),"")</f>
        <v/>
      </c>
      <c r="BR158" s="76" t="str">
        <f aca="false">IF(BP158=1,ROUND(Settings!$C$29+SUMIFS(AM$6:AM158,BP$6:BP158,1),2),"")</f>
        <v/>
      </c>
      <c r="BS158" s="76" t="str">
        <f aca="false">IF(BP158=1,MAX(Settings!$C$29,MAX(BR$6:BR158)),"")</f>
        <v/>
      </c>
      <c r="BT158" s="83" t="str">
        <f aca="false">IF(BP158=1,(BR158-BS158)/BS158,"")</f>
        <v/>
      </c>
      <c r="BU158" s="66" t="str">
        <f aca="false">IF(BP158=1,IF(AL158="Win",1+IF(BQ158=1,0,INDEX(BU$5:BU157,MATCH(BQ158-1,BQ$5:BQ157,0))),0),"")</f>
        <v/>
      </c>
      <c r="BV158" s="66" t="str">
        <f aca="false">IF(BP158=1,IF(AL158="Loss",1+IF(BQ158=1,0,INDEX(BV$5:BV157,MATCH(BQ158-1,BQ$5:BQ157,0))),0),"")</f>
        <v/>
      </c>
    </row>
    <row r="159" customFormat="false" ht="15" hidden="false" customHeight="false" outlineLevel="0" collapsed="false">
      <c r="A159" s="66" t="str">
        <f aca="false">IF(B159="","",ROW()-5)</f>
        <v/>
      </c>
      <c r="B159" s="67"/>
      <c r="C159" s="68" t="str">
        <f aca="false">IF(B159="","",CHOOSE(WEEKDAY(B159,2),"Mon","Tue","Wed","Thu","Fri","Sat","Sun"))</f>
        <v/>
      </c>
      <c r="D159" s="66" t="str">
        <f aca="false">IF(B159="","",WEEKNUM(B159,2))</f>
        <v/>
      </c>
      <c r="E159" s="69"/>
      <c r="F159" s="69"/>
      <c r="G159" s="70"/>
      <c r="H159" s="70"/>
      <c r="I159" s="69"/>
      <c r="J159" s="69"/>
      <c r="K159" s="69"/>
      <c r="L159" s="71"/>
      <c r="M159" s="69"/>
      <c r="N159" s="69"/>
      <c r="O159" s="69"/>
      <c r="P159" s="71"/>
      <c r="Q159" s="69"/>
      <c r="R159" s="69"/>
      <c r="S159" s="69"/>
      <c r="T159" s="69"/>
      <c r="U159" s="69"/>
      <c r="V159" s="69"/>
      <c r="W159" s="69"/>
      <c r="X159" s="66" t="str">
        <f aca="false">IF(B159="","",COUNTIF(Q159:W159,"Yes"))</f>
        <v/>
      </c>
      <c r="Y159" s="68" t="str">
        <f aca="false">IF(B159="","",IF(X159&gt;=Settings!$C$16,"A+",IF(X159&gt;=Settings!$C$17,"A",IF(X159&gt;=Settings!$C$18,"B","C"))))</f>
        <v/>
      </c>
      <c r="Z159" s="72"/>
      <c r="AA159" s="72"/>
      <c r="AB159" s="72"/>
      <c r="AC159" s="72"/>
      <c r="AD159" s="72"/>
      <c r="AE159" s="72"/>
      <c r="AF159" s="73"/>
      <c r="AG159" s="74"/>
      <c r="AH159" s="75"/>
      <c r="AI159" s="76" t="str">
        <f aca="false">IF(B159="","",ROUND(IF(AG159="",Settings!$C$5,AG159)*AW159,2))</f>
        <v/>
      </c>
      <c r="AJ159" s="77" t="str">
        <f aca="false">IF(OR(B159="",AB159="",AC159="",AD159=""),"",IFERROR(ROUND(ABS(AD159-AB159)/ABS(AB159-AC159),2),""))</f>
        <v/>
      </c>
      <c r="AK159" s="78" t="str">
        <f aca="false">IF(OR(B159="",AB159="",AC159="",AE159=""),"",IFERROR(ROUND(IF(J159="Short",AB159-AE159,AE159-AB159)/ABS(AB159-AC159),2),""))</f>
        <v/>
      </c>
      <c r="AL159" s="68" t="str">
        <f aca="false">IF(AK159="","",IF(ABS(AK159)&lt;=Settings!$C$6,"BE",IF(AK159&gt;0,"Win","Loss")))</f>
        <v/>
      </c>
      <c r="AM159" s="79" t="str">
        <f aca="false">IF(OR(AK159="",AI159=""),"",ROUND(AK159*AI159-N(AH159),2))</f>
        <v/>
      </c>
      <c r="AN159" s="76" t="str">
        <f aca="false">IF(AM159="","",ROUND(BK159+SUMIFS(AM$6:AM159,BJ$6:BJ159,BJ159),2))</f>
        <v/>
      </c>
      <c r="AO159" s="78" t="str">
        <f aca="false">IF(AK159="","",ROUND(SUMIFS(AK$6:AK159,BJ$6:BJ159,BJ159),2))</f>
        <v/>
      </c>
      <c r="AP159" s="80" t="str">
        <f aca="false">IF(OR(AK159="",BL159=""),"",IFERROR(ROUND(IF(J159="Short",AB159-AE159,AE159-AB159)/BL159,1),""))</f>
        <v/>
      </c>
      <c r="AQ159" s="66" t="str">
        <f aca="false">IF(OR(G159="",H159=""),"",ROUND(MOD(H159-G159,1)*1440,0))</f>
        <v/>
      </c>
      <c r="AR159" s="68" t="str">
        <f aca="false">IF(AQ159="","",IF(AQ159&lt;15,"Under 15m",IF(AQ159&lt;60,"15-60m",IF(AQ159&lt;240,"1-4 hours","4+ hours"))))</f>
        <v/>
      </c>
      <c r="AS159" s="66" t="str">
        <f aca="false">IF(G159="","",HOUR(G159))</f>
        <v/>
      </c>
      <c r="AT159" s="80" t="str">
        <f aca="false">IF(OR(Z159="",AB159="",BL159=""),"",IFERROR(ROUND(IF(J159="Short",Z159-AB159,AB159-Z159)/BL159,1),""))</f>
        <v/>
      </c>
      <c r="AU159" s="68" t="str">
        <f aca="false">IF(OR(AA159="",AC159=""),"",IF(AA159=AC159,"No","Yes"))</f>
        <v/>
      </c>
      <c r="AV159" s="81" t="str">
        <f aca="false">IF(OR(B159="",BL159="",BM159="",AB159="",AC159=""),"",IFERROR(ROUND(AI159/(ABS(AB159-AC159)/BL159*BM159),2),""))</f>
        <v/>
      </c>
      <c r="AW159" s="76" t="str">
        <f aca="false">IF(B159="","",ROUND(BK159+SUMIFS(AM$5:AM158,BJ$5:BJ158,BJ159),2))</f>
        <v/>
      </c>
      <c r="AX159" s="66" t="str">
        <f aca="false">IF(B159="","",COUNTIFS(B$6:B159,B159,BJ$6:BJ159,BJ159))</f>
        <v/>
      </c>
      <c r="AY159" s="79" t="str">
        <f aca="false">IF(B159="","",ROUND(SUMIFS(AM$5:AM158,B$5:B158,B159,BJ$5:BJ158,BJ159),2))</f>
        <v/>
      </c>
      <c r="AZ159" s="79" t="str">
        <f aca="false">IF(AM159="","",ROUND(AY159+AM159,2))</f>
        <v/>
      </c>
      <c r="BA159" s="79" t="str">
        <f aca="false">IF(B159="","",ROUND(SUMIFS(AM$5:AM158,B$5:B158,"&gt;="&amp;(B159-WEEKDAY(B159,2)+1),B$5:B158,"&lt;="&amp;B159,BJ$5:BJ158,BJ159),2))</f>
        <v/>
      </c>
      <c r="BB159" s="68" t="str">
        <f aca="false">IF(B159="","",IF(AND(AF159&lt;&gt;"",AV159&lt;&gt;"",N(AF159)&gt;N(AV159)*(1+Settings!$C$13)),"Oversized",IF(AX159&gt;Settings!$C$10,"Overtraded",IF(AY159&lt;=-Settings!$C$11*(AW159-AY159),"Daily loss hit",IF(BA159&lt;=-Settings!$C$12*(AW159-BA159),"Weekly loss hit","OK")))))</f>
        <v/>
      </c>
      <c r="BC159" s="69"/>
      <c r="BD159" s="69"/>
      <c r="BE159" s="69"/>
      <c r="BF159" s="73"/>
      <c r="BG159" s="73"/>
      <c r="BH159" s="71"/>
      <c r="BI159" s="71"/>
      <c r="BJ159" s="68" t="str">
        <f aca="false">IF(B159="","",IF(E159="",Settings!$F$5,E159))</f>
        <v/>
      </c>
      <c r="BK159" s="76" t="str">
        <f aca="false">IF(B159="","",IFERROR(INDEX(Settings!$G$5:$G$10,MATCH(BJ159,Settings!$F$5:$F$10,0)),Settings!$G$5))</f>
        <v/>
      </c>
      <c r="BL159" s="82" t="str">
        <f aca="false">IF(I159="","",IFERROR(1/(1/INDEX(Lists!$C$6:$C$17,MATCH(I159,Lists!$B$6:$B$17,0))),""))</f>
        <v/>
      </c>
      <c r="BM159" s="81" t="str">
        <f aca="false">IF(I159="","",IFERROR(1/(1/INDEX(Lists!$D$6:$D$17,MATCH(I159,Lists!$B$6:$B$17,0))),""))</f>
        <v/>
      </c>
      <c r="BN159" s="76" t="str">
        <f aca="false">IF(AN159="","",MAX(BK159,_xlfn.MAXIFS(AN$6:AN159,BJ$6:BJ159,BJ159)))</f>
        <v/>
      </c>
      <c r="BO159" s="83" t="str">
        <f aca="false">IF(AN159="","",(AN159-BN159)/BN159)</f>
        <v/>
      </c>
      <c r="BP159" s="66" t="n">
        <f aca="false">IF(OR(B159="",AL159=""),0,IF(OR(Settings!$C$28="All Accounts",BJ159=Settings!$C$28),1,0))</f>
        <v>0</v>
      </c>
      <c r="BQ159" s="66" t="str">
        <f aca="false">IF(BP159=1,SUM(BP$6:BP159),"")</f>
        <v/>
      </c>
      <c r="BR159" s="76" t="str">
        <f aca="false">IF(BP159=1,ROUND(Settings!$C$29+SUMIFS(AM$6:AM159,BP$6:BP159,1),2),"")</f>
        <v/>
      </c>
      <c r="BS159" s="76" t="str">
        <f aca="false">IF(BP159=1,MAX(Settings!$C$29,MAX(BR$6:BR159)),"")</f>
        <v/>
      </c>
      <c r="BT159" s="83" t="str">
        <f aca="false">IF(BP159=1,(BR159-BS159)/BS159,"")</f>
        <v/>
      </c>
      <c r="BU159" s="66" t="str">
        <f aca="false">IF(BP159=1,IF(AL159="Win",1+IF(BQ159=1,0,INDEX(BU$5:BU158,MATCH(BQ159-1,BQ$5:BQ158,0))),0),"")</f>
        <v/>
      </c>
      <c r="BV159" s="66" t="str">
        <f aca="false">IF(BP159=1,IF(AL159="Loss",1+IF(BQ159=1,0,INDEX(BV$5:BV158,MATCH(BQ159-1,BQ$5:BQ158,0))),0),"")</f>
        <v/>
      </c>
    </row>
    <row r="160" customFormat="false" ht="15" hidden="false" customHeight="false" outlineLevel="0" collapsed="false">
      <c r="A160" s="66" t="str">
        <f aca="false">IF(B160="","",ROW()-5)</f>
        <v/>
      </c>
      <c r="B160" s="67"/>
      <c r="C160" s="68" t="str">
        <f aca="false">IF(B160="","",CHOOSE(WEEKDAY(B160,2),"Mon","Tue","Wed","Thu","Fri","Sat","Sun"))</f>
        <v/>
      </c>
      <c r="D160" s="66" t="str">
        <f aca="false">IF(B160="","",WEEKNUM(B160,2))</f>
        <v/>
      </c>
      <c r="E160" s="69"/>
      <c r="F160" s="69"/>
      <c r="G160" s="70"/>
      <c r="H160" s="70"/>
      <c r="I160" s="69"/>
      <c r="J160" s="69"/>
      <c r="K160" s="69"/>
      <c r="L160" s="71"/>
      <c r="M160" s="69"/>
      <c r="N160" s="69"/>
      <c r="O160" s="69"/>
      <c r="P160" s="71"/>
      <c r="Q160" s="69"/>
      <c r="R160" s="69"/>
      <c r="S160" s="69"/>
      <c r="T160" s="69"/>
      <c r="U160" s="69"/>
      <c r="V160" s="69"/>
      <c r="W160" s="69"/>
      <c r="X160" s="66" t="str">
        <f aca="false">IF(B160="","",COUNTIF(Q160:W160,"Yes"))</f>
        <v/>
      </c>
      <c r="Y160" s="68" t="str">
        <f aca="false">IF(B160="","",IF(X160&gt;=Settings!$C$16,"A+",IF(X160&gt;=Settings!$C$17,"A",IF(X160&gt;=Settings!$C$18,"B","C"))))</f>
        <v/>
      </c>
      <c r="Z160" s="72"/>
      <c r="AA160" s="72"/>
      <c r="AB160" s="72"/>
      <c r="AC160" s="72"/>
      <c r="AD160" s="72"/>
      <c r="AE160" s="72"/>
      <c r="AF160" s="73"/>
      <c r="AG160" s="74"/>
      <c r="AH160" s="75"/>
      <c r="AI160" s="76" t="str">
        <f aca="false">IF(B160="","",ROUND(IF(AG160="",Settings!$C$5,AG160)*AW160,2))</f>
        <v/>
      </c>
      <c r="AJ160" s="77" t="str">
        <f aca="false">IF(OR(B160="",AB160="",AC160="",AD160=""),"",IFERROR(ROUND(ABS(AD160-AB160)/ABS(AB160-AC160),2),""))</f>
        <v/>
      </c>
      <c r="AK160" s="78" t="str">
        <f aca="false">IF(OR(B160="",AB160="",AC160="",AE160=""),"",IFERROR(ROUND(IF(J160="Short",AB160-AE160,AE160-AB160)/ABS(AB160-AC160),2),""))</f>
        <v/>
      </c>
      <c r="AL160" s="68" t="str">
        <f aca="false">IF(AK160="","",IF(ABS(AK160)&lt;=Settings!$C$6,"BE",IF(AK160&gt;0,"Win","Loss")))</f>
        <v/>
      </c>
      <c r="AM160" s="79" t="str">
        <f aca="false">IF(OR(AK160="",AI160=""),"",ROUND(AK160*AI160-N(AH160),2))</f>
        <v/>
      </c>
      <c r="AN160" s="76" t="str">
        <f aca="false">IF(AM160="","",ROUND(BK160+SUMIFS(AM$6:AM160,BJ$6:BJ160,BJ160),2))</f>
        <v/>
      </c>
      <c r="AO160" s="78" t="str">
        <f aca="false">IF(AK160="","",ROUND(SUMIFS(AK$6:AK160,BJ$6:BJ160,BJ160),2))</f>
        <v/>
      </c>
      <c r="AP160" s="80" t="str">
        <f aca="false">IF(OR(AK160="",BL160=""),"",IFERROR(ROUND(IF(J160="Short",AB160-AE160,AE160-AB160)/BL160,1),""))</f>
        <v/>
      </c>
      <c r="AQ160" s="66" t="str">
        <f aca="false">IF(OR(G160="",H160=""),"",ROUND(MOD(H160-G160,1)*1440,0))</f>
        <v/>
      </c>
      <c r="AR160" s="68" t="str">
        <f aca="false">IF(AQ160="","",IF(AQ160&lt;15,"Under 15m",IF(AQ160&lt;60,"15-60m",IF(AQ160&lt;240,"1-4 hours","4+ hours"))))</f>
        <v/>
      </c>
      <c r="AS160" s="66" t="str">
        <f aca="false">IF(G160="","",HOUR(G160))</f>
        <v/>
      </c>
      <c r="AT160" s="80" t="str">
        <f aca="false">IF(OR(Z160="",AB160="",BL160=""),"",IFERROR(ROUND(IF(J160="Short",Z160-AB160,AB160-Z160)/BL160,1),""))</f>
        <v/>
      </c>
      <c r="AU160" s="68" t="str">
        <f aca="false">IF(OR(AA160="",AC160=""),"",IF(AA160=AC160,"No","Yes"))</f>
        <v/>
      </c>
      <c r="AV160" s="81" t="str">
        <f aca="false">IF(OR(B160="",BL160="",BM160="",AB160="",AC160=""),"",IFERROR(ROUND(AI160/(ABS(AB160-AC160)/BL160*BM160),2),""))</f>
        <v/>
      </c>
      <c r="AW160" s="76" t="str">
        <f aca="false">IF(B160="","",ROUND(BK160+SUMIFS(AM$5:AM159,BJ$5:BJ159,BJ160),2))</f>
        <v/>
      </c>
      <c r="AX160" s="66" t="str">
        <f aca="false">IF(B160="","",COUNTIFS(B$6:B160,B160,BJ$6:BJ160,BJ160))</f>
        <v/>
      </c>
      <c r="AY160" s="79" t="str">
        <f aca="false">IF(B160="","",ROUND(SUMIFS(AM$5:AM159,B$5:B159,B160,BJ$5:BJ159,BJ160),2))</f>
        <v/>
      </c>
      <c r="AZ160" s="79" t="str">
        <f aca="false">IF(AM160="","",ROUND(AY160+AM160,2))</f>
        <v/>
      </c>
      <c r="BA160" s="79" t="str">
        <f aca="false">IF(B160="","",ROUND(SUMIFS(AM$5:AM159,B$5:B159,"&gt;="&amp;(B160-WEEKDAY(B160,2)+1),B$5:B159,"&lt;="&amp;B160,BJ$5:BJ159,BJ160),2))</f>
        <v/>
      </c>
      <c r="BB160" s="68" t="str">
        <f aca="false">IF(B160="","",IF(AND(AF160&lt;&gt;"",AV160&lt;&gt;"",N(AF160)&gt;N(AV160)*(1+Settings!$C$13)),"Oversized",IF(AX160&gt;Settings!$C$10,"Overtraded",IF(AY160&lt;=-Settings!$C$11*(AW160-AY160),"Daily loss hit",IF(BA160&lt;=-Settings!$C$12*(AW160-BA160),"Weekly loss hit","OK")))))</f>
        <v/>
      </c>
      <c r="BC160" s="69"/>
      <c r="BD160" s="69"/>
      <c r="BE160" s="69"/>
      <c r="BF160" s="73"/>
      <c r="BG160" s="73"/>
      <c r="BH160" s="71"/>
      <c r="BI160" s="71"/>
      <c r="BJ160" s="68" t="str">
        <f aca="false">IF(B160="","",IF(E160="",Settings!$F$5,E160))</f>
        <v/>
      </c>
      <c r="BK160" s="76" t="str">
        <f aca="false">IF(B160="","",IFERROR(INDEX(Settings!$G$5:$G$10,MATCH(BJ160,Settings!$F$5:$F$10,0)),Settings!$G$5))</f>
        <v/>
      </c>
      <c r="BL160" s="82" t="str">
        <f aca="false">IF(I160="","",IFERROR(1/(1/INDEX(Lists!$C$6:$C$17,MATCH(I160,Lists!$B$6:$B$17,0))),""))</f>
        <v/>
      </c>
      <c r="BM160" s="81" t="str">
        <f aca="false">IF(I160="","",IFERROR(1/(1/INDEX(Lists!$D$6:$D$17,MATCH(I160,Lists!$B$6:$B$17,0))),""))</f>
        <v/>
      </c>
      <c r="BN160" s="76" t="str">
        <f aca="false">IF(AN160="","",MAX(BK160,_xlfn.MAXIFS(AN$6:AN160,BJ$6:BJ160,BJ160)))</f>
        <v/>
      </c>
      <c r="BO160" s="83" t="str">
        <f aca="false">IF(AN160="","",(AN160-BN160)/BN160)</f>
        <v/>
      </c>
      <c r="BP160" s="66" t="n">
        <f aca="false">IF(OR(B160="",AL160=""),0,IF(OR(Settings!$C$28="All Accounts",BJ160=Settings!$C$28),1,0))</f>
        <v>0</v>
      </c>
      <c r="BQ160" s="66" t="str">
        <f aca="false">IF(BP160=1,SUM(BP$6:BP160),"")</f>
        <v/>
      </c>
      <c r="BR160" s="76" t="str">
        <f aca="false">IF(BP160=1,ROUND(Settings!$C$29+SUMIFS(AM$6:AM160,BP$6:BP160,1),2),"")</f>
        <v/>
      </c>
      <c r="BS160" s="76" t="str">
        <f aca="false">IF(BP160=1,MAX(Settings!$C$29,MAX(BR$6:BR160)),"")</f>
        <v/>
      </c>
      <c r="BT160" s="83" t="str">
        <f aca="false">IF(BP160=1,(BR160-BS160)/BS160,"")</f>
        <v/>
      </c>
      <c r="BU160" s="66" t="str">
        <f aca="false">IF(BP160=1,IF(AL160="Win",1+IF(BQ160=1,0,INDEX(BU$5:BU159,MATCH(BQ160-1,BQ$5:BQ159,0))),0),"")</f>
        <v/>
      </c>
      <c r="BV160" s="66" t="str">
        <f aca="false">IF(BP160=1,IF(AL160="Loss",1+IF(BQ160=1,0,INDEX(BV$5:BV159,MATCH(BQ160-1,BQ$5:BQ159,0))),0),"")</f>
        <v/>
      </c>
    </row>
    <row r="161" customFormat="false" ht="15" hidden="false" customHeight="false" outlineLevel="0" collapsed="false">
      <c r="A161" s="66" t="str">
        <f aca="false">IF(B161="","",ROW()-5)</f>
        <v/>
      </c>
      <c r="B161" s="67"/>
      <c r="C161" s="68" t="str">
        <f aca="false">IF(B161="","",CHOOSE(WEEKDAY(B161,2),"Mon","Tue","Wed","Thu","Fri","Sat","Sun"))</f>
        <v/>
      </c>
      <c r="D161" s="66" t="str">
        <f aca="false">IF(B161="","",WEEKNUM(B161,2))</f>
        <v/>
      </c>
      <c r="E161" s="69"/>
      <c r="F161" s="69"/>
      <c r="G161" s="70"/>
      <c r="H161" s="70"/>
      <c r="I161" s="69"/>
      <c r="J161" s="69"/>
      <c r="K161" s="69"/>
      <c r="L161" s="71"/>
      <c r="M161" s="69"/>
      <c r="N161" s="69"/>
      <c r="O161" s="69"/>
      <c r="P161" s="71"/>
      <c r="Q161" s="69"/>
      <c r="R161" s="69"/>
      <c r="S161" s="69"/>
      <c r="T161" s="69"/>
      <c r="U161" s="69"/>
      <c r="V161" s="69"/>
      <c r="W161" s="69"/>
      <c r="X161" s="66" t="str">
        <f aca="false">IF(B161="","",COUNTIF(Q161:W161,"Yes"))</f>
        <v/>
      </c>
      <c r="Y161" s="68" t="str">
        <f aca="false">IF(B161="","",IF(X161&gt;=Settings!$C$16,"A+",IF(X161&gt;=Settings!$C$17,"A",IF(X161&gt;=Settings!$C$18,"B","C"))))</f>
        <v/>
      </c>
      <c r="Z161" s="72"/>
      <c r="AA161" s="72"/>
      <c r="AB161" s="72"/>
      <c r="AC161" s="72"/>
      <c r="AD161" s="72"/>
      <c r="AE161" s="72"/>
      <c r="AF161" s="73"/>
      <c r="AG161" s="74"/>
      <c r="AH161" s="75"/>
      <c r="AI161" s="76" t="str">
        <f aca="false">IF(B161="","",ROUND(IF(AG161="",Settings!$C$5,AG161)*AW161,2))</f>
        <v/>
      </c>
      <c r="AJ161" s="77" t="str">
        <f aca="false">IF(OR(B161="",AB161="",AC161="",AD161=""),"",IFERROR(ROUND(ABS(AD161-AB161)/ABS(AB161-AC161),2),""))</f>
        <v/>
      </c>
      <c r="AK161" s="78" t="str">
        <f aca="false">IF(OR(B161="",AB161="",AC161="",AE161=""),"",IFERROR(ROUND(IF(J161="Short",AB161-AE161,AE161-AB161)/ABS(AB161-AC161),2),""))</f>
        <v/>
      </c>
      <c r="AL161" s="68" t="str">
        <f aca="false">IF(AK161="","",IF(ABS(AK161)&lt;=Settings!$C$6,"BE",IF(AK161&gt;0,"Win","Loss")))</f>
        <v/>
      </c>
      <c r="AM161" s="79" t="str">
        <f aca="false">IF(OR(AK161="",AI161=""),"",ROUND(AK161*AI161-N(AH161),2))</f>
        <v/>
      </c>
      <c r="AN161" s="76" t="str">
        <f aca="false">IF(AM161="","",ROUND(BK161+SUMIFS(AM$6:AM161,BJ$6:BJ161,BJ161),2))</f>
        <v/>
      </c>
      <c r="AO161" s="78" t="str">
        <f aca="false">IF(AK161="","",ROUND(SUMIFS(AK$6:AK161,BJ$6:BJ161,BJ161),2))</f>
        <v/>
      </c>
      <c r="AP161" s="80" t="str">
        <f aca="false">IF(OR(AK161="",BL161=""),"",IFERROR(ROUND(IF(J161="Short",AB161-AE161,AE161-AB161)/BL161,1),""))</f>
        <v/>
      </c>
      <c r="AQ161" s="66" t="str">
        <f aca="false">IF(OR(G161="",H161=""),"",ROUND(MOD(H161-G161,1)*1440,0))</f>
        <v/>
      </c>
      <c r="AR161" s="68" t="str">
        <f aca="false">IF(AQ161="","",IF(AQ161&lt;15,"Under 15m",IF(AQ161&lt;60,"15-60m",IF(AQ161&lt;240,"1-4 hours","4+ hours"))))</f>
        <v/>
      </c>
      <c r="AS161" s="66" t="str">
        <f aca="false">IF(G161="","",HOUR(G161))</f>
        <v/>
      </c>
      <c r="AT161" s="80" t="str">
        <f aca="false">IF(OR(Z161="",AB161="",BL161=""),"",IFERROR(ROUND(IF(J161="Short",Z161-AB161,AB161-Z161)/BL161,1),""))</f>
        <v/>
      </c>
      <c r="AU161" s="68" t="str">
        <f aca="false">IF(OR(AA161="",AC161=""),"",IF(AA161=AC161,"No","Yes"))</f>
        <v/>
      </c>
      <c r="AV161" s="81" t="str">
        <f aca="false">IF(OR(B161="",BL161="",BM161="",AB161="",AC161=""),"",IFERROR(ROUND(AI161/(ABS(AB161-AC161)/BL161*BM161),2),""))</f>
        <v/>
      </c>
      <c r="AW161" s="76" t="str">
        <f aca="false">IF(B161="","",ROUND(BK161+SUMIFS(AM$5:AM160,BJ$5:BJ160,BJ161),2))</f>
        <v/>
      </c>
      <c r="AX161" s="66" t="str">
        <f aca="false">IF(B161="","",COUNTIFS(B$6:B161,B161,BJ$6:BJ161,BJ161))</f>
        <v/>
      </c>
      <c r="AY161" s="79" t="str">
        <f aca="false">IF(B161="","",ROUND(SUMIFS(AM$5:AM160,B$5:B160,B161,BJ$5:BJ160,BJ161),2))</f>
        <v/>
      </c>
      <c r="AZ161" s="79" t="str">
        <f aca="false">IF(AM161="","",ROUND(AY161+AM161,2))</f>
        <v/>
      </c>
      <c r="BA161" s="79" t="str">
        <f aca="false">IF(B161="","",ROUND(SUMIFS(AM$5:AM160,B$5:B160,"&gt;="&amp;(B161-WEEKDAY(B161,2)+1),B$5:B160,"&lt;="&amp;B161,BJ$5:BJ160,BJ161),2))</f>
        <v/>
      </c>
      <c r="BB161" s="68" t="str">
        <f aca="false">IF(B161="","",IF(AND(AF161&lt;&gt;"",AV161&lt;&gt;"",N(AF161)&gt;N(AV161)*(1+Settings!$C$13)),"Oversized",IF(AX161&gt;Settings!$C$10,"Overtraded",IF(AY161&lt;=-Settings!$C$11*(AW161-AY161),"Daily loss hit",IF(BA161&lt;=-Settings!$C$12*(AW161-BA161),"Weekly loss hit","OK")))))</f>
        <v/>
      </c>
      <c r="BC161" s="69"/>
      <c r="BD161" s="69"/>
      <c r="BE161" s="69"/>
      <c r="BF161" s="73"/>
      <c r="BG161" s="73"/>
      <c r="BH161" s="71"/>
      <c r="BI161" s="71"/>
      <c r="BJ161" s="68" t="str">
        <f aca="false">IF(B161="","",IF(E161="",Settings!$F$5,E161))</f>
        <v/>
      </c>
      <c r="BK161" s="76" t="str">
        <f aca="false">IF(B161="","",IFERROR(INDEX(Settings!$G$5:$G$10,MATCH(BJ161,Settings!$F$5:$F$10,0)),Settings!$G$5))</f>
        <v/>
      </c>
      <c r="BL161" s="82" t="str">
        <f aca="false">IF(I161="","",IFERROR(1/(1/INDEX(Lists!$C$6:$C$17,MATCH(I161,Lists!$B$6:$B$17,0))),""))</f>
        <v/>
      </c>
      <c r="BM161" s="81" t="str">
        <f aca="false">IF(I161="","",IFERROR(1/(1/INDEX(Lists!$D$6:$D$17,MATCH(I161,Lists!$B$6:$B$17,0))),""))</f>
        <v/>
      </c>
      <c r="BN161" s="76" t="str">
        <f aca="false">IF(AN161="","",MAX(BK161,_xlfn.MAXIFS(AN$6:AN161,BJ$6:BJ161,BJ161)))</f>
        <v/>
      </c>
      <c r="BO161" s="83" t="str">
        <f aca="false">IF(AN161="","",(AN161-BN161)/BN161)</f>
        <v/>
      </c>
      <c r="BP161" s="66" t="n">
        <f aca="false">IF(OR(B161="",AL161=""),0,IF(OR(Settings!$C$28="All Accounts",BJ161=Settings!$C$28),1,0))</f>
        <v>0</v>
      </c>
      <c r="BQ161" s="66" t="str">
        <f aca="false">IF(BP161=1,SUM(BP$6:BP161),"")</f>
        <v/>
      </c>
      <c r="BR161" s="76" t="str">
        <f aca="false">IF(BP161=1,ROUND(Settings!$C$29+SUMIFS(AM$6:AM161,BP$6:BP161,1),2),"")</f>
        <v/>
      </c>
      <c r="BS161" s="76" t="str">
        <f aca="false">IF(BP161=1,MAX(Settings!$C$29,MAX(BR$6:BR161)),"")</f>
        <v/>
      </c>
      <c r="BT161" s="83" t="str">
        <f aca="false">IF(BP161=1,(BR161-BS161)/BS161,"")</f>
        <v/>
      </c>
      <c r="BU161" s="66" t="str">
        <f aca="false">IF(BP161=1,IF(AL161="Win",1+IF(BQ161=1,0,INDEX(BU$5:BU160,MATCH(BQ161-1,BQ$5:BQ160,0))),0),"")</f>
        <v/>
      </c>
      <c r="BV161" s="66" t="str">
        <f aca="false">IF(BP161=1,IF(AL161="Loss",1+IF(BQ161=1,0,INDEX(BV$5:BV160,MATCH(BQ161-1,BQ$5:BQ160,0))),0),"")</f>
        <v/>
      </c>
    </row>
    <row r="162" customFormat="false" ht="15" hidden="false" customHeight="false" outlineLevel="0" collapsed="false">
      <c r="A162" s="66" t="str">
        <f aca="false">IF(B162="","",ROW()-5)</f>
        <v/>
      </c>
      <c r="B162" s="67"/>
      <c r="C162" s="68" t="str">
        <f aca="false">IF(B162="","",CHOOSE(WEEKDAY(B162,2),"Mon","Tue","Wed","Thu","Fri","Sat","Sun"))</f>
        <v/>
      </c>
      <c r="D162" s="66" t="str">
        <f aca="false">IF(B162="","",WEEKNUM(B162,2))</f>
        <v/>
      </c>
      <c r="E162" s="69"/>
      <c r="F162" s="69"/>
      <c r="G162" s="70"/>
      <c r="H162" s="70"/>
      <c r="I162" s="69"/>
      <c r="J162" s="69"/>
      <c r="K162" s="69"/>
      <c r="L162" s="71"/>
      <c r="M162" s="69"/>
      <c r="N162" s="69"/>
      <c r="O162" s="69"/>
      <c r="P162" s="71"/>
      <c r="Q162" s="69"/>
      <c r="R162" s="69"/>
      <c r="S162" s="69"/>
      <c r="T162" s="69"/>
      <c r="U162" s="69"/>
      <c r="V162" s="69"/>
      <c r="W162" s="69"/>
      <c r="X162" s="66" t="str">
        <f aca="false">IF(B162="","",COUNTIF(Q162:W162,"Yes"))</f>
        <v/>
      </c>
      <c r="Y162" s="68" t="str">
        <f aca="false">IF(B162="","",IF(X162&gt;=Settings!$C$16,"A+",IF(X162&gt;=Settings!$C$17,"A",IF(X162&gt;=Settings!$C$18,"B","C"))))</f>
        <v/>
      </c>
      <c r="Z162" s="72"/>
      <c r="AA162" s="72"/>
      <c r="AB162" s="72"/>
      <c r="AC162" s="72"/>
      <c r="AD162" s="72"/>
      <c r="AE162" s="72"/>
      <c r="AF162" s="73"/>
      <c r="AG162" s="74"/>
      <c r="AH162" s="75"/>
      <c r="AI162" s="76" t="str">
        <f aca="false">IF(B162="","",ROUND(IF(AG162="",Settings!$C$5,AG162)*AW162,2))</f>
        <v/>
      </c>
      <c r="AJ162" s="77" t="str">
        <f aca="false">IF(OR(B162="",AB162="",AC162="",AD162=""),"",IFERROR(ROUND(ABS(AD162-AB162)/ABS(AB162-AC162),2),""))</f>
        <v/>
      </c>
      <c r="AK162" s="78" t="str">
        <f aca="false">IF(OR(B162="",AB162="",AC162="",AE162=""),"",IFERROR(ROUND(IF(J162="Short",AB162-AE162,AE162-AB162)/ABS(AB162-AC162),2),""))</f>
        <v/>
      </c>
      <c r="AL162" s="68" t="str">
        <f aca="false">IF(AK162="","",IF(ABS(AK162)&lt;=Settings!$C$6,"BE",IF(AK162&gt;0,"Win","Loss")))</f>
        <v/>
      </c>
      <c r="AM162" s="79" t="str">
        <f aca="false">IF(OR(AK162="",AI162=""),"",ROUND(AK162*AI162-N(AH162),2))</f>
        <v/>
      </c>
      <c r="AN162" s="76" t="str">
        <f aca="false">IF(AM162="","",ROUND(BK162+SUMIFS(AM$6:AM162,BJ$6:BJ162,BJ162),2))</f>
        <v/>
      </c>
      <c r="AO162" s="78" t="str">
        <f aca="false">IF(AK162="","",ROUND(SUMIFS(AK$6:AK162,BJ$6:BJ162,BJ162),2))</f>
        <v/>
      </c>
      <c r="AP162" s="80" t="str">
        <f aca="false">IF(OR(AK162="",BL162=""),"",IFERROR(ROUND(IF(J162="Short",AB162-AE162,AE162-AB162)/BL162,1),""))</f>
        <v/>
      </c>
      <c r="AQ162" s="66" t="str">
        <f aca="false">IF(OR(G162="",H162=""),"",ROUND(MOD(H162-G162,1)*1440,0))</f>
        <v/>
      </c>
      <c r="AR162" s="68" t="str">
        <f aca="false">IF(AQ162="","",IF(AQ162&lt;15,"Under 15m",IF(AQ162&lt;60,"15-60m",IF(AQ162&lt;240,"1-4 hours","4+ hours"))))</f>
        <v/>
      </c>
      <c r="AS162" s="66" t="str">
        <f aca="false">IF(G162="","",HOUR(G162))</f>
        <v/>
      </c>
      <c r="AT162" s="80" t="str">
        <f aca="false">IF(OR(Z162="",AB162="",BL162=""),"",IFERROR(ROUND(IF(J162="Short",Z162-AB162,AB162-Z162)/BL162,1),""))</f>
        <v/>
      </c>
      <c r="AU162" s="68" t="str">
        <f aca="false">IF(OR(AA162="",AC162=""),"",IF(AA162=AC162,"No","Yes"))</f>
        <v/>
      </c>
      <c r="AV162" s="81" t="str">
        <f aca="false">IF(OR(B162="",BL162="",BM162="",AB162="",AC162=""),"",IFERROR(ROUND(AI162/(ABS(AB162-AC162)/BL162*BM162),2),""))</f>
        <v/>
      </c>
      <c r="AW162" s="76" t="str">
        <f aca="false">IF(B162="","",ROUND(BK162+SUMIFS(AM$5:AM161,BJ$5:BJ161,BJ162),2))</f>
        <v/>
      </c>
      <c r="AX162" s="66" t="str">
        <f aca="false">IF(B162="","",COUNTIFS(B$6:B162,B162,BJ$6:BJ162,BJ162))</f>
        <v/>
      </c>
      <c r="AY162" s="79" t="str">
        <f aca="false">IF(B162="","",ROUND(SUMIFS(AM$5:AM161,B$5:B161,B162,BJ$5:BJ161,BJ162),2))</f>
        <v/>
      </c>
      <c r="AZ162" s="79" t="str">
        <f aca="false">IF(AM162="","",ROUND(AY162+AM162,2))</f>
        <v/>
      </c>
      <c r="BA162" s="79" t="str">
        <f aca="false">IF(B162="","",ROUND(SUMIFS(AM$5:AM161,B$5:B161,"&gt;="&amp;(B162-WEEKDAY(B162,2)+1),B$5:B161,"&lt;="&amp;B162,BJ$5:BJ161,BJ162),2))</f>
        <v/>
      </c>
      <c r="BB162" s="68" t="str">
        <f aca="false">IF(B162="","",IF(AND(AF162&lt;&gt;"",AV162&lt;&gt;"",N(AF162)&gt;N(AV162)*(1+Settings!$C$13)),"Oversized",IF(AX162&gt;Settings!$C$10,"Overtraded",IF(AY162&lt;=-Settings!$C$11*(AW162-AY162),"Daily loss hit",IF(BA162&lt;=-Settings!$C$12*(AW162-BA162),"Weekly loss hit","OK")))))</f>
        <v/>
      </c>
      <c r="BC162" s="69"/>
      <c r="BD162" s="69"/>
      <c r="BE162" s="69"/>
      <c r="BF162" s="73"/>
      <c r="BG162" s="73"/>
      <c r="BH162" s="71"/>
      <c r="BI162" s="71"/>
      <c r="BJ162" s="68" t="str">
        <f aca="false">IF(B162="","",IF(E162="",Settings!$F$5,E162))</f>
        <v/>
      </c>
      <c r="BK162" s="76" t="str">
        <f aca="false">IF(B162="","",IFERROR(INDEX(Settings!$G$5:$G$10,MATCH(BJ162,Settings!$F$5:$F$10,0)),Settings!$G$5))</f>
        <v/>
      </c>
      <c r="BL162" s="82" t="str">
        <f aca="false">IF(I162="","",IFERROR(1/(1/INDEX(Lists!$C$6:$C$17,MATCH(I162,Lists!$B$6:$B$17,0))),""))</f>
        <v/>
      </c>
      <c r="BM162" s="81" t="str">
        <f aca="false">IF(I162="","",IFERROR(1/(1/INDEX(Lists!$D$6:$D$17,MATCH(I162,Lists!$B$6:$B$17,0))),""))</f>
        <v/>
      </c>
      <c r="BN162" s="76" t="str">
        <f aca="false">IF(AN162="","",MAX(BK162,_xlfn.MAXIFS(AN$6:AN162,BJ$6:BJ162,BJ162)))</f>
        <v/>
      </c>
      <c r="BO162" s="83" t="str">
        <f aca="false">IF(AN162="","",(AN162-BN162)/BN162)</f>
        <v/>
      </c>
      <c r="BP162" s="66" t="n">
        <f aca="false">IF(OR(B162="",AL162=""),0,IF(OR(Settings!$C$28="All Accounts",BJ162=Settings!$C$28),1,0))</f>
        <v>0</v>
      </c>
      <c r="BQ162" s="66" t="str">
        <f aca="false">IF(BP162=1,SUM(BP$6:BP162),"")</f>
        <v/>
      </c>
      <c r="BR162" s="76" t="str">
        <f aca="false">IF(BP162=1,ROUND(Settings!$C$29+SUMIFS(AM$6:AM162,BP$6:BP162,1),2),"")</f>
        <v/>
      </c>
      <c r="BS162" s="76" t="str">
        <f aca="false">IF(BP162=1,MAX(Settings!$C$29,MAX(BR$6:BR162)),"")</f>
        <v/>
      </c>
      <c r="BT162" s="83" t="str">
        <f aca="false">IF(BP162=1,(BR162-BS162)/BS162,"")</f>
        <v/>
      </c>
      <c r="BU162" s="66" t="str">
        <f aca="false">IF(BP162=1,IF(AL162="Win",1+IF(BQ162=1,0,INDEX(BU$5:BU161,MATCH(BQ162-1,BQ$5:BQ161,0))),0),"")</f>
        <v/>
      </c>
      <c r="BV162" s="66" t="str">
        <f aca="false">IF(BP162=1,IF(AL162="Loss",1+IF(BQ162=1,0,INDEX(BV$5:BV161,MATCH(BQ162-1,BQ$5:BQ161,0))),0),"")</f>
        <v/>
      </c>
    </row>
    <row r="163" customFormat="false" ht="15" hidden="false" customHeight="false" outlineLevel="0" collapsed="false">
      <c r="A163" s="66" t="str">
        <f aca="false">IF(B163="","",ROW()-5)</f>
        <v/>
      </c>
      <c r="B163" s="67"/>
      <c r="C163" s="68" t="str">
        <f aca="false">IF(B163="","",CHOOSE(WEEKDAY(B163,2),"Mon","Tue","Wed","Thu","Fri","Sat","Sun"))</f>
        <v/>
      </c>
      <c r="D163" s="66" t="str">
        <f aca="false">IF(B163="","",WEEKNUM(B163,2))</f>
        <v/>
      </c>
      <c r="E163" s="69"/>
      <c r="F163" s="69"/>
      <c r="G163" s="70"/>
      <c r="H163" s="70"/>
      <c r="I163" s="69"/>
      <c r="J163" s="69"/>
      <c r="K163" s="69"/>
      <c r="L163" s="71"/>
      <c r="M163" s="69"/>
      <c r="N163" s="69"/>
      <c r="O163" s="69"/>
      <c r="P163" s="71"/>
      <c r="Q163" s="69"/>
      <c r="R163" s="69"/>
      <c r="S163" s="69"/>
      <c r="T163" s="69"/>
      <c r="U163" s="69"/>
      <c r="V163" s="69"/>
      <c r="W163" s="69"/>
      <c r="X163" s="66" t="str">
        <f aca="false">IF(B163="","",COUNTIF(Q163:W163,"Yes"))</f>
        <v/>
      </c>
      <c r="Y163" s="68" t="str">
        <f aca="false">IF(B163="","",IF(X163&gt;=Settings!$C$16,"A+",IF(X163&gt;=Settings!$C$17,"A",IF(X163&gt;=Settings!$C$18,"B","C"))))</f>
        <v/>
      </c>
      <c r="Z163" s="72"/>
      <c r="AA163" s="72"/>
      <c r="AB163" s="72"/>
      <c r="AC163" s="72"/>
      <c r="AD163" s="72"/>
      <c r="AE163" s="72"/>
      <c r="AF163" s="73"/>
      <c r="AG163" s="74"/>
      <c r="AH163" s="75"/>
      <c r="AI163" s="76" t="str">
        <f aca="false">IF(B163="","",ROUND(IF(AG163="",Settings!$C$5,AG163)*AW163,2))</f>
        <v/>
      </c>
      <c r="AJ163" s="77" t="str">
        <f aca="false">IF(OR(B163="",AB163="",AC163="",AD163=""),"",IFERROR(ROUND(ABS(AD163-AB163)/ABS(AB163-AC163),2),""))</f>
        <v/>
      </c>
      <c r="AK163" s="78" t="str">
        <f aca="false">IF(OR(B163="",AB163="",AC163="",AE163=""),"",IFERROR(ROUND(IF(J163="Short",AB163-AE163,AE163-AB163)/ABS(AB163-AC163),2),""))</f>
        <v/>
      </c>
      <c r="AL163" s="68" t="str">
        <f aca="false">IF(AK163="","",IF(ABS(AK163)&lt;=Settings!$C$6,"BE",IF(AK163&gt;0,"Win","Loss")))</f>
        <v/>
      </c>
      <c r="AM163" s="79" t="str">
        <f aca="false">IF(OR(AK163="",AI163=""),"",ROUND(AK163*AI163-N(AH163),2))</f>
        <v/>
      </c>
      <c r="AN163" s="76" t="str">
        <f aca="false">IF(AM163="","",ROUND(BK163+SUMIFS(AM$6:AM163,BJ$6:BJ163,BJ163),2))</f>
        <v/>
      </c>
      <c r="AO163" s="78" t="str">
        <f aca="false">IF(AK163="","",ROUND(SUMIFS(AK$6:AK163,BJ$6:BJ163,BJ163),2))</f>
        <v/>
      </c>
      <c r="AP163" s="80" t="str">
        <f aca="false">IF(OR(AK163="",BL163=""),"",IFERROR(ROUND(IF(J163="Short",AB163-AE163,AE163-AB163)/BL163,1),""))</f>
        <v/>
      </c>
      <c r="AQ163" s="66" t="str">
        <f aca="false">IF(OR(G163="",H163=""),"",ROUND(MOD(H163-G163,1)*1440,0))</f>
        <v/>
      </c>
      <c r="AR163" s="68" t="str">
        <f aca="false">IF(AQ163="","",IF(AQ163&lt;15,"Under 15m",IF(AQ163&lt;60,"15-60m",IF(AQ163&lt;240,"1-4 hours","4+ hours"))))</f>
        <v/>
      </c>
      <c r="AS163" s="66" t="str">
        <f aca="false">IF(G163="","",HOUR(G163))</f>
        <v/>
      </c>
      <c r="AT163" s="80" t="str">
        <f aca="false">IF(OR(Z163="",AB163="",BL163=""),"",IFERROR(ROUND(IF(J163="Short",Z163-AB163,AB163-Z163)/BL163,1),""))</f>
        <v/>
      </c>
      <c r="AU163" s="68" t="str">
        <f aca="false">IF(OR(AA163="",AC163=""),"",IF(AA163=AC163,"No","Yes"))</f>
        <v/>
      </c>
      <c r="AV163" s="81" t="str">
        <f aca="false">IF(OR(B163="",BL163="",BM163="",AB163="",AC163=""),"",IFERROR(ROUND(AI163/(ABS(AB163-AC163)/BL163*BM163),2),""))</f>
        <v/>
      </c>
      <c r="AW163" s="76" t="str">
        <f aca="false">IF(B163="","",ROUND(BK163+SUMIFS(AM$5:AM162,BJ$5:BJ162,BJ163),2))</f>
        <v/>
      </c>
      <c r="AX163" s="66" t="str">
        <f aca="false">IF(B163="","",COUNTIFS(B$6:B163,B163,BJ$6:BJ163,BJ163))</f>
        <v/>
      </c>
      <c r="AY163" s="79" t="str">
        <f aca="false">IF(B163="","",ROUND(SUMIFS(AM$5:AM162,B$5:B162,B163,BJ$5:BJ162,BJ163),2))</f>
        <v/>
      </c>
      <c r="AZ163" s="79" t="str">
        <f aca="false">IF(AM163="","",ROUND(AY163+AM163,2))</f>
        <v/>
      </c>
      <c r="BA163" s="79" t="str">
        <f aca="false">IF(B163="","",ROUND(SUMIFS(AM$5:AM162,B$5:B162,"&gt;="&amp;(B163-WEEKDAY(B163,2)+1),B$5:B162,"&lt;="&amp;B163,BJ$5:BJ162,BJ163),2))</f>
        <v/>
      </c>
      <c r="BB163" s="68" t="str">
        <f aca="false">IF(B163="","",IF(AND(AF163&lt;&gt;"",AV163&lt;&gt;"",N(AF163)&gt;N(AV163)*(1+Settings!$C$13)),"Oversized",IF(AX163&gt;Settings!$C$10,"Overtraded",IF(AY163&lt;=-Settings!$C$11*(AW163-AY163),"Daily loss hit",IF(BA163&lt;=-Settings!$C$12*(AW163-BA163),"Weekly loss hit","OK")))))</f>
        <v/>
      </c>
      <c r="BC163" s="69"/>
      <c r="BD163" s="69"/>
      <c r="BE163" s="69"/>
      <c r="BF163" s="73"/>
      <c r="BG163" s="73"/>
      <c r="BH163" s="71"/>
      <c r="BI163" s="71"/>
      <c r="BJ163" s="68" t="str">
        <f aca="false">IF(B163="","",IF(E163="",Settings!$F$5,E163))</f>
        <v/>
      </c>
      <c r="BK163" s="76" t="str">
        <f aca="false">IF(B163="","",IFERROR(INDEX(Settings!$G$5:$G$10,MATCH(BJ163,Settings!$F$5:$F$10,0)),Settings!$G$5))</f>
        <v/>
      </c>
      <c r="BL163" s="82" t="str">
        <f aca="false">IF(I163="","",IFERROR(1/(1/INDEX(Lists!$C$6:$C$17,MATCH(I163,Lists!$B$6:$B$17,0))),""))</f>
        <v/>
      </c>
      <c r="BM163" s="81" t="str">
        <f aca="false">IF(I163="","",IFERROR(1/(1/INDEX(Lists!$D$6:$D$17,MATCH(I163,Lists!$B$6:$B$17,0))),""))</f>
        <v/>
      </c>
      <c r="BN163" s="76" t="str">
        <f aca="false">IF(AN163="","",MAX(BK163,_xlfn.MAXIFS(AN$6:AN163,BJ$6:BJ163,BJ163)))</f>
        <v/>
      </c>
      <c r="BO163" s="83" t="str">
        <f aca="false">IF(AN163="","",(AN163-BN163)/BN163)</f>
        <v/>
      </c>
      <c r="BP163" s="66" t="n">
        <f aca="false">IF(OR(B163="",AL163=""),0,IF(OR(Settings!$C$28="All Accounts",BJ163=Settings!$C$28),1,0))</f>
        <v>0</v>
      </c>
      <c r="BQ163" s="66" t="str">
        <f aca="false">IF(BP163=1,SUM(BP$6:BP163),"")</f>
        <v/>
      </c>
      <c r="BR163" s="76" t="str">
        <f aca="false">IF(BP163=1,ROUND(Settings!$C$29+SUMIFS(AM$6:AM163,BP$6:BP163,1),2),"")</f>
        <v/>
      </c>
      <c r="BS163" s="76" t="str">
        <f aca="false">IF(BP163=1,MAX(Settings!$C$29,MAX(BR$6:BR163)),"")</f>
        <v/>
      </c>
      <c r="BT163" s="83" t="str">
        <f aca="false">IF(BP163=1,(BR163-BS163)/BS163,"")</f>
        <v/>
      </c>
      <c r="BU163" s="66" t="str">
        <f aca="false">IF(BP163=1,IF(AL163="Win",1+IF(BQ163=1,0,INDEX(BU$5:BU162,MATCH(BQ163-1,BQ$5:BQ162,0))),0),"")</f>
        <v/>
      </c>
      <c r="BV163" s="66" t="str">
        <f aca="false">IF(BP163=1,IF(AL163="Loss",1+IF(BQ163=1,0,INDEX(BV$5:BV162,MATCH(BQ163-1,BQ$5:BQ162,0))),0),"")</f>
        <v/>
      </c>
    </row>
    <row r="164" customFormat="false" ht="15" hidden="false" customHeight="false" outlineLevel="0" collapsed="false">
      <c r="A164" s="66" t="str">
        <f aca="false">IF(B164="","",ROW()-5)</f>
        <v/>
      </c>
      <c r="B164" s="67"/>
      <c r="C164" s="68" t="str">
        <f aca="false">IF(B164="","",CHOOSE(WEEKDAY(B164,2),"Mon","Tue","Wed","Thu","Fri","Sat","Sun"))</f>
        <v/>
      </c>
      <c r="D164" s="66" t="str">
        <f aca="false">IF(B164="","",WEEKNUM(B164,2))</f>
        <v/>
      </c>
      <c r="E164" s="69"/>
      <c r="F164" s="69"/>
      <c r="G164" s="70"/>
      <c r="H164" s="70"/>
      <c r="I164" s="69"/>
      <c r="J164" s="69"/>
      <c r="K164" s="69"/>
      <c r="L164" s="71"/>
      <c r="M164" s="69"/>
      <c r="N164" s="69"/>
      <c r="O164" s="69"/>
      <c r="P164" s="71"/>
      <c r="Q164" s="69"/>
      <c r="R164" s="69"/>
      <c r="S164" s="69"/>
      <c r="T164" s="69"/>
      <c r="U164" s="69"/>
      <c r="V164" s="69"/>
      <c r="W164" s="69"/>
      <c r="X164" s="66" t="str">
        <f aca="false">IF(B164="","",COUNTIF(Q164:W164,"Yes"))</f>
        <v/>
      </c>
      <c r="Y164" s="68" t="str">
        <f aca="false">IF(B164="","",IF(X164&gt;=Settings!$C$16,"A+",IF(X164&gt;=Settings!$C$17,"A",IF(X164&gt;=Settings!$C$18,"B","C"))))</f>
        <v/>
      </c>
      <c r="Z164" s="72"/>
      <c r="AA164" s="72"/>
      <c r="AB164" s="72"/>
      <c r="AC164" s="72"/>
      <c r="AD164" s="72"/>
      <c r="AE164" s="72"/>
      <c r="AF164" s="73"/>
      <c r="AG164" s="74"/>
      <c r="AH164" s="75"/>
      <c r="AI164" s="76" t="str">
        <f aca="false">IF(B164="","",ROUND(IF(AG164="",Settings!$C$5,AG164)*AW164,2))</f>
        <v/>
      </c>
      <c r="AJ164" s="77" t="str">
        <f aca="false">IF(OR(B164="",AB164="",AC164="",AD164=""),"",IFERROR(ROUND(ABS(AD164-AB164)/ABS(AB164-AC164),2),""))</f>
        <v/>
      </c>
      <c r="AK164" s="78" t="str">
        <f aca="false">IF(OR(B164="",AB164="",AC164="",AE164=""),"",IFERROR(ROUND(IF(J164="Short",AB164-AE164,AE164-AB164)/ABS(AB164-AC164),2),""))</f>
        <v/>
      </c>
      <c r="AL164" s="68" t="str">
        <f aca="false">IF(AK164="","",IF(ABS(AK164)&lt;=Settings!$C$6,"BE",IF(AK164&gt;0,"Win","Loss")))</f>
        <v/>
      </c>
      <c r="AM164" s="79" t="str">
        <f aca="false">IF(OR(AK164="",AI164=""),"",ROUND(AK164*AI164-N(AH164),2))</f>
        <v/>
      </c>
      <c r="AN164" s="76" t="str">
        <f aca="false">IF(AM164="","",ROUND(BK164+SUMIFS(AM$6:AM164,BJ$6:BJ164,BJ164),2))</f>
        <v/>
      </c>
      <c r="AO164" s="78" t="str">
        <f aca="false">IF(AK164="","",ROUND(SUMIFS(AK$6:AK164,BJ$6:BJ164,BJ164),2))</f>
        <v/>
      </c>
      <c r="AP164" s="80" t="str">
        <f aca="false">IF(OR(AK164="",BL164=""),"",IFERROR(ROUND(IF(J164="Short",AB164-AE164,AE164-AB164)/BL164,1),""))</f>
        <v/>
      </c>
      <c r="AQ164" s="66" t="str">
        <f aca="false">IF(OR(G164="",H164=""),"",ROUND(MOD(H164-G164,1)*1440,0))</f>
        <v/>
      </c>
      <c r="AR164" s="68" t="str">
        <f aca="false">IF(AQ164="","",IF(AQ164&lt;15,"Under 15m",IF(AQ164&lt;60,"15-60m",IF(AQ164&lt;240,"1-4 hours","4+ hours"))))</f>
        <v/>
      </c>
      <c r="AS164" s="66" t="str">
        <f aca="false">IF(G164="","",HOUR(G164))</f>
        <v/>
      </c>
      <c r="AT164" s="80" t="str">
        <f aca="false">IF(OR(Z164="",AB164="",BL164=""),"",IFERROR(ROUND(IF(J164="Short",Z164-AB164,AB164-Z164)/BL164,1),""))</f>
        <v/>
      </c>
      <c r="AU164" s="68" t="str">
        <f aca="false">IF(OR(AA164="",AC164=""),"",IF(AA164=AC164,"No","Yes"))</f>
        <v/>
      </c>
      <c r="AV164" s="81" t="str">
        <f aca="false">IF(OR(B164="",BL164="",BM164="",AB164="",AC164=""),"",IFERROR(ROUND(AI164/(ABS(AB164-AC164)/BL164*BM164),2),""))</f>
        <v/>
      </c>
      <c r="AW164" s="76" t="str">
        <f aca="false">IF(B164="","",ROUND(BK164+SUMIFS(AM$5:AM163,BJ$5:BJ163,BJ164),2))</f>
        <v/>
      </c>
      <c r="AX164" s="66" t="str">
        <f aca="false">IF(B164="","",COUNTIFS(B$6:B164,B164,BJ$6:BJ164,BJ164))</f>
        <v/>
      </c>
      <c r="AY164" s="79" t="str">
        <f aca="false">IF(B164="","",ROUND(SUMIFS(AM$5:AM163,B$5:B163,B164,BJ$5:BJ163,BJ164),2))</f>
        <v/>
      </c>
      <c r="AZ164" s="79" t="str">
        <f aca="false">IF(AM164="","",ROUND(AY164+AM164,2))</f>
        <v/>
      </c>
      <c r="BA164" s="79" t="str">
        <f aca="false">IF(B164="","",ROUND(SUMIFS(AM$5:AM163,B$5:B163,"&gt;="&amp;(B164-WEEKDAY(B164,2)+1),B$5:B163,"&lt;="&amp;B164,BJ$5:BJ163,BJ164),2))</f>
        <v/>
      </c>
      <c r="BB164" s="68" t="str">
        <f aca="false">IF(B164="","",IF(AND(AF164&lt;&gt;"",AV164&lt;&gt;"",N(AF164)&gt;N(AV164)*(1+Settings!$C$13)),"Oversized",IF(AX164&gt;Settings!$C$10,"Overtraded",IF(AY164&lt;=-Settings!$C$11*(AW164-AY164),"Daily loss hit",IF(BA164&lt;=-Settings!$C$12*(AW164-BA164),"Weekly loss hit","OK")))))</f>
        <v/>
      </c>
      <c r="BC164" s="69"/>
      <c r="BD164" s="69"/>
      <c r="BE164" s="69"/>
      <c r="BF164" s="73"/>
      <c r="BG164" s="73"/>
      <c r="BH164" s="71"/>
      <c r="BI164" s="71"/>
      <c r="BJ164" s="68" t="str">
        <f aca="false">IF(B164="","",IF(E164="",Settings!$F$5,E164))</f>
        <v/>
      </c>
      <c r="BK164" s="76" t="str">
        <f aca="false">IF(B164="","",IFERROR(INDEX(Settings!$G$5:$G$10,MATCH(BJ164,Settings!$F$5:$F$10,0)),Settings!$G$5))</f>
        <v/>
      </c>
      <c r="BL164" s="82" t="str">
        <f aca="false">IF(I164="","",IFERROR(1/(1/INDEX(Lists!$C$6:$C$17,MATCH(I164,Lists!$B$6:$B$17,0))),""))</f>
        <v/>
      </c>
      <c r="BM164" s="81" t="str">
        <f aca="false">IF(I164="","",IFERROR(1/(1/INDEX(Lists!$D$6:$D$17,MATCH(I164,Lists!$B$6:$B$17,0))),""))</f>
        <v/>
      </c>
      <c r="BN164" s="76" t="str">
        <f aca="false">IF(AN164="","",MAX(BK164,_xlfn.MAXIFS(AN$6:AN164,BJ$6:BJ164,BJ164)))</f>
        <v/>
      </c>
      <c r="BO164" s="83" t="str">
        <f aca="false">IF(AN164="","",(AN164-BN164)/BN164)</f>
        <v/>
      </c>
      <c r="BP164" s="66" t="n">
        <f aca="false">IF(OR(B164="",AL164=""),0,IF(OR(Settings!$C$28="All Accounts",BJ164=Settings!$C$28),1,0))</f>
        <v>0</v>
      </c>
      <c r="BQ164" s="66" t="str">
        <f aca="false">IF(BP164=1,SUM(BP$6:BP164),"")</f>
        <v/>
      </c>
      <c r="BR164" s="76" t="str">
        <f aca="false">IF(BP164=1,ROUND(Settings!$C$29+SUMIFS(AM$6:AM164,BP$6:BP164,1),2),"")</f>
        <v/>
      </c>
      <c r="BS164" s="76" t="str">
        <f aca="false">IF(BP164=1,MAX(Settings!$C$29,MAX(BR$6:BR164)),"")</f>
        <v/>
      </c>
      <c r="BT164" s="83" t="str">
        <f aca="false">IF(BP164=1,(BR164-BS164)/BS164,"")</f>
        <v/>
      </c>
      <c r="BU164" s="66" t="str">
        <f aca="false">IF(BP164=1,IF(AL164="Win",1+IF(BQ164=1,0,INDEX(BU$5:BU163,MATCH(BQ164-1,BQ$5:BQ163,0))),0),"")</f>
        <v/>
      </c>
      <c r="BV164" s="66" t="str">
        <f aca="false">IF(BP164=1,IF(AL164="Loss",1+IF(BQ164=1,0,INDEX(BV$5:BV163,MATCH(BQ164-1,BQ$5:BQ163,0))),0),"")</f>
        <v/>
      </c>
    </row>
    <row r="165" customFormat="false" ht="15" hidden="false" customHeight="false" outlineLevel="0" collapsed="false">
      <c r="A165" s="66" t="str">
        <f aca="false">IF(B165="","",ROW()-5)</f>
        <v/>
      </c>
      <c r="B165" s="67"/>
      <c r="C165" s="68" t="str">
        <f aca="false">IF(B165="","",CHOOSE(WEEKDAY(B165,2),"Mon","Tue","Wed","Thu","Fri","Sat","Sun"))</f>
        <v/>
      </c>
      <c r="D165" s="66" t="str">
        <f aca="false">IF(B165="","",WEEKNUM(B165,2))</f>
        <v/>
      </c>
      <c r="E165" s="69"/>
      <c r="F165" s="69"/>
      <c r="G165" s="70"/>
      <c r="H165" s="70"/>
      <c r="I165" s="69"/>
      <c r="J165" s="69"/>
      <c r="K165" s="69"/>
      <c r="L165" s="71"/>
      <c r="M165" s="69"/>
      <c r="N165" s="69"/>
      <c r="O165" s="69"/>
      <c r="P165" s="71"/>
      <c r="Q165" s="69"/>
      <c r="R165" s="69"/>
      <c r="S165" s="69"/>
      <c r="T165" s="69"/>
      <c r="U165" s="69"/>
      <c r="V165" s="69"/>
      <c r="W165" s="69"/>
      <c r="X165" s="66" t="str">
        <f aca="false">IF(B165="","",COUNTIF(Q165:W165,"Yes"))</f>
        <v/>
      </c>
      <c r="Y165" s="68" t="str">
        <f aca="false">IF(B165="","",IF(X165&gt;=Settings!$C$16,"A+",IF(X165&gt;=Settings!$C$17,"A",IF(X165&gt;=Settings!$C$18,"B","C"))))</f>
        <v/>
      </c>
      <c r="Z165" s="72"/>
      <c r="AA165" s="72"/>
      <c r="AB165" s="72"/>
      <c r="AC165" s="72"/>
      <c r="AD165" s="72"/>
      <c r="AE165" s="72"/>
      <c r="AF165" s="73"/>
      <c r="AG165" s="74"/>
      <c r="AH165" s="75"/>
      <c r="AI165" s="76" t="str">
        <f aca="false">IF(B165="","",ROUND(IF(AG165="",Settings!$C$5,AG165)*AW165,2))</f>
        <v/>
      </c>
      <c r="AJ165" s="77" t="str">
        <f aca="false">IF(OR(B165="",AB165="",AC165="",AD165=""),"",IFERROR(ROUND(ABS(AD165-AB165)/ABS(AB165-AC165),2),""))</f>
        <v/>
      </c>
      <c r="AK165" s="78" t="str">
        <f aca="false">IF(OR(B165="",AB165="",AC165="",AE165=""),"",IFERROR(ROUND(IF(J165="Short",AB165-AE165,AE165-AB165)/ABS(AB165-AC165),2),""))</f>
        <v/>
      </c>
      <c r="AL165" s="68" t="str">
        <f aca="false">IF(AK165="","",IF(ABS(AK165)&lt;=Settings!$C$6,"BE",IF(AK165&gt;0,"Win","Loss")))</f>
        <v/>
      </c>
      <c r="AM165" s="79" t="str">
        <f aca="false">IF(OR(AK165="",AI165=""),"",ROUND(AK165*AI165-N(AH165),2))</f>
        <v/>
      </c>
      <c r="AN165" s="76" t="str">
        <f aca="false">IF(AM165="","",ROUND(BK165+SUMIFS(AM$6:AM165,BJ$6:BJ165,BJ165),2))</f>
        <v/>
      </c>
      <c r="AO165" s="78" t="str">
        <f aca="false">IF(AK165="","",ROUND(SUMIFS(AK$6:AK165,BJ$6:BJ165,BJ165),2))</f>
        <v/>
      </c>
      <c r="AP165" s="80" t="str">
        <f aca="false">IF(OR(AK165="",BL165=""),"",IFERROR(ROUND(IF(J165="Short",AB165-AE165,AE165-AB165)/BL165,1),""))</f>
        <v/>
      </c>
      <c r="AQ165" s="66" t="str">
        <f aca="false">IF(OR(G165="",H165=""),"",ROUND(MOD(H165-G165,1)*1440,0))</f>
        <v/>
      </c>
      <c r="AR165" s="68" t="str">
        <f aca="false">IF(AQ165="","",IF(AQ165&lt;15,"Under 15m",IF(AQ165&lt;60,"15-60m",IF(AQ165&lt;240,"1-4 hours","4+ hours"))))</f>
        <v/>
      </c>
      <c r="AS165" s="66" t="str">
        <f aca="false">IF(G165="","",HOUR(G165))</f>
        <v/>
      </c>
      <c r="AT165" s="80" t="str">
        <f aca="false">IF(OR(Z165="",AB165="",BL165=""),"",IFERROR(ROUND(IF(J165="Short",Z165-AB165,AB165-Z165)/BL165,1),""))</f>
        <v/>
      </c>
      <c r="AU165" s="68" t="str">
        <f aca="false">IF(OR(AA165="",AC165=""),"",IF(AA165=AC165,"No","Yes"))</f>
        <v/>
      </c>
      <c r="AV165" s="81" t="str">
        <f aca="false">IF(OR(B165="",BL165="",BM165="",AB165="",AC165=""),"",IFERROR(ROUND(AI165/(ABS(AB165-AC165)/BL165*BM165),2),""))</f>
        <v/>
      </c>
      <c r="AW165" s="76" t="str">
        <f aca="false">IF(B165="","",ROUND(BK165+SUMIFS(AM$5:AM164,BJ$5:BJ164,BJ165),2))</f>
        <v/>
      </c>
      <c r="AX165" s="66" t="str">
        <f aca="false">IF(B165="","",COUNTIFS(B$6:B165,B165,BJ$6:BJ165,BJ165))</f>
        <v/>
      </c>
      <c r="AY165" s="79" t="str">
        <f aca="false">IF(B165="","",ROUND(SUMIFS(AM$5:AM164,B$5:B164,B165,BJ$5:BJ164,BJ165),2))</f>
        <v/>
      </c>
      <c r="AZ165" s="79" t="str">
        <f aca="false">IF(AM165="","",ROUND(AY165+AM165,2))</f>
        <v/>
      </c>
      <c r="BA165" s="79" t="str">
        <f aca="false">IF(B165="","",ROUND(SUMIFS(AM$5:AM164,B$5:B164,"&gt;="&amp;(B165-WEEKDAY(B165,2)+1),B$5:B164,"&lt;="&amp;B165,BJ$5:BJ164,BJ165),2))</f>
        <v/>
      </c>
      <c r="BB165" s="68" t="str">
        <f aca="false">IF(B165="","",IF(AND(AF165&lt;&gt;"",AV165&lt;&gt;"",N(AF165)&gt;N(AV165)*(1+Settings!$C$13)),"Oversized",IF(AX165&gt;Settings!$C$10,"Overtraded",IF(AY165&lt;=-Settings!$C$11*(AW165-AY165),"Daily loss hit",IF(BA165&lt;=-Settings!$C$12*(AW165-BA165),"Weekly loss hit","OK")))))</f>
        <v/>
      </c>
      <c r="BC165" s="69"/>
      <c r="BD165" s="69"/>
      <c r="BE165" s="69"/>
      <c r="BF165" s="73"/>
      <c r="BG165" s="73"/>
      <c r="BH165" s="71"/>
      <c r="BI165" s="71"/>
      <c r="BJ165" s="68" t="str">
        <f aca="false">IF(B165="","",IF(E165="",Settings!$F$5,E165))</f>
        <v/>
      </c>
      <c r="BK165" s="76" t="str">
        <f aca="false">IF(B165="","",IFERROR(INDEX(Settings!$G$5:$G$10,MATCH(BJ165,Settings!$F$5:$F$10,0)),Settings!$G$5))</f>
        <v/>
      </c>
      <c r="BL165" s="82" t="str">
        <f aca="false">IF(I165="","",IFERROR(1/(1/INDEX(Lists!$C$6:$C$17,MATCH(I165,Lists!$B$6:$B$17,0))),""))</f>
        <v/>
      </c>
      <c r="BM165" s="81" t="str">
        <f aca="false">IF(I165="","",IFERROR(1/(1/INDEX(Lists!$D$6:$D$17,MATCH(I165,Lists!$B$6:$B$17,0))),""))</f>
        <v/>
      </c>
      <c r="BN165" s="76" t="str">
        <f aca="false">IF(AN165="","",MAX(BK165,_xlfn.MAXIFS(AN$6:AN165,BJ$6:BJ165,BJ165)))</f>
        <v/>
      </c>
      <c r="BO165" s="83" t="str">
        <f aca="false">IF(AN165="","",(AN165-BN165)/BN165)</f>
        <v/>
      </c>
      <c r="BP165" s="66" t="n">
        <f aca="false">IF(OR(B165="",AL165=""),0,IF(OR(Settings!$C$28="All Accounts",BJ165=Settings!$C$28),1,0))</f>
        <v>0</v>
      </c>
      <c r="BQ165" s="66" t="str">
        <f aca="false">IF(BP165=1,SUM(BP$6:BP165),"")</f>
        <v/>
      </c>
      <c r="BR165" s="76" t="str">
        <f aca="false">IF(BP165=1,ROUND(Settings!$C$29+SUMIFS(AM$6:AM165,BP$6:BP165,1),2),"")</f>
        <v/>
      </c>
      <c r="BS165" s="76" t="str">
        <f aca="false">IF(BP165=1,MAX(Settings!$C$29,MAX(BR$6:BR165)),"")</f>
        <v/>
      </c>
      <c r="BT165" s="83" t="str">
        <f aca="false">IF(BP165=1,(BR165-BS165)/BS165,"")</f>
        <v/>
      </c>
      <c r="BU165" s="66" t="str">
        <f aca="false">IF(BP165=1,IF(AL165="Win",1+IF(BQ165=1,0,INDEX(BU$5:BU164,MATCH(BQ165-1,BQ$5:BQ164,0))),0),"")</f>
        <v/>
      </c>
      <c r="BV165" s="66" t="str">
        <f aca="false">IF(BP165=1,IF(AL165="Loss",1+IF(BQ165=1,0,INDEX(BV$5:BV164,MATCH(BQ165-1,BQ$5:BQ164,0))),0),"")</f>
        <v/>
      </c>
    </row>
    <row r="166" customFormat="false" ht="15" hidden="false" customHeight="false" outlineLevel="0" collapsed="false">
      <c r="A166" s="66" t="str">
        <f aca="false">IF(B166="","",ROW()-5)</f>
        <v/>
      </c>
      <c r="B166" s="67"/>
      <c r="C166" s="68" t="str">
        <f aca="false">IF(B166="","",CHOOSE(WEEKDAY(B166,2),"Mon","Tue","Wed","Thu","Fri","Sat","Sun"))</f>
        <v/>
      </c>
      <c r="D166" s="66" t="str">
        <f aca="false">IF(B166="","",WEEKNUM(B166,2))</f>
        <v/>
      </c>
      <c r="E166" s="69"/>
      <c r="F166" s="69"/>
      <c r="G166" s="70"/>
      <c r="H166" s="70"/>
      <c r="I166" s="69"/>
      <c r="J166" s="69"/>
      <c r="K166" s="69"/>
      <c r="L166" s="71"/>
      <c r="M166" s="69"/>
      <c r="N166" s="69"/>
      <c r="O166" s="69"/>
      <c r="P166" s="71"/>
      <c r="Q166" s="69"/>
      <c r="R166" s="69"/>
      <c r="S166" s="69"/>
      <c r="T166" s="69"/>
      <c r="U166" s="69"/>
      <c r="V166" s="69"/>
      <c r="W166" s="69"/>
      <c r="X166" s="66" t="str">
        <f aca="false">IF(B166="","",COUNTIF(Q166:W166,"Yes"))</f>
        <v/>
      </c>
      <c r="Y166" s="68" t="str">
        <f aca="false">IF(B166="","",IF(X166&gt;=Settings!$C$16,"A+",IF(X166&gt;=Settings!$C$17,"A",IF(X166&gt;=Settings!$C$18,"B","C"))))</f>
        <v/>
      </c>
      <c r="Z166" s="72"/>
      <c r="AA166" s="72"/>
      <c r="AB166" s="72"/>
      <c r="AC166" s="72"/>
      <c r="AD166" s="72"/>
      <c r="AE166" s="72"/>
      <c r="AF166" s="73"/>
      <c r="AG166" s="74"/>
      <c r="AH166" s="75"/>
      <c r="AI166" s="76" t="str">
        <f aca="false">IF(B166="","",ROUND(IF(AG166="",Settings!$C$5,AG166)*AW166,2))</f>
        <v/>
      </c>
      <c r="AJ166" s="77" t="str">
        <f aca="false">IF(OR(B166="",AB166="",AC166="",AD166=""),"",IFERROR(ROUND(ABS(AD166-AB166)/ABS(AB166-AC166),2),""))</f>
        <v/>
      </c>
      <c r="AK166" s="78" t="str">
        <f aca="false">IF(OR(B166="",AB166="",AC166="",AE166=""),"",IFERROR(ROUND(IF(J166="Short",AB166-AE166,AE166-AB166)/ABS(AB166-AC166),2),""))</f>
        <v/>
      </c>
      <c r="AL166" s="68" t="str">
        <f aca="false">IF(AK166="","",IF(ABS(AK166)&lt;=Settings!$C$6,"BE",IF(AK166&gt;0,"Win","Loss")))</f>
        <v/>
      </c>
      <c r="AM166" s="79" t="str">
        <f aca="false">IF(OR(AK166="",AI166=""),"",ROUND(AK166*AI166-N(AH166),2))</f>
        <v/>
      </c>
      <c r="AN166" s="76" t="str">
        <f aca="false">IF(AM166="","",ROUND(BK166+SUMIFS(AM$6:AM166,BJ$6:BJ166,BJ166),2))</f>
        <v/>
      </c>
      <c r="AO166" s="78" t="str">
        <f aca="false">IF(AK166="","",ROUND(SUMIFS(AK$6:AK166,BJ$6:BJ166,BJ166),2))</f>
        <v/>
      </c>
      <c r="AP166" s="80" t="str">
        <f aca="false">IF(OR(AK166="",BL166=""),"",IFERROR(ROUND(IF(J166="Short",AB166-AE166,AE166-AB166)/BL166,1),""))</f>
        <v/>
      </c>
      <c r="AQ166" s="66" t="str">
        <f aca="false">IF(OR(G166="",H166=""),"",ROUND(MOD(H166-G166,1)*1440,0))</f>
        <v/>
      </c>
      <c r="AR166" s="68" t="str">
        <f aca="false">IF(AQ166="","",IF(AQ166&lt;15,"Under 15m",IF(AQ166&lt;60,"15-60m",IF(AQ166&lt;240,"1-4 hours","4+ hours"))))</f>
        <v/>
      </c>
      <c r="AS166" s="66" t="str">
        <f aca="false">IF(G166="","",HOUR(G166))</f>
        <v/>
      </c>
      <c r="AT166" s="80" t="str">
        <f aca="false">IF(OR(Z166="",AB166="",BL166=""),"",IFERROR(ROUND(IF(J166="Short",Z166-AB166,AB166-Z166)/BL166,1),""))</f>
        <v/>
      </c>
      <c r="AU166" s="68" t="str">
        <f aca="false">IF(OR(AA166="",AC166=""),"",IF(AA166=AC166,"No","Yes"))</f>
        <v/>
      </c>
      <c r="AV166" s="81" t="str">
        <f aca="false">IF(OR(B166="",BL166="",BM166="",AB166="",AC166=""),"",IFERROR(ROUND(AI166/(ABS(AB166-AC166)/BL166*BM166),2),""))</f>
        <v/>
      </c>
      <c r="AW166" s="76" t="str">
        <f aca="false">IF(B166="","",ROUND(BK166+SUMIFS(AM$5:AM165,BJ$5:BJ165,BJ166),2))</f>
        <v/>
      </c>
      <c r="AX166" s="66" t="str">
        <f aca="false">IF(B166="","",COUNTIFS(B$6:B166,B166,BJ$6:BJ166,BJ166))</f>
        <v/>
      </c>
      <c r="AY166" s="79" t="str">
        <f aca="false">IF(B166="","",ROUND(SUMIFS(AM$5:AM165,B$5:B165,B166,BJ$5:BJ165,BJ166),2))</f>
        <v/>
      </c>
      <c r="AZ166" s="79" t="str">
        <f aca="false">IF(AM166="","",ROUND(AY166+AM166,2))</f>
        <v/>
      </c>
      <c r="BA166" s="79" t="str">
        <f aca="false">IF(B166="","",ROUND(SUMIFS(AM$5:AM165,B$5:B165,"&gt;="&amp;(B166-WEEKDAY(B166,2)+1),B$5:B165,"&lt;="&amp;B166,BJ$5:BJ165,BJ166),2))</f>
        <v/>
      </c>
      <c r="BB166" s="68" t="str">
        <f aca="false">IF(B166="","",IF(AND(AF166&lt;&gt;"",AV166&lt;&gt;"",N(AF166)&gt;N(AV166)*(1+Settings!$C$13)),"Oversized",IF(AX166&gt;Settings!$C$10,"Overtraded",IF(AY166&lt;=-Settings!$C$11*(AW166-AY166),"Daily loss hit",IF(BA166&lt;=-Settings!$C$12*(AW166-BA166),"Weekly loss hit","OK")))))</f>
        <v/>
      </c>
      <c r="BC166" s="69"/>
      <c r="BD166" s="69"/>
      <c r="BE166" s="69"/>
      <c r="BF166" s="73"/>
      <c r="BG166" s="73"/>
      <c r="BH166" s="71"/>
      <c r="BI166" s="71"/>
      <c r="BJ166" s="68" t="str">
        <f aca="false">IF(B166="","",IF(E166="",Settings!$F$5,E166))</f>
        <v/>
      </c>
      <c r="BK166" s="76" t="str">
        <f aca="false">IF(B166="","",IFERROR(INDEX(Settings!$G$5:$G$10,MATCH(BJ166,Settings!$F$5:$F$10,0)),Settings!$G$5))</f>
        <v/>
      </c>
      <c r="BL166" s="82" t="str">
        <f aca="false">IF(I166="","",IFERROR(1/(1/INDEX(Lists!$C$6:$C$17,MATCH(I166,Lists!$B$6:$B$17,0))),""))</f>
        <v/>
      </c>
      <c r="BM166" s="81" t="str">
        <f aca="false">IF(I166="","",IFERROR(1/(1/INDEX(Lists!$D$6:$D$17,MATCH(I166,Lists!$B$6:$B$17,0))),""))</f>
        <v/>
      </c>
      <c r="BN166" s="76" t="str">
        <f aca="false">IF(AN166="","",MAX(BK166,_xlfn.MAXIFS(AN$6:AN166,BJ$6:BJ166,BJ166)))</f>
        <v/>
      </c>
      <c r="BO166" s="83" t="str">
        <f aca="false">IF(AN166="","",(AN166-BN166)/BN166)</f>
        <v/>
      </c>
      <c r="BP166" s="66" t="n">
        <f aca="false">IF(OR(B166="",AL166=""),0,IF(OR(Settings!$C$28="All Accounts",BJ166=Settings!$C$28),1,0))</f>
        <v>0</v>
      </c>
      <c r="BQ166" s="66" t="str">
        <f aca="false">IF(BP166=1,SUM(BP$6:BP166),"")</f>
        <v/>
      </c>
      <c r="BR166" s="76" t="str">
        <f aca="false">IF(BP166=1,ROUND(Settings!$C$29+SUMIFS(AM$6:AM166,BP$6:BP166,1),2),"")</f>
        <v/>
      </c>
      <c r="BS166" s="76" t="str">
        <f aca="false">IF(BP166=1,MAX(Settings!$C$29,MAX(BR$6:BR166)),"")</f>
        <v/>
      </c>
      <c r="BT166" s="83" t="str">
        <f aca="false">IF(BP166=1,(BR166-BS166)/BS166,"")</f>
        <v/>
      </c>
      <c r="BU166" s="66" t="str">
        <f aca="false">IF(BP166=1,IF(AL166="Win",1+IF(BQ166=1,0,INDEX(BU$5:BU165,MATCH(BQ166-1,BQ$5:BQ165,0))),0),"")</f>
        <v/>
      </c>
      <c r="BV166" s="66" t="str">
        <f aca="false">IF(BP166=1,IF(AL166="Loss",1+IF(BQ166=1,0,INDEX(BV$5:BV165,MATCH(BQ166-1,BQ$5:BQ165,0))),0),"")</f>
        <v/>
      </c>
    </row>
    <row r="167" customFormat="false" ht="15" hidden="false" customHeight="false" outlineLevel="0" collapsed="false">
      <c r="A167" s="66" t="str">
        <f aca="false">IF(B167="","",ROW()-5)</f>
        <v/>
      </c>
      <c r="B167" s="67"/>
      <c r="C167" s="68" t="str">
        <f aca="false">IF(B167="","",CHOOSE(WEEKDAY(B167,2),"Mon","Tue","Wed","Thu","Fri","Sat","Sun"))</f>
        <v/>
      </c>
      <c r="D167" s="66" t="str">
        <f aca="false">IF(B167="","",WEEKNUM(B167,2))</f>
        <v/>
      </c>
      <c r="E167" s="69"/>
      <c r="F167" s="69"/>
      <c r="G167" s="70"/>
      <c r="H167" s="70"/>
      <c r="I167" s="69"/>
      <c r="J167" s="69"/>
      <c r="K167" s="69"/>
      <c r="L167" s="71"/>
      <c r="M167" s="69"/>
      <c r="N167" s="69"/>
      <c r="O167" s="69"/>
      <c r="P167" s="71"/>
      <c r="Q167" s="69"/>
      <c r="R167" s="69"/>
      <c r="S167" s="69"/>
      <c r="T167" s="69"/>
      <c r="U167" s="69"/>
      <c r="V167" s="69"/>
      <c r="W167" s="69"/>
      <c r="X167" s="66" t="str">
        <f aca="false">IF(B167="","",COUNTIF(Q167:W167,"Yes"))</f>
        <v/>
      </c>
      <c r="Y167" s="68" t="str">
        <f aca="false">IF(B167="","",IF(X167&gt;=Settings!$C$16,"A+",IF(X167&gt;=Settings!$C$17,"A",IF(X167&gt;=Settings!$C$18,"B","C"))))</f>
        <v/>
      </c>
      <c r="Z167" s="72"/>
      <c r="AA167" s="72"/>
      <c r="AB167" s="72"/>
      <c r="AC167" s="72"/>
      <c r="AD167" s="72"/>
      <c r="AE167" s="72"/>
      <c r="AF167" s="73"/>
      <c r="AG167" s="74"/>
      <c r="AH167" s="75"/>
      <c r="AI167" s="76" t="str">
        <f aca="false">IF(B167="","",ROUND(IF(AG167="",Settings!$C$5,AG167)*AW167,2))</f>
        <v/>
      </c>
      <c r="AJ167" s="77" t="str">
        <f aca="false">IF(OR(B167="",AB167="",AC167="",AD167=""),"",IFERROR(ROUND(ABS(AD167-AB167)/ABS(AB167-AC167),2),""))</f>
        <v/>
      </c>
      <c r="AK167" s="78" t="str">
        <f aca="false">IF(OR(B167="",AB167="",AC167="",AE167=""),"",IFERROR(ROUND(IF(J167="Short",AB167-AE167,AE167-AB167)/ABS(AB167-AC167),2),""))</f>
        <v/>
      </c>
      <c r="AL167" s="68" t="str">
        <f aca="false">IF(AK167="","",IF(ABS(AK167)&lt;=Settings!$C$6,"BE",IF(AK167&gt;0,"Win","Loss")))</f>
        <v/>
      </c>
      <c r="AM167" s="79" t="str">
        <f aca="false">IF(OR(AK167="",AI167=""),"",ROUND(AK167*AI167-N(AH167),2))</f>
        <v/>
      </c>
      <c r="AN167" s="76" t="str">
        <f aca="false">IF(AM167="","",ROUND(BK167+SUMIFS(AM$6:AM167,BJ$6:BJ167,BJ167),2))</f>
        <v/>
      </c>
      <c r="AO167" s="78" t="str">
        <f aca="false">IF(AK167="","",ROUND(SUMIFS(AK$6:AK167,BJ$6:BJ167,BJ167),2))</f>
        <v/>
      </c>
      <c r="AP167" s="80" t="str">
        <f aca="false">IF(OR(AK167="",BL167=""),"",IFERROR(ROUND(IF(J167="Short",AB167-AE167,AE167-AB167)/BL167,1),""))</f>
        <v/>
      </c>
      <c r="AQ167" s="66" t="str">
        <f aca="false">IF(OR(G167="",H167=""),"",ROUND(MOD(H167-G167,1)*1440,0))</f>
        <v/>
      </c>
      <c r="AR167" s="68" t="str">
        <f aca="false">IF(AQ167="","",IF(AQ167&lt;15,"Under 15m",IF(AQ167&lt;60,"15-60m",IF(AQ167&lt;240,"1-4 hours","4+ hours"))))</f>
        <v/>
      </c>
      <c r="AS167" s="66" t="str">
        <f aca="false">IF(G167="","",HOUR(G167))</f>
        <v/>
      </c>
      <c r="AT167" s="80" t="str">
        <f aca="false">IF(OR(Z167="",AB167="",BL167=""),"",IFERROR(ROUND(IF(J167="Short",Z167-AB167,AB167-Z167)/BL167,1),""))</f>
        <v/>
      </c>
      <c r="AU167" s="68" t="str">
        <f aca="false">IF(OR(AA167="",AC167=""),"",IF(AA167=AC167,"No","Yes"))</f>
        <v/>
      </c>
      <c r="AV167" s="81" t="str">
        <f aca="false">IF(OR(B167="",BL167="",BM167="",AB167="",AC167=""),"",IFERROR(ROUND(AI167/(ABS(AB167-AC167)/BL167*BM167),2),""))</f>
        <v/>
      </c>
      <c r="AW167" s="76" t="str">
        <f aca="false">IF(B167="","",ROUND(BK167+SUMIFS(AM$5:AM166,BJ$5:BJ166,BJ167),2))</f>
        <v/>
      </c>
      <c r="AX167" s="66" t="str">
        <f aca="false">IF(B167="","",COUNTIFS(B$6:B167,B167,BJ$6:BJ167,BJ167))</f>
        <v/>
      </c>
      <c r="AY167" s="79" t="str">
        <f aca="false">IF(B167="","",ROUND(SUMIFS(AM$5:AM166,B$5:B166,B167,BJ$5:BJ166,BJ167),2))</f>
        <v/>
      </c>
      <c r="AZ167" s="79" t="str">
        <f aca="false">IF(AM167="","",ROUND(AY167+AM167,2))</f>
        <v/>
      </c>
      <c r="BA167" s="79" t="str">
        <f aca="false">IF(B167="","",ROUND(SUMIFS(AM$5:AM166,B$5:B166,"&gt;="&amp;(B167-WEEKDAY(B167,2)+1),B$5:B166,"&lt;="&amp;B167,BJ$5:BJ166,BJ167),2))</f>
        <v/>
      </c>
      <c r="BB167" s="68" t="str">
        <f aca="false">IF(B167="","",IF(AND(AF167&lt;&gt;"",AV167&lt;&gt;"",N(AF167)&gt;N(AV167)*(1+Settings!$C$13)),"Oversized",IF(AX167&gt;Settings!$C$10,"Overtraded",IF(AY167&lt;=-Settings!$C$11*(AW167-AY167),"Daily loss hit",IF(BA167&lt;=-Settings!$C$12*(AW167-BA167),"Weekly loss hit","OK")))))</f>
        <v/>
      </c>
      <c r="BC167" s="69"/>
      <c r="BD167" s="69"/>
      <c r="BE167" s="69"/>
      <c r="BF167" s="73"/>
      <c r="BG167" s="73"/>
      <c r="BH167" s="71"/>
      <c r="BI167" s="71"/>
      <c r="BJ167" s="68" t="str">
        <f aca="false">IF(B167="","",IF(E167="",Settings!$F$5,E167))</f>
        <v/>
      </c>
      <c r="BK167" s="76" t="str">
        <f aca="false">IF(B167="","",IFERROR(INDEX(Settings!$G$5:$G$10,MATCH(BJ167,Settings!$F$5:$F$10,0)),Settings!$G$5))</f>
        <v/>
      </c>
      <c r="BL167" s="82" t="str">
        <f aca="false">IF(I167="","",IFERROR(1/(1/INDEX(Lists!$C$6:$C$17,MATCH(I167,Lists!$B$6:$B$17,0))),""))</f>
        <v/>
      </c>
      <c r="BM167" s="81" t="str">
        <f aca="false">IF(I167="","",IFERROR(1/(1/INDEX(Lists!$D$6:$D$17,MATCH(I167,Lists!$B$6:$B$17,0))),""))</f>
        <v/>
      </c>
      <c r="BN167" s="76" t="str">
        <f aca="false">IF(AN167="","",MAX(BK167,_xlfn.MAXIFS(AN$6:AN167,BJ$6:BJ167,BJ167)))</f>
        <v/>
      </c>
      <c r="BO167" s="83" t="str">
        <f aca="false">IF(AN167="","",(AN167-BN167)/BN167)</f>
        <v/>
      </c>
      <c r="BP167" s="66" t="n">
        <f aca="false">IF(OR(B167="",AL167=""),0,IF(OR(Settings!$C$28="All Accounts",BJ167=Settings!$C$28),1,0))</f>
        <v>0</v>
      </c>
      <c r="BQ167" s="66" t="str">
        <f aca="false">IF(BP167=1,SUM(BP$6:BP167),"")</f>
        <v/>
      </c>
      <c r="BR167" s="76" t="str">
        <f aca="false">IF(BP167=1,ROUND(Settings!$C$29+SUMIFS(AM$6:AM167,BP$6:BP167,1),2),"")</f>
        <v/>
      </c>
      <c r="BS167" s="76" t="str">
        <f aca="false">IF(BP167=1,MAX(Settings!$C$29,MAX(BR$6:BR167)),"")</f>
        <v/>
      </c>
      <c r="BT167" s="83" t="str">
        <f aca="false">IF(BP167=1,(BR167-BS167)/BS167,"")</f>
        <v/>
      </c>
      <c r="BU167" s="66" t="str">
        <f aca="false">IF(BP167=1,IF(AL167="Win",1+IF(BQ167=1,0,INDEX(BU$5:BU166,MATCH(BQ167-1,BQ$5:BQ166,0))),0),"")</f>
        <v/>
      </c>
      <c r="BV167" s="66" t="str">
        <f aca="false">IF(BP167=1,IF(AL167="Loss",1+IF(BQ167=1,0,INDEX(BV$5:BV166,MATCH(BQ167-1,BQ$5:BQ166,0))),0),"")</f>
        <v/>
      </c>
    </row>
    <row r="168" customFormat="false" ht="15" hidden="false" customHeight="false" outlineLevel="0" collapsed="false">
      <c r="A168" s="66" t="str">
        <f aca="false">IF(B168="","",ROW()-5)</f>
        <v/>
      </c>
      <c r="B168" s="67"/>
      <c r="C168" s="68" t="str">
        <f aca="false">IF(B168="","",CHOOSE(WEEKDAY(B168,2),"Mon","Tue","Wed","Thu","Fri","Sat","Sun"))</f>
        <v/>
      </c>
      <c r="D168" s="66" t="str">
        <f aca="false">IF(B168="","",WEEKNUM(B168,2))</f>
        <v/>
      </c>
      <c r="E168" s="69"/>
      <c r="F168" s="69"/>
      <c r="G168" s="70"/>
      <c r="H168" s="70"/>
      <c r="I168" s="69"/>
      <c r="J168" s="69"/>
      <c r="K168" s="69"/>
      <c r="L168" s="71"/>
      <c r="M168" s="69"/>
      <c r="N168" s="69"/>
      <c r="O168" s="69"/>
      <c r="P168" s="71"/>
      <c r="Q168" s="69"/>
      <c r="R168" s="69"/>
      <c r="S168" s="69"/>
      <c r="T168" s="69"/>
      <c r="U168" s="69"/>
      <c r="V168" s="69"/>
      <c r="W168" s="69"/>
      <c r="X168" s="66" t="str">
        <f aca="false">IF(B168="","",COUNTIF(Q168:W168,"Yes"))</f>
        <v/>
      </c>
      <c r="Y168" s="68" t="str">
        <f aca="false">IF(B168="","",IF(X168&gt;=Settings!$C$16,"A+",IF(X168&gt;=Settings!$C$17,"A",IF(X168&gt;=Settings!$C$18,"B","C"))))</f>
        <v/>
      </c>
      <c r="Z168" s="72"/>
      <c r="AA168" s="72"/>
      <c r="AB168" s="72"/>
      <c r="AC168" s="72"/>
      <c r="AD168" s="72"/>
      <c r="AE168" s="72"/>
      <c r="AF168" s="73"/>
      <c r="AG168" s="74"/>
      <c r="AH168" s="75"/>
      <c r="AI168" s="76" t="str">
        <f aca="false">IF(B168="","",ROUND(IF(AG168="",Settings!$C$5,AG168)*AW168,2))</f>
        <v/>
      </c>
      <c r="AJ168" s="77" t="str">
        <f aca="false">IF(OR(B168="",AB168="",AC168="",AD168=""),"",IFERROR(ROUND(ABS(AD168-AB168)/ABS(AB168-AC168),2),""))</f>
        <v/>
      </c>
      <c r="AK168" s="78" t="str">
        <f aca="false">IF(OR(B168="",AB168="",AC168="",AE168=""),"",IFERROR(ROUND(IF(J168="Short",AB168-AE168,AE168-AB168)/ABS(AB168-AC168),2),""))</f>
        <v/>
      </c>
      <c r="AL168" s="68" t="str">
        <f aca="false">IF(AK168="","",IF(ABS(AK168)&lt;=Settings!$C$6,"BE",IF(AK168&gt;0,"Win","Loss")))</f>
        <v/>
      </c>
      <c r="AM168" s="79" t="str">
        <f aca="false">IF(OR(AK168="",AI168=""),"",ROUND(AK168*AI168-N(AH168),2))</f>
        <v/>
      </c>
      <c r="AN168" s="76" t="str">
        <f aca="false">IF(AM168="","",ROUND(BK168+SUMIFS(AM$6:AM168,BJ$6:BJ168,BJ168),2))</f>
        <v/>
      </c>
      <c r="AO168" s="78" t="str">
        <f aca="false">IF(AK168="","",ROUND(SUMIFS(AK$6:AK168,BJ$6:BJ168,BJ168),2))</f>
        <v/>
      </c>
      <c r="AP168" s="80" t="str">
        <f aca="false">IF(OR(AK168="",BL168=""),"",IFERROR(ROUND(IF(J168="Short",AB168-AE168,AE168-AB168)/BL168,1),""))</f>
        <v/>
      </c>
      <c r="AQ168" s="66" t="str">
        <f aca="false">IF(OR(G168="",H168=""),"",ROUND(MOD(H168-G168,1)*1440,0))</f>
        <v/>
      </c>
      <c r="AR168" s="68" t="str">
        <f aca="false">IF(AQ168="","",IF(AQ168&lt;15,"Under 15m",IF(AQ168&lt;60,"15-60m",IF(AQ168&lt;240,"1-4 hours","4+ hours"))))</f>
        <v/>
      </c>
      <c r="AS168" s="66" t="str">
        <f aca="false">IF(G168="","",HOUR(G168))</f>
        <v/>
      </c>
      <c r="AT168" s="80" t="str">
        <f aca="false">IF(OR(Z168="",AB168="",BL168=""),"",IFERROR(ROUND(IF(J168="Short",Z168-AB168,AB168-Z168)/BL168,1),""))</f>
        <v/>
      </c>
      <c r="AU168" s="68" t="str">
        <f aca="false">IF(OR(AA168="",AC168=""),"",IF(AA168=AC168,"No","Yes"))</f>
        <v/>
      </c>
      <c r="AV168" s="81" t="str">
        <f aca="false">IF(OR(B168="",BL168="",BM168="",AB168="",AC168=""),"",IFERROR(ROUND(AI168/(ABS(AB168-AC168)/BL168*BM168),2),""))</f>
        <v/>
      </c>
      <c r="AW168" s="76" t="str">
        <f aca="false">IF(B168="","",ROUND(BK168+SUMIFS(AM$5:AM167,BJ$5:BJ167,BJ168),2))</f>
        <v/>
      </c>
      <c r="AX168" s="66" t="str">
        <f aca="false">IF(B168="","",COUNTIFS(B$6:B168,B168,BJ$6:BJ168,BJ168))</f>
        <v/>
      </c>
      <c r="AY168" s="79" t="str">
        <f aca="false">IF(B168="","",ROUND(SUMIFS(AM$5:AM167,B$5:B167,B168,BJ$5:BJ167,BJ168),2))</f>
        <v/>
      </c>
      <c r="AZ168" s="79" t="str">
        <f aca="false">IF(AM168="","",ROUND(AY168+AM168,2))</f>
        <v/>
      </c>
      <c r="BA168" s="79" t="str">
        <f aca="false">IF(B168="","",ROUND(SUMIFS(AM$5:AM167,B$5:B167,"&gt;="&amp;(B168-WEEKDAY(B168,2)+1),B$5:B167,"&lt;="&amp;B168,BJ$5:BJ167,BJ168),2))</f>
        <v/>
      </c>
      <c r="BB168" s="68" t="str">
        <f aca="false">IF(B168="","",IF(AND(AF168&lt;&gt;"",AV168&lt;&gt;"",N(AF168)&gt;N(AV168)*(1+Settings!$C$13)),"Oversized",IF(AX168&gt;Settings!$C$10,"Overtraded",IF(AY168&lt;=-Settings!$C$11*(AW168-AY168),"Daily loss hit",IF(BA168&lt;=-Settings!$C$12*(AW168-BA168),"Weekly loss hit","OK")))))</f>
        <v/>
      </c>
      <c r="BC168" s="69"/>
      <c r="BD168" s="69"/>
      <c r="BE168" s="69"/>
      <c r="BF168" s="73"/>
      <c r="BG168" s="73"/>
      <c r="BH168" s="71"/>
      <c r="BI168" s="71"/>
      <c r="BJ168" s="68" t="str">
        <f aca="false">IF(B168="","",IF(E168="",Settings!$F$5,E168))</f>
        <v/>
      </c>
      <c r="BK168" s="76" t="str">
        <f aca="false">IF(B168="","",IFERROR(INDEX(Settings!$G$5:$G$10,MATCH(BJ168,Settings!$F$5:$F$10,0)),Settings!$G$5))</f>
        <v/>
      </c>
      <c r="BL168" s="82" t="str">
        <f aca="false">IF(I168="","",IFERROR(1/(1/INDEX(Lists!$C$6:$C$17,MATCH(I168,Lists!$B$6:$B$17,0))),""))</f>
        <v/>
      </c>
      <c r="BM168" s="81" t="str">
        <f aca="false">IF(I168="","",IFERROR(1/(1/INDEX(Lists!$D$6:$D$17,MATCH(I168,Lists!$B$6:$B$17,0))),""))</f>
        <v/>
      </c>
      <c r="BN168" s="76" t="str">
        <f aca="false">IF(AN168="","",MAX(BK168,_xlfn.MAXIFS(AN$6:AN168,BJ$6:BJ168,BJ168)))</f>
        <v/>
      </c>
      <c r="BO168" s="83" t="str">
        <f aca="false">IF(AN168="","",(AN168-BN168)/BN168)</f>
        <v/>
      </c>
      <c r="BP168" s="66" t="n">
        <f aca="false">IF(OR(B168="",AL168=""),0,IF(OR(Settings!$C$28="All Accounts",BJ168=Settings!$C$28),1,0))</f>
        <v>0</v>
      </c>
      <c r="BQ168" s="66" t="str">
        <f aca="false">IF(BP168=1,SUM(BP$6:BP168),"")</f>
        <v/>
      </c>
      <c r="BR168" s="76" t="str">
        <f aca="false">IF(BP168=1,ROUND(Settings!$C$29+SUMIFS(AM$6:AM168,BP$6:BP168,1),2),"")</f>
        <v/>
      </c>
      <c r="BS168" s="76" t="str">
        <f aca="false">IF(BP168=1,MAX(Settings!$C$29,MAX(BR$6:BR168)),"")</f>
        <v/>
      </c>
      <c r="BT168" s="83" t="str">
        <f aca="false">IF(BP168=1,(BR168-BS168)/BS168,"")</f>
        <v/>
      </c>
      <c r="BU168" s="66" t="str">
        <f aca="false">IF(BP168=1,IF(AL168="Win",1+IF(BQ168=1,0,INDEX(BU$5:BU167,MATCH(BQ168-1,BQ$5:BQ167,0))),0),"")</f>
        <v/>
      </c>
      <c r="BV168" s="66" t="str">
        <f aca="false">IF(BP168=1,IF(AL168="Loss",1+IF(BQ168=1,0,INDEX(BV$5:BV167,MATCH(BQ168-1,BQ$5:BQ167,0))),0),"")</f>
        <v/>
      </c>
    </row>
    <row r="169" customFormat="false" ht="15" hidden="false" customHeight="false" outlineLevel="0" collapsed="false">
      <c r="A169" s="66" t="str">
        <f aca="false">IF(B169="","",ROW()-5)</f>
        <v/>
      </c>
      <c r="B169" s="67"/>
      <c r="C169" s="68" t="str">
        <f aca="false">IF(B169="","",CHOOSE(WEEKDAY(B169,2),"Mon","Tue","Wed","Thu","Fri","Sat","Sun"))</f>
        <v/>
      </c>
      <c r="D169" s="66" t="str">
        <f aca="false">IF(B169="","",WEEKNUM(B169,2))</f>
        <v/>
      </c>
      <c r="E169" s="69"/>
      <c r="F169" s="69"/>
      <c r="G169" s="70"/>
      <c r="H169" s="70"/>
      <c r="I169" s="69"/>
      <c r="J169" s="69"/>
      <c r="K169" s="69"/>
      <c r="L169" s="71"/>
      <c r="M169" s="69"/>
      <c r="N169" s="69"/>
      <c r="O169" s="69"/>
      <c r="P169" s="71"/>
      <c r="Q169" s="69"/>
      <c r="R169" s="69"/>
      <c r="S169" s="69"/>
      <c r="T169" s="69"/>
      <c r="U169" s="69"/>
      <c r="V169" s="69"/>
      <c r="W169" s="69"/>
      <c r="X169" s="66" t="str">
        <f aca="false">IF(B169="","",COUNTIF(Q169:W169,"Yes"))</f>
        <v/>
      </c>
      <c r="Y169" s="68" t="str">
        <f aca="false">IF(B169="","",IF(X169&gt;=Settings!$C$16,"A+",IF(X169&gt;=Settings!$C$17,"A",IF(X169&gt;=Settings!$C$18,"B","C"))))</f>
        <v/>
      </c>
      <c r="Z169" s="72"/>
      <c r="AA169" s="72"/>
      <c r="AB169" s="72"/>
      <c r="AC169" s="72"/>
      <c r="AD169" s="72"/>
      <c r="AE169" s="72"/>
      <c r="AF169" s="73"/>
      <c r="AG169" s="74"/>
      <c r="AH169" s="75"/>
      <c r="AI169" s="76" t="str">
        <f aca="false">IF(B169="","",ROUND(IF(AG169="",Settings!$C$5,AG169)*AW169,2))</f>
        <v/>
      </c>
      <c r="AJ169" s="77" t="str">
        <f aca="false">IF(OR(B169="",AB169="",AC169="",AD169=""),"",IFERROR(ROUND(ABS(AD169-AB169)/ABS(AB169-AC169),2),""))</f>
        <v/>
      </c>
      <c r="AK169" s="78" t="str">
        <f aca="false">IF(OR(B169="",AB169="",AC169="",AE169=""),"",IFERROR(ROUND(IF(J169="Short",AB169-AE169,AE169-AB169)/ABS(AB169-AC169),2),""))</f>
        <v/>
      </c>
      <c r="AL169" s="68" t="str">
        <f aca="false">IF(AK169="","",IF(ABS(AK169)&lt;=Settings!$C$6,"BE",IF(AK169&gt;0,"Win","Loss")))</f>
        <v/>
      </c>
      <c r="AM169" s="79" t="str">
        <f aca="false">IF(OR(AK169="",AI169=""),"",ROUND(AK169*AI169-N(AH169),2))</f>
        <v/>
      </c>
      <c r="AN169" s="76" t="str">
        <f aca="false">IF(AM169="","",ROUND(BK169+SUMIFS(AM$6:AM169,BJ$6:BJ169,BJ169),2))</f>
        <v/>
      </c>
      <c r="AO169" s="78" t="str">
        <f aca="false">IF(AK169="","",ROUND(SUMIFS(AK$6:AK169,BJ$6:BJ169,BJ169),2))</f>
        <v/>
      </c>
      <c r="AP169" s="80" t="str">
        <f aca="false">IF(OR(AK169="",BL169=""),"",IFERROR(ROUND(IF(J169="Short",AB169-AE169,AE169-AB169)/BL169,1),""))</f>
        <v/>
      </c>
      <c r="AQ169" s="66" t="str">
        <f aca="false">IF(OR(G169="",H169=""),"",ROUND(MOD(H169-G169,1)*1440,0))</f>
        <v/>
      </c>
      <c r="AR169" s="68" t="str">
        <f aca="false">IF(AQ169="","",IF(AQ169&lt;15,"Under 15m",IF(AQ169&lt;60,"15-60m",IF(AQ169&lt;240,"1-4 hours","4+ hours"))))</f>
        <v/>
      </c>
      <c r="AS169" s="66" t="str">
        <f aca="false">IF(G169="","",HOUR(G169))</f>
        <v/>
      </c>
      <c r="AT169" s="80" t="str">
        <f aca="false">IF(OR(Z169="",AB169="",BL169=""),"",IFERROR(ROUND(IF(J169="Short",Z169-AB169,AB169-Z169)/BL169,1),""))</f>
        <v/>
      </c>
      <c r="AU169" s="68" t="str">
        <f aca="false">IF(OR(AA169="",AC169=""),"",IF(AA169=AC169,"No","Yes"))</f>
        <v/>
      </c>
      <c r="AV169" s="81" t="str">
        <f aca="false">IF(OR(B169="",BL169="",BM169="",AB169="",AC169=""),"",IFERROR(ROUND(AI169/(ABS(AB169-AC169)/BL169*BM169),2),""))</f>
        <v/>
      </c>
      <c r="AW169" s="76" t="str">
        <f aca="false">IF(B169="","",ROUND(BK169+SUMIFS(AM$5:AM168,BJ$5:BJ168,BJ169),2))</f>
        <v/>
      </c>
      <c r="AX169" s="66" t="str">
        <f aca="false">IF(B169="","",COUNTIFS(B$6:B169,B169,BJ$6:BJ169,BJ169))</f>
        <v/>
      </c>
      <c r="AY169" s="79" t="str">
        <f aca="false">IF(B169="","",ROUND(SUMIFS(AM$5:AM168,B$5:B168,B169,BJ$5:BJ168,BJ169),2))</f>
        <v/>
      </c>
      <c r="AZ169" s="79" t="str">
        <f aca="false">IF(AM169="","",ROUND(AY169+AM169,2))</f>
        <v/>
      </c>
      <c r="BA169" s="79" t="str">
        <f aca="false">IF(B169="","",ROUND(SUMIFS(AM$5:AM168,B$5:B168,"&gt;="&amp;(B169-WEEKDAY(B169,2)+1),B$5:B168,"&lt;="&amp;B169,BJ$5:BJ168,BJ169),2))</f>
        <v/>
      </c>
      <c r="BB169" s="68" t="str">
        <f aca="false">IF(B169="","",IF(AND(AF169&lt;&gt;"",AV169&lt;&gt;"",N(AF169)&gt;N(AV169)*(1+Settings!$C$13)),"Oversized",IF(AX169&gt;Settings!$C$10,"Overtraded",IF(AY169&lt;=-Settings!$C$11*(AW169-AY169),"Daily loss hit",IF(BA169&lt;=-Settings!$C$12*(AW169-BA169),"Weekly loss hit","OK")))))</f>
        <v/>
      </c>
      <c r="BC169" s="69"/>
      <c r="BD169" s="69"/>
      <c r="BE169" s="69"/>
      <c r="BF169" s="73"/>
      <c r="BG169" s="73"/>
      <c r="BH169" s="71"/>
      <c r="BI169" s="71"/>
      <c r="BJ169" s="68" t="str">
        <f aca="false">IF(B169="","",IF(E169="",Settings!$F$5,E169))</f>
        <v/>
      </c>
      <c r="BK169" s="76" t="str">
        <f aca="false">IF(B169="","",IFERROR(INDEX(Settings!$G$5:$G$10,MATCH(BJ169,Settings!$F$5:$F$10,0)),Settings!$G$5))</f>
        <v/>
      </c>
      <c r="BL169" s="82" t="str">
        <f aca="false">IF(I169="","",IFERROR(1/(1/INDEX(Lists!$C$6:$C$17,MATCH(I169,Lists!$B$6:$B$17,0))),""))</f>
        <v/>
      </c>
      <c r="BM169" s="81" t="str">
        <f aca="false">IF(I169="","",IFERROR(1/(1/INDEX(Lists!$D$6:$D$17,MATCH(I169,Lists!$B$6:$B$17,0))),""))</f>
        <v/>
      </c>
      <c r="BN169" s="76" t="str">
        <f aca="false">IF(AN169="","",MAX(BK169,_xlfn.MAXIFS(AN$6:AN169,BJ$6:BJ169,BJ169)))</f>
        <v/>
      </c>
      <c r="BO169" s="83" t="str">
        <f aca="false">IF(AN169="","",(AN169-BN169)/BN169)</f>
        <v/>
      </c>
      <c r="BP169" s="66" t="n">
        <f aca="false">IF(OR(B169="",AL169=""),0,IF(OR(Settings!$C$28="All Accounts",BJ169=Settings!$C$28),1,0))</f>
        <v>0</v>
      </c>
      <c r="BQ169" s="66" t="str">
        <f aca="false">IF(BP169=1,SUM(BP$6:BP169),"")</f>
        <v/>
      </c>
      <c r="BR169" s="76" t="str">
        <f aca="false">IF(BP169=1,ROUND(Settings!$C$29+SUMIFS(AM$6:AM169,BP$6:BP169,1),2),"")</f>
        <v/>
      </c>
      <c r="BS169" s="76" t="str">
        <f aca="false">IF(BP169=1,MAX(Settings!$C$29,MAX(BR$6:BR169)),"")</f>
        <v/>
      </c>
      <c r="BT169" s="83" t="str">
        <f aca="false">IF(BP169=1,(BR169-BS169)/BS169,"")</f>
        <v/>
      </c>
      <c r="BU169" s="66" t="str">
        <f aca="false">IF(BP169=1,IF(AL169="Win",1+IF(BQ169=1,0,INDEX(BU$5:BU168,MATCH(BQ169-1,BQ$5:BQ168,0))),0),"")</f>
        <v/>
      </c>
      <c r="BV169" s="66" t="str">
        <f aca="false">IF(BP169=1,IF(AL169="Loss",1+IF(BQ169=1,0,INDEX(BV$5:BV168,MATCH(BQ169-1,BQ$5:BQ168,0))),0),"")</f>
        <v/>
      </c>
    </row>
    <row r="170" customFormat="false" ht="15" hidden="false" customHeight="false" outlineLevel="0" collapsed="false">
      <c r="A170" s="66" t="str">
        <f aca="false">IF(B170="","",ROW()-5)</f>
        <v/>
      </c>
      <c r="B170" s="67"/>
      <c r="C170" s="68" t="str">
        <f aca="false">IF(B170="","",CHOOSE(WEEKDAY(B170,2),"Mon","Tue","Wed","Thu","Fri","Sat","Sun"))</f>
        <v/>
      </c>
      <c r="D170" s="66" t="str">
        <f aca="false">IF(B170="","",WEEKNUM(B170,2))</f>
        <v/>
      </c>
      <c r="E170" s="69"/>
      <c r="F170" s="69"/>
      <c r="G170" s="70"/>
      <c r="H170" s="70"/>
      <c r="I170" s="69"/>
      <c r="J170" s="69"/>
      <c r="K170" s="69"/>
      <c r="L170" s="71"/>
      <c r="M170" s="69"/>
      <c r="N170" s="69"/>
      <c r="O170" s="69"/>
      <c r="P170" s="71"/>
      <c r="Q170" s="69"/>
      <c r="R170" s="69"/>
      <c r="S170" s="69"/>
      <c r="T170" s="69"/>
      <c r="U170" s="69"/>
      <c r="V170" s="69"/>
      <c r="W170" s="69"/>
      <c r="X170" s="66" t="str">
        <f aca="false">IF(B170="","",COUNTIF(Q170:W170,"Yes"))</f>
        <v/>
      </c>
      <c r="Y170" s="68" t="str">
        <f aca="false">IF(B170="","",IF(X170&gt;=Settings!$C$16,"A+",IF(X170&gt;=Settings!$C$17,"A",IF(X170&gt;=Settings!$C$18,"B","C"))))</f>
        <v/>
      </c>
      <c r="Z170" s="72"/>
      <c r="AA170" s="72"/>
      <c r="AB170" s="72"/>
      <c r="AC170" s="72"/>
      <c r="AD170" s="72"/>
      <c r="AE170" s="72"/>
      <c r="AF170" s="73"/>
      <c r="AG170" s="74"/>
      <c r="AH170" s="75"/>
      <c r="AI170" s="76" t="str">
        <f aca="false">IF(B170="","",ROUND(IF(AG170="",Settings!$C$5,AG170)*AW170,2))</f>
        <v/>
      </c>
      <c r="AJ170" s="77" t="str">
        <f aca="false">IF(OR(B170="",AB170="",AC170="",AD170=""),"",IFERROR(ROUND(ABS(AD170-AB170)/ABS(AB170-AC170),2),""))</f>
        <v/>
      </c>
      <c r="AK170" s="78" t="str">
        <f aca="false">IF(OR(B170="",AB170="",AC170="",AE170=""),"",IFERROR(ROUND(IF(J170="Short",AB170-AE170,AE170-AB170)/ABS(AB170-AC170),2),""))</f>
        <v/>
      </c>
      <c r="AL170" s="68" t="str">
        <f aca="false">IF(AK170="","",IF(ABS(AK170)&lt;=Settings!$C$6,"BE",IF(AK170&gt;0,"Win","Loss")))</f>
        <v/>
      </c>
      <c r="AM170" s="79" t="str">
        <f aca="false">IF(OR(AK170="",AI170=""),"",ROUND(AK170*AI170-N(AH170),2))</f>
        <v/>
      </c>
      <c r="AN170" s="76" t="str">
        <f aca="false">IF(AM170="","",ROUND(BK170+SUMIFS(AM$6:AM170,BJ$6:BJ170,BJ170),2))</f>
        <v/>
      </c>
      <c r="AO170" s="78" t="str">
        <f aca="false">IF(AK170="","",ROUND(SUMIFS(AK$6:AK170,BJ$6:BJ170,BJ170),2))</f>
        <v/>
      </c>
      <c r="AP170" s="80" t="str">
        <f aca="false">IF(OR(AK170="",BL170=""),"",IFERROR(ROUND(IF(J170="Short",AB170-AE170,AE170-AB170)/BL170,1),""))</f>
        <v/>
      </c>
      <c r="AQ170" s="66" t="str">
        <f aca="false">IF(OR(G170="",H170=""),"",ROUND(MOD(H170-G170,1)*1440,0))</f>
        <v/>
      </c>
      <c r="AR170" s="68" t="str">
        <f aca="false">IF(AQ170="","",IF(AQ170&lt;15,"Under 15m",IF(AQ170&lt;60,"15-60m",IF(AQ170&lt;240,"1-4 hours","4+ hours"))))</f>
        <v/>
      </c>
      <c r="AS170" s="66" t="str">
        <f aca="false">IF(G170="","",HOUR(G170))</f>
        <v/>
      </c>
      <c r="AT170" s="80" t="str">
        <f aca="false">IF(OR(Z170="",AB170="",BL170=""),"",IFERROR(ROUND(IF(J170="Short",Z170-AB170,AB170-Z170)/BL170,1),""))</f>
        <v/>
      </c>
      <c r="AU170" s="68" t="str">
        <f aca="false">IF(OR(AA170="",AC170=""),"",IF(AA170=AC170,"No","Yes"))</f>
        <v/>
      </c>
      <c r="AV170" s="81" t="str">
        <f aca="false">IF(OR(B170="",BL170="",BM170="",AB170="",AC170=""),"",IFERROR(ROUND(AI170/(ABS(AB170-AC170)/BL170*BM170),2),""))</f>
        <v/>
      </c>
      <c r="AW170" s="76" t="str">
        <f aca="false">IF(B170="","",ROUND(BK170+SUMIFS(AM$5:AM169,BJ$5:BJ169,BJ170),2))</f>
        <v/>
      </c>
      <c r="AX170" s="66" t="str">
        <f aca="false">IF(B170="","",COUNTIFS(B$6:B170,B170,BJ$6:BJ170,BJ170))</f>
        <v/>
      </c>
      <c r="AY170" s="79" t="str">
        <f aca="false">IF(B170="","",ROUND(SUMIFS(AM$5:AM169,B$5:B169,B170,BJ$5:BJ169,BJ170),2))</f>
        <v/>
      </c>
      <c r="AZ170" s="79" t="str">
        <f aca="false">IF(AM170="","",ROUND(AY170+AM170,2))</f>
        <v/>
      </c>
      <c r="BA170" s="79" t="str">
        <f aca="false">IF(B170="","",ROUND(SUMIFS(AM$5:AM169,B$5:B169,"&gt;="&amp;(B170-WEEKDAY(B170,2)+1),B$5:B169,"&lt;="&amp;B170,BJ$5:BJ169,BJ170),2))</f>
        <v/>
      </c>
      <c r="BB170" s="68" t="str">
        <f aca="false">IF(B170="","",IF(AND(AF170&lt;&gt;"",AV170&lt;&gt;"",N(AF170)&gt;N(AV170)*(1+Settings!$C$13)),"Oversized",IF(AX170&gt;Settings!$C$10,"Overtraded",IF(AY170&lt;=-Settings!$C$11*(AW170-AY170),"Daily loss hit",IF(BA170&lt;=-Settings!$C$12*(AW170-BA170),"Weekly loss hit","OK")))))</f>
        <v/>
      </c>
      <c r="BC170" s="69"/>
      <c r="BD170" s="69"/>
      <c r="BE170" s="69"/>
      <c r="BF170" s="73"/>
      <c r="BG170" s="73"/>
      <c r="BH170" s="71"/>
      <c r="BI170" s="71"/>
      <c r="BJ170" s="68" t="str">
        <f aca="false">IF(B170="","",IF(E170="",Settings!$F$5,E170))</f>
        <v/>
      </c>
      <c r="BK170" s="76" t="str">
        <f aca="false">IF(B170="","",IFERROR(INDEX(Settings!$G$5:$G$10,MATCH(BJ170,Settings!$F$5:$F$10,0)),Settings!$G$5))</f>
        <v/>
      </c>
      <c r="BL170" s="82" t="str">
        <f aca="false">IF(I170="","",IFERROR(1/(1/INDEX(Lists!$C$6:$C$17,MATCH(I170,Lists!$B$6:$B$17,0))),""))</f>
        <v/>
      </c>
      <c r="BM170" s="81" t="str">
        <f aca="false">IF(I170="","",IFERROR(1/(1/INDEX(Lists!$D$6:$D$17,MATCH(I170,Lists!$B$6:$B$17,0))),""))</f>
        <v/>
      </c>
      <c r="BN170" s="76" t="str">
        <f aca="false">IF(AN170="","",MAX(BK170,_xlfn.MAXIFS(AN$6:AN170,BJ$6:BJ170,BJ170)))</f>
        <v/>
      </c>
      <c r="BO170" s="83" t="str">
        <f aca="false">IF(AN170="","",(AN170-BN170)/BN170)</f>
        <v/>
      </c>
      <c r="BP170" s="66" t="n">
        <f aca="false">IF(OR(B170="",AL170=""),0,IF(OR(Settings!$C$28="All Accounts",BJ170=Settings!$C$28),1,0))</f>
        <v>0</v>
      </c>
      <c r="BQ170" s="66" t="str">
        <f aca="false">IF(BP170=1,SUM(BP$6:BP170),"")</f>
        <v/>
      </c>
      <c r="BR170" s="76" t="str">
        <f aca="false">IF(BP170=1,ROUND(Settings!$C$29+SUMIFS(AM$6:AM170,BP$6:BP170,1),2),"")</f>
        <v/>
      </c>
      <c r="BS170" s="76" t="str">
        <f aca="false">IF(BP170=1,MAX(Settings!$C$29,MAX(BR$6:BR170)),"")</f>
        <v/>
      </c>
      <c r="BT170" s="83" t="str">
        <f aca="false">IF(BP170=1,(BR170-BS170)/BS170,"")</f>
        <v/>
      </c>
      <c r="BU170" s="66" t="str">
        <f aca="false">IF(BP170=1,IF(AL170="Win",1+IF(BQ170=1,0,INDEX(BU$5:BU169,MATCH(BQ170-1,BQ$5:BQ169,0))),0),"")</f>
        <v/>
      </c>
      <c r="BV170" s="66" t="str">
        <f aca="false">IF(BP170=1,IF(AL170="Loss",1+IF(BQ170=1,0,INDEX(BV$5:BV169,MATCH(BQ170-1,BQ$5:BQ169,0))),0),"")</f>
        <v/>
      </c>
    </row>
    <row r="171" customFormat="false" ht="15" hidden="false" customHeight="false" outlineLevel="0" collapsed="false">
      <c r="A171" s="66" t="str">
        <f aca="false">IF(B171="","",ROW()-5)</f>
        <v/>
      </c>
      <c r="B171" s="67"/>
      <c r="C171" s="68" t="str">
        <f aca="false">IF(B171="","",CHOOSE(WEEKDAY(B171,2),"Mon","Tue","Wed","Thu","Fri","Sat","Sun"))</f>
        <v/>
      </c>
      <c r="D171" s="66" t="str">
        <f aca="false">IF(B171="","",WEEKNUM(B171,2))</f>
        <v/>
      </c>
      <c r="E171" s="69"/>
      <c r="F171" s="69"/>
      <c r="G171" s="70"/>
      <c r="H171" s="70"/>
      <c r="I171" s="69"/>
      <c r="J171" s="69"/>
      <c r="K171" s="69"/>
      <c r="L171" s="71"/>
      <c r="M171" s="69"/>
      <c r="N171" s="69"/>
      <c r="O171" s="69"/>
      <c r="P171" s="71"/>
      <c r="Q171" s="69"/>
      <c r="R171" s="69"/>
      <c r="S171" s="69"/>
      <c r="T171" s="69"/>
      <c r="U171" s="69"/>
      <c r="V171" s="69"/>
      <c r="W171" s="69"/>
      <c r="X171" s="66" t="str">
        <f aca="false">IF(B171="","",COUNTIF(Q171:W171,"Yes"))</f>
        <v/>
      </c>
      <c r="Y171" s="68" t="str">
        <f aca="false">IF(B171="","",IF(X171&gt;=Settings!$C$16,"A+",IF(X171&gt;=Settings!$C$17,"A",IF(X171&gt;=Settings!$C$18,"B","C"))))</f>
        <v/>
      </c>
      <c r="Z171" s="72"/>
      <c r="AA171" s="72"/>
      <c r="AB171" s="72"/>
      <c r="AC171" s="72"/>
      <c r="AD171" s="72"/>
      <c r="AE171" s="72"/>
      <c r="AF171" s="73"/>
      <c r="AG171" s="74"/>
      <c r="AH171" s="75"/>
      <c r="AI171" s="76" t="str">
        <f aca="false">IF(B171="","",ROUND(IF(AG171="",Settings!$C$5,AG171)*AW171,2))</f>
        <v/>
      </c>
      <c r="AJ171" s="77" t="str">
        <f aca="false">IF(OR(B171="",AB171="",AC171="",AD171=""),"",IFERROR(ROUND(ABS(AD171-AB171)/ABS(AB171-AC171),2),""))</f>
        <v/>
      </c>
      <c r="AK171" s="78" t="str">
        <f aca="false">IF(OR(B171="",AB171="",AC171="",AE171=""),"",IFERROR(ROUND(IF(J171="Short",AB171-AE171,AE171-AB171)/ABS(AB171-AC171),2),""))</f>
        <v/>
      </c>
      <c r="AL171" s="68" t="str">
        <f aca="false">IF(AK171="","",IF(ABS(AK171)&lt;=Settings!$C$6,"BE",IF(AK171&gt;0,"Win","Loss")))</f>
        <v/>
      </c>
      <c r="AM171" s="79" t="str">
        <f aca="false">IF(OR(AK171="",AI171=""),"",ROUND(AK171*AI171-N(AH171),2))</f>
        <v/>
      </c>
      <c r="AN171" s="76" t="str">
        <f aca="false">IF(AM171="","",ROUND(BK171+SUMIFS(AM$6:AM171,BJ$6:BJ171,BJ171),2))</f>
        <v/>
      </c>
      <c r="AO171" s="78" t="str">
        <f aca="false">IF(AK171="","",ROUND(SUMIFS(AK$6:AK171,BJ$6:BJ171,BJ171),2))</f>
        <v/>
      </c>
      <c r="AP171" s="80" t="str">
        <f aca="false">IF(OR(AK171="",BL171=""),"",IFERROR(ROUND(IF(J171="Short",AB171-AE171,AE171-AB171)/BL171,1),""))</f>
        <v/>
      </c>
      <c r="AQ171" s="66" t="str">
        <f aca="false">IF(OR(G171="",H171=""),"",ROUND(MOD(H171-G171,1)*1440,0))</f>
        <v/>
      </c>
      <c r="AR171" s="68" t="str">
        <f aca="false">IF(AQ171="","",IF(AQ171&lt;15,"Under 15m",IF(AQ171&lt;60,"15-60m",IF(AQ171&lt;240,"1-4 hours","4+ hours"))))</f>
        <v/>
      </c>
      <c r="AS171" s="66" t="str">
        <f aca="false">IF(G171="","",HOUR(G171))</f>
        <v/>
      </c>
      <c r="AT171" s="80" t="str">
        <f aca="false">IF(OR(Z171="",AB171="",BL171=""),"",IFERROR(ROUND(IF(J171="Short",Z171-AB171,AB171-Z171)/BL171,1),""))</f>
        <v/>
      </c>
      <c r="AU171" s="68" t="str">
        <f aca="false">IF(OR(AA171="",AC171=""),"",IF(AA171=AC171,"No","Yes"))</f>
        <v/>
      </c>
      <c r="AV171" s="81" t="str">
        <f aca="false">IF(OR(B171="",BL171="",BM171="",AB171="",AC171=""),"",IFERROR(ROUND(AI171/(ABS(AB171-AC171)/BL171*BM171),2),""))</f>
        <v/>
      </c>
      <c r="AW171" s="76" t="str">
        <f aca="false">IF(B171="","",ROUND(BK171+SUMIFS(AM$5:AM170,BJ$5:BJ170,BJ171),2))</f>
        <v/>
      </c>
      <c r="AX171" s="66" t="str">
        <f aca="false">IF(B171="","",COUNTIFS(B$6:B171,B171,BJ$6:BJ171,BJ171))</f>
        <v/>
      </c>
      <c r="AY171" s="79" t="str">
        <f aca="false">IF(B171="","",ROUND(SUMIFS(AM$5:AM170,B$5:B170,B171,BJ$5:BJ170,BJ171),2))</f>
        <v/>
      </c>
      <c r="AZ171" s="79" t="str">
        <f aca="false">IF(AM171="","",ROUND(AY171+AM171,2))</f>
        <v/>
      </c>
      <c r="BA171" s="79" t="str">
        <f aca="false">IF(B171="","",ROUND(SUMIFS(AM$5:AM170,B$5:B170,"&gt;="&amp;(B171-WEEKDAY(B171,2)+1),B$5:B170,"&lt;="&amp;B171,BJ$5:BJ170,BJ171),2))</f>
        <v/>
      </c>
      <c r="BB171" s="68" t="str">
        <f aca="false">IF(B171="","",IF(AND(AF171&lt;&gt;"",AV171&lt;&gt;"",N(AF171)&gt;N(AV171)*(1+Settings!$C$13)),"Oversized",IF(AX171&gt;Settings!$C$10,"Overtraded",IF(AY171&lt;=-Settings!$C$11*(AW171-AY171),"Daily loss hit",IF(BA171&lt;=-Settings!$C$12*(AW171-BA171),"Weekly loss hit","OK")))))</f>
        <v/>
      </c>
      <c r="BC171" s="69"/>
      <c r="BD171" s="69"/>
      <c r="BE171" s="69"/>
      <c r="BF171" s="73"/>
      <c r="BG171" s="73"/>
      <c r="BH171" s="71"/>
      <c r="BI171" s="71"/>
      <c r="BJ171" s="68" t="str">
        <f aca="false">IF(B171="","",IF(E171="",Settings!$F$5,E171))</f>
        <v/>
      </c>
      <c r="BK171" s="76" t="str">
        <f aca="false">IF(B171="","",IFERROR(INDEX(Settings!$G$5:$G$10,MATCH(BJ171,Settings!$F$5:$F$10,0)),Settings!$G$5))</f>
        <v/>
      </c>
      <c r="BL171" s="82" t="str">
        <f aca="false">IF(I171="","",IFERROR(1/(1/INDEX(Lists!$C$6:$C$17,MATCH(I171,Lists!$B$6:$B$17,0))),""))</f>
        <v/>
      </c>
      <c r="BM171" s="81" t="str">
        <f aca="false">IF(I171="","",IFERROR(1/(1/INDEX(Lists!$D$6:$D$17,MATCH(I171,Lists!$B$6:$B$17,0))),""))</f>
        <v/>
      </c>
      <c r="BN171" s="76" t="str">
        <f aca="false">IF(AN171="","",MAX(BK171,_xlfn.MAXIFS(AN$6:AN171,BJ$6:BJ171,BJ171)))</f>
        <v/>
      </c>
      <c r="BO171" s="83" t="str">
        <f aca="false">IF(AN171="","",(AN171-BN171)/BN171)</f>
        <v/>
      </c>
      <c r="BP171" s="66" t="n">
        <f aca="false">IF(OR(B171="",AL171=""),0,IF(OR(Settings!$C$28="All Accounts",BJ171=Settings!$C$28),1,0))</f>
        <v>0</v>
      </c>
      <c r="BQ171" s="66" t="str">
        <f aca="false">IF(BP171=1,SUM(BP$6:BP171),"")</f>
        <v/>
      </c>
      <c r="BR171" s="76" t="str">
        <f aca="false">IF(BP171=1,ROUND(Settings!$C$29+SUMIFS(AM$6:AM171,BP$6:BP171,1),2),"")</f>
        <v/>
      </c>
      <c r="BS171" s="76" t="str">
        <f aca="false">IF(BP171=1,MAX(Settings!$C$29,MAX(BR$6:BR171)),"")</f>
        <v/>
      </c>
      <c r="BT171" s="83" t="str">
        <f aca="false">IF(BP171=1,(BR171-BS171)/BS171,"")</f>
        <v/>
      </c>
      <c r="BU171" s="66" t="str">
        <f aca="false">IF(BP171=1,IF(AL171="Win",1+IF(BQ171=1,0,INDEX(BU$5:BU170,MATCH(BQ171-1,BQ$5:BQ170,0))),0),"")</f>
        <v/>
      </c>
      <c r="BV171" s="66" t="str">
        <f aca="false">IF(BP171=1,IF(AL171="Loss",1+IF(BQ171=1,0,INDEX(BV$5:BV170,MATCH(BQ171-1,BQ$5:BQ170,0))),0),"")</f>
        <v/>
      </c>
    </row>
    <row r="172" customFormat="false" ht="15" hidden="false" customHeight="false" outlineLevel="0" collapsed="false">
      <c r="A172" s="66" t="str">
        <f aca="false">IF(B172="","",ROW()-5)</f>
        <v/>
      </c>
      <c r="B172" s="67"/>
      <c r="C172" s="68" t="str">
        <f aca="false">IF(B172="","",CHOOSE(WEEKDAY(B172,2),"Mon","Tue","Wed","Thu","Fri","Sat","Sun"))</f>
        <v/>
      </c>
      <c r="D172" s="66" t="str">
        <f aca="false">IF(B172="","",WEEKNUM(B172,2))</f>
        <v/>
      </c>
      <c r="E172" s="69"/>
      <c r="F172" s="69"/>
      <c r="G172" s="70"/>
      <c r="H172" s="70"/>
      <c r="I172" s="69"/>
      <c r="J172" s="69"/>
      <c r="K172" s="69"/>
      <c r="L172" s="71"/>
      <c r="M172" s="69"/>
      <c r="N172" s="69"/>
      <c r="O172" s="69"/>
      <c r="P172" s="71"/>
      <c r="Q172" s="69"/>
      <c r="R172" s="69"/>
      <c r="S172" s="69"/>
      <c r="T172" s="69"/>
      <c r="U172" s="69"/>
      <c r="V172" s="69"/>
      <c r="W172" s="69"/>
      <c r="X172" s="66" t="str">
        <f aca="false">IF(B172="","",COUNTIF(Q172:W172,"Yes"))</f>
        <v/>
      </c>
      <c r="Y172" s="68" t="str">
        <f aca="false">IF(B172="","",IF(X172&gt;=Settings!$C$16,"A+",IF(X172&gt;=Settings!$C$17,"A",IF(X172&gt;=Settings!$C$18,"B","C"))))</f>
        <v/>
      </c>
      <c r="Z172" s="72"/>
      <c r="AA172" s="72"/>
      <c r="AB172" s="72"/>
      <c r="AC172" s="72"/>
      <c r="AD172" s="72"/>
      <c r="AE172" s="72"/>
      <c r="AF172" s="73"/>
      <c r="AG172" s="74"/>
      <c r="AH172" s="75"/>
      <c r="AI172" s="76" t="str">
        <f aca="false">IF(B172="","",ROUND(IF(AG172="",Settings!$C$5,AG172)*AW172,2))</f>
        <v/>
      </c>
      <c r="AJ172" s="77" t="str">
        <f aca="false">IF(OR(B172="",AB172="",AC172="",AD172=""),"",IFERROR(ROUND(ABS(AD172-AB172)/ABS(AB172-AC172),2),""))</f>
        <v/>
      </c>
      <c r="AK172" s="78" t="str">
        <f aca="false">IF(OR(B172="",AB172="",AC172="",AE172=""),"",IFERROR(ROUND(IF(J172="Short",AB172-AE172,AE172-AB172)/ABS(AB172-AC172),2),""))</f>
        <v/>
      </c>
      <c r="AL172" s="68" t="str">
        <f aca="false">IF(AK172="","",IF(ABS(AK172)&lt;=Settings!$C$6,"BE",IF(AK172&gt;0,"Win","Loss")))</f>
        <v/>
      </c>
      <c r="AM172" s="79" t="str">
        <f aca="false">IF(OR(AK172="",AI172=""),"",ROUND(AK172*AI172-N(AH172),2))</f>
        <v/>
      </c>
      <c r="AN172" s="76" t="str">
        <f aca="false">IF(AM172="","",ROUND(BK172+SUMIFS(AM$6:AM172,BJ$6:BJ172,BJ172),2))</f>
        <v/>
      </c>
      <c r="AO172" s="78" t="str">
        <f aca="false">IF(AK172="","",ROUND(SUMIFS(AK$6:AK172,BJ$6:BJ172,BJ172),2))</f>
        <v/>
      </c>
      <c r="AP172" s="80" t="str">
        <f aca="false">IF(OR(AK172="",BL172=""),"",IFERROR(ROUND(IF(J172="Short",AB172-AE172,AE172-AB172)/BL172,1),""))</f>
        <v/>
      </c>
      <c r="AQ172" s="66" t="str">
        <f aca="false">IF(OR(G172="",H172=""),"",ROUND(MOD(H172-G172,1)*1440,0))</f>
        <v/>
      </c>
      <c r="AR172" s="68" t="str">
        <f aca="false">IF(AQ172="","",IF(AQ172&lt;15,"Under 15m",IF(AQ172&lt;60,"15-60m",IF(AQ172&lt;240,"1-4 hours","4+ hours"))))</f>
        <v/>
      </c>
      <c r="AS172" s="66" t="str">
        <f aca="false">IF(G172="","",HOUR(G172))</f>
        <v/>
      </c>
      <c r="AT172" s="80" t="str">
        <f aca="false">IF(OR(Z172="",AB172="",BL172=""),"",IFERROR(ROUND(IF(J172="Short",Z172-AB172,AB172-Z172)/BL172,1),""))</f>
        <v/>
      </c>
      <c r="AU172" s="68" t="str">
        <f aca="false">IF(OR(AA172="",AC172=""),"",IF(AA172=AC172,"No","Yes"))</f>
        <v/>
      </c>
      <c r="AV172" s="81" t="str">
        <f aca="false">IF(OR(B172="",BL172="",BM172="",AB172="",AC172=""),"",IFERROR(ROUND(AI172/(ABS(AB172-AC172)/BL172*BM172),2),""))</f>
        <v/>
      </c>
      <c r="AW172" s="76" t="str">
        <f aca="false">IF(B172="","",ROUND(BK172+SUMIFS(AM$5:AM171,BJ$5:BJ171,BJ172),2))</f>
        <v/>
      </c>
      <c r="AX172" s="66" t="str">
        <f aca="false">IF(B172="","",COUNTIFS(B$6:B172,B172,BJ$6:BJ172,BJ172))</f>
        <v/>
      </c>
      <c r="AY172" s="79" t="str">
        <f aca="false">IF(B172="","",ROUND(SUMIFS(AM$5:AM171,B$5:B171,B172,BJ$5:BJ171,BJ172),2))</f>
        <v/>
      </c>
      <c r="AZ172" s="79" t="str">
        <f aca="false">IF(AM172="","",ROUND(AY172+AM172,2))</f>
        <v/>
      </c>
      <c r="BA172" s="79" t="str">
        <f aca="false">IF(B172="","",ROUND(SUMIFS(AM$5:AM171,B$5:B171,"&gt;="&amp;(B172-WEEKDAY(B172,2)+1),B$5:B171,"&lt;="&amp;B172,BJ$5:BJ171,BJ172),2))</f>
        <v/>
      </c>
      <c r="BB172" s="68" t="str">
        <f aca="false">IF(B172="","",IF(AND(AF172&lt;&gt;"",AV172&lt;&gt;"",N(AF172)&gt;N(AV172)*(1+Settings!$C$13)),"Oversized",IF(AX172&gt;Settings!$C$10,"Overtraded",IF(AY172&lt;=-Settings!$C$11*(AW172-AY172),"Daily loss hit",IF(BA172&lt;=-Settings!$C$12*(AW172-BA172),"Weekly loss hit","OK")))))</f>
        <v/>
      </c>
      <c r="BC172" s="69"/>
      <c r="BD172" s="69"/>
      <c r="BE172" s="69"/>
      <c r="BF172" s="73"/>
      <c r="BG172" s="73"/>
      <c r="BH172" s="71"/>
      <c r="BI172" s="71"/>
      <c r="BJ172" s="68" t="str">
        <f aca="false">IF(B172="","",IF(E172="",Settings!$F$5,E172))</f>
        <v/>
      </c>
      <c r="BK172" s="76" t="str">
        <f aca="false">IF(B172="","",IFERROR(INDEX(Settings!$G$5:$G$10,MATCH(BJ172,Settings!$F$5:$F$10,0)),Settings!$G$5))</f>
        <v/>
      </c>
      <c r="BL172" s="82" t="str">
        <f aca="false">IF(I172="","",IFERROR(1/(1/INDEX(Lists!$C$6:$C$17,MATCH(I172,Lists!$B$6:$B$17,0))),""))</f>
        <v/>
      </c>
      <c r="BM172" s="81" t="str">
        <f aca="false">IF(I172="","",IFERROR(1/(1/INDEX(Lists!$D$6:$D$17,MATCH(I172,Lists!$B$6:$B$17,0))),""))</f>
        <v/>
      </c>
      <c r="BN172" s="76" t="str">
        <f aca="false">IF(AN172="","",MAX(BK172,_xlfn.MAXIFS(AN$6:AN172,BJ$6:BJ172,BJ172)))</f>
        <v/>
      </c>
      <c r="BO172" s="83" t="str">
        <f aca="false">IF(AN172="","",(AN172-BN172)/BN172)</f>
        <v/>
      </c>
      <c r="BP172" s="66" t="n">
        <f aca="false">IF(OR(B172="",AL172=""),0,IF(OR(Settings!$C$28="All Accounts",BJ172=Settings!$C$28),1,0))</f>
        <v>0</v>
      </c>
      <c r="BQ172" s="66" t="str">
        <f aca="false">IF(BP172=1,SUM(BP$6:BP172),"")</f>
        <v/>
      </c>
      <c r="BR172" s="76" t="str">
        <f aca="false">IF(BP172=1,ROUND(Settings!$C$29+SUMIFS(AM$6:AM172,BP$6:BP172,1),2),"")</f>
        <v/>
      </c>
      <c r="BS172" s="76" t="str">
        <f aca="false">IF(BP172=1,MAX(Settings!$C$29,MAX(BR$6:BR172)),"")</f>
        <v/>
      </c>
      <c r="BT172" s="83" t="str">
        <f aca="false">IF(BP172=1,(BR172-BS172)/BS172,"")</f>
        <v/>
      </c>
      <c r="BU172" s="66" t="str">
        <f aca="false">IF(BP172=1,IF(AL172="Win",1+IF(BQ172=1,0,INDEX(BU$5:BU171,MATCH(BQ172-1,BQ$5:BQ171,0))),0),"")</f>
        <v/>
      </c>
      <c r="BV172" s="66" t="str">
        <f aca="false">IF(BP172=1,IF(AL172="Loss",1+IF(BQ172=1,0,INDEX(BV$5:BV171,MATCH(BQ172-1,BQ$5:BQ171,0))),0),"")</f>
        <v/>
      </c>
    </row>
    <row r="173" customFormat="false" ht="15" hidden="false" customHeight="false" outlineLevel="0" collapsed="false">
      <c r="A173" s="66" t="str">
        <f aca="false">IF(B173="","",ROW()-5)</f>
        <v/>
      </c>
      <c r="B173" s="67"/>
      <c r="C173" s="68" t="str">
        <f aca="false">IF(B173="","",CHOOSE(WEEKDAY(B173,2),"Mon","Tue","Wed","Thu","Fri","Sat","Sun"))</f>
        <v/>
      </c>
      <c r="D173" s="66" t="str">
        <f aca="false">IF(B173="","",WEEKNUM(B173,2))</f>
        <v/>
      </c>
      <c r="E173" s="69"/>
      <c r="F173" s="69"/>
      <c r="G173" s="70"/>
      <c r="H173" s="70"/>
      <c r="I173" s="69"/>
      <c r="J173" s="69"/>
      <c r="K173" s="69"/>
      <c r="L173" s="71"/>
      <c r="M173" s="69"/>
      <c r="N173" s="69"/>
      <c r="O173" s="69"/>
      <c r="P173" s="71"/>
      <c r="Q173" s="69"/>
      <c r="R173" s="69"/>
      <c r="S173" s="69"/>
      <c r="T173" s="69"/>
      <c r="U173" s="69"/>
      <c r="V173" s="69"/>
      <c r="W173" s="69"/>
      <c r="X173" s="66" t="str">
        <f aca="false">IF(B173="","",COUNTIF(Q173:W173,"Yes"))</f>
        <v/>
      </c>
      <c r="Y173" s="68" t="str">
        <f aca="false">IF(B173="","",IF(X173&gt;=Settings!$C$16,"A+",IF(X173&gt;=Settings!$C$17,"A",IF(X173&gt;=Settings!$C$18,"B","C"))))</f>
        <v/>
      </c>
      <c r="Z173" s="72"/>
      <c r="AA173" s="72"/>
      <c r="AB173" s="72"/>
      <c r="AC173" s="72"/>
      <c r="AD173" s="72"/>
      <c r="AE173" s="72"/>
      <c r="AF173" s="73"/>
      <c r="AG173" s="74"/>
      <c r="AH173" s="75"/>
      <c r="AI173" s="76" t="str">
        <f aca="false">IF(B173="","",ROUND(IF(AG173="",Settings!$C$5,AG173)*AW173,2))</f>
        <v/>
      </c>
      <c r="AJ173" s="77" t="str">
        <f aca="false">IF(OR(B173="",AB173="",AC173="",AD173=""),"",IFERROR(ROUND(ABS(AD173-AB173)/ABS(AB173-AC173),2),""))</f>
        <v/>
      </c>
      <c r="AK173" s="78" t="str">
        <f aca="false">IF(OR(B173="",AB173="",AC173="",AE173=""),"",IFERROR(ROUND(IF(J173="Short",AB173-AE173,AE173-AB173)/ABS(AB173-AC173),2),""))</f>
        <v/>
      </c>
      <c r="AL173" s="68" t="str">
        <f aca="false">IF(AK173="","",IF(ABS(AK173)&lt;=Settings!$C$6,"BE",IF(AK173&gt;0,"Win","Loss")))</f>
        <v/>
      </c>
      <c r="AM173" s="79" t="str">
        <f aca="false">IF(OR(AK173="",AI173=""),"",ROUND(AK173*AI173-N(AH173),2))</f>
        <v/>
      </c>
      <c r="AN173" s="76" t="str">
        <f aca="false">IF(AM173="","",ROUND(BK173+SUMIFS(AM$6:AM173,BJ$6:BJ173,BJ173),2))</f>
        <v/>
      </c>
      <c r="AO173" s="78" t="str">
        <f aca="false">IF(AK173="","",ROUND(SUMIFS(AK$6:AK173,BJ$6:BJ173,BJ173),2))</f>
        <v/>
      </c>
      <c r="AP173" s="80" t="str">
        <f aca="false">IF(OR(AK173="",BL173=""),"",IFERROR(ROUND(IF(J173="Short",AB173-AE173,AE173-AB173)/BL173,1),""))</f>
        <v/>
      </c>
      <c r="AQ173" s="66" t="str">
        <f aca="false">IF(OR(G173="",H173=""),"",ROUND(MOD(H173-G173,1)*1440,0))</f>
        <v/>
      </c>
      <c r="AR173" s="68" t="str">
        <f aca="false">IF(AQ173="","",IF(AQ173&lt;15,"Under 15m",IF(AQ173&lt;60,"15-60m",IF(AQ173&lt;240,"1-4 hours","4+ hours"))))</f>
        <v/>
      </c>
      <c r="AS173" s="66" t="str">
        <f aca="false">IF(G173="","",HOUR(G173))</f>
        <v/>
      </c>
      <c r="AT173" s="80" t="str">
        <f aca="false">IF(OR(Z173="",AB173="",BL173=""),"",IFERROR(ROUND(IF(J173="Short",Z173-AB173,AB173-Z173)/BL173,1),""))</f>
        <v/>
      </c>
      <c r="AU173" s="68" t="str">
        <f aca="false">IF(OR(AA173="",AC173=""),"",IF(AA173=AC173,"No","Yes"))</f>
        <v/>
      </c>
      <c r="AV173" s="81" t="str">
        <f aca="false">IF(OR(B173="",BL173="",BM173="",AB173="",AC173=""),"",IFERROR(ROUND(AI173/(ABS(AB173-AC173)/BL173*BM173),2),""))</f>
        <v/>
      </c>
      <c r="AW173" s="76" t="str">
        <f aca="false">IF(B173="","",ROUND(BK173+SUMIFS(AM$5:AM172,BJ$5:BJ172,BJ173),2))</f>
        <v/>
      </c>
      <c r="AX173" s="66" t="str">
        <f aca="false">IF(B173="","",COUNTIFS(B$6:B173,B173,BJ$6:BJ173,BJ173))</f>
        <v/>
      </c>
      <c r="AY173" s="79" t="str">
        <f aca="false">IF(B173="","",ROUND(SUMIFS(AM$5:AM172,B$5:B172,B173,BJ$5:BJ172,BJ173),2))</f>
        <v/>
      </c>
      <c r="AZ173" s="79" t="str">
        <f aca="false">IF(AM173="","",ROUND(AY173+AM173,2))</f>
        <v/>
      </c>
      <c r="BA173" s="79" t="str">
        <f aca="false">IF(B173="","",ROUND(SUMIFS(AM$5:AM172,B$5:B172,"&gt;="&amp;(B173-WEEKDAY(B173,2)+1),B$5:B172,"&lt;="&amp;B173,BJ$5:BJ172,BJ173),2))</f>
        <v/>
      </c>
      <c r="BB173" s="68" t="str">
        <f aca="false">IF(B173="","",IF(AND(AF173&lt;&gt;"",AV173&lt;&gt;"",N(AF173)&gt;N(AV173)*(1+Settings!$C$13)),"Oversized",IF(AX173&gt;Settings!$C$10,"Overtraded",IF(AY173&lt;=-Settings!$C$11*(AW173-AY173),"Daily loss hit",IF(BA173&lt;=-Settings!$C$12*(AW173-BA173),"Weekly loss hit","OK")))))</f>
        <v/>
      </c>
      <c r="BC173" s="69"/>
      <c r="BD173" s="69"/>
      <c r="BE173" s="69"/>
      <c r="BF173" s="73"/>
      <c r="BG173" s="73"/>
      <c r="BH173" s="71"/>
      <c r="BI173" s="71"/>
      <c r="BJ173" s="68" t="str">
        <f aca="false">IF(B173="","",IF(E173="",Settings!$F$5,E173))</f>
        <v/>
      </c>
      <c r="BK173" s="76" t="str">
        <f aca="false">IF(B173="","",IFERROR(INDEX(Settings!$G$5:$G$10,MATCH(BJ173,Settings!$F$5:$F$10,0)),Settings!$G$5))</f>
        <v/>
      </c>
      <c r="BL173" s="82" t="str">
        <f aca="false">IF(I173="","",IFERROR(1/(1/INDEX(Lists!$C$6:$C$17,MATCH(I173,Lists!$B$6:$B$17,0))),""))</f>
        <v/>
      </c>
      <c r="BM173" s="81" t="str">
        <f aca="false">IF(I173="","",IFERROR(1/(1/INDEX(Lists!$D$6:$D$17,MATCH(I173,Lists!$B$6:$B$17,0))),""))</f>
        <v/>
      </c>
      <c r="BN173" s="76" t="str">
        <f aca="false">IF(AN173="","",MAX(BK173,_xlfn.MAXIFS(AN$6:AN173,BJ$6:BJ173,BJ173)))</f>
        <v/>
      </c>
      <c r="BO173" s="83" t="str">
        <f aca="false">IF(AN173="","",(AN173-BN173)/BN173)</f>
        <v/>
      </c>
      <c r="BP173" s="66" t="n">
        <f aca="false">IF(OR(B173="",AL173=""),0,IF(OR(Settings!$C$28="All Accounts",BJ173=Settings!$C$28),1,0))</f>
        <v>0</v>
      </c>
      <c r="BQ173" s="66" t="str">
        <f aca="false">IF(BP173=1,SUM(BP$6:BP173),"")</f>
        <v/>
      </c>
      <c r="BR173" s="76" t="str">
        <f aca="false">IF(BP173=1,ROUND(Settings!$C$29+SUMIFS(AM$6:AM173,BP$6:BP173,1),2),"")</f>
        <v/>
      </c>
      <c r="BS173" s="76" t="str">
        <f aca="false">IF(BP173=1,MAX(Settings!$C$29,MAX(BR$6:BR173)),"")</f>
        <v/>
      </c>
      <c r="BT173" s="83" t="str">
        <f aca="false">IF(BP173=1,(BR173-BS173)/BS173,"")</f>
        <v/>
      </c>
      <c r="BU173" s="66" t="str">
        <f aca="false">IF(BP173=1,IF(AL173="Win",1+IF(BQ173=1,0,INDEX(BU$5:BU172,MATCH(BQ173-1,BQ$5:BQ172,0))),0),"")</f>
        <v/>
      </c>
      <c r="BV173" s="66" t="str">
        <f aca="false">IF(BP173=1,IF(AL173="Loss",1+IF(BQ173=1,0,INDEX(BV$5:BV172,MATCH(BQ173-1,BQ$5:BQ172,0))),0),"")</f>
        <v/>
      </c>
    </row>
    <row r="174" customFormat="false" ht="15" hidden="false" customHeight="false" outlineLevel="0" collapsed="false">
      <c r="A174" s="66" t="str">
        <f aca="false">IF(B174="","",ROW()-5)</f>
        <v/>
      </c>
      <c r="B174" s="67"/>
      <c r="C174" s="68" t="str">
        <f aca="false">IF(B174="","",CHOOSE(WEEKDAY(B174,2),"Mon","Tue","Wed","Thu","Fri","Sat","Sun"))</f>
        <v/>
      </c>
      <c r="D174" s="66" t="str">
        <f aca="false">IF(B174="","",WEEKNUM(B174,2))</f>
        <v/>
      </c>
      <c r="E174" s="69"/>
      <c r="F174" s="69"/>
      <c r="G174" s="70"/>
      <c r="H174" s="70"/>
      <c r="I174" s="69"/>
      <c r="J174" s="69"/>
      <c r="K174" s="69"/>
      <c r="L174" s="71"/>
      <c r="M174" s="69"/>
      <c r="N174" s="69"/>
      <c r="O174" s="69"/>
      <c r="P174" s="71"/>
      <c r="Q174" s="69"/>
      <c r="R174" s="69"/>
      <c r="S174" s="69"/>
      <c r="T174" s="69"/>
      <c r="U174" s="69"/>
      <c r="V174" s="69"/>
      <c r="W174" s="69"/>
      <c r="X174" s="66" t="str">
        <f aca="false">IF(B174="","",COUNTIF(Q174:W174,"Yes"))</f>
        <v/>
      </c>
      <c r="Y174" s="68" t="str">
        <f aca="false">IF(B174="","",IF(X174&gt;=Settings!$C$16,"A+",IF(X174&gt;=Settings!$C$17,"A",IF(X174&gt;=Settings!$C$18,"B","C"))))</f>
        <v/>
      </c>
      <c r="Z174" s="72"/>
      <c r="AA174" s="72"/>
      <c r="AB174" s="72"/>
      <c r="AC174" s="72"/>
      <c r="AD174" s="72"/>
      <c r="AE174" s="72"/>
      <c r="AF174" s="73"/>
      <c r="AG174" s="74"/>
      <c r="AH174" s="75"/>
      <c r="AI174" s="76" t="str">
        <f aca="false">IF(B174="","",ROUND(IF(AG174="",Settings!$C$5,AG174)*AW174,2))</f>
        <v/>
      </c>
      <c r="AJ174" s="77" t="str">
        <f aca="false">IF(OR(B174="",AB174="",AC174="",AD174=""),"",IFERROR(ROUND(ABS(AD174-AB174)/ABS(AB174-AC174),2),""))</f>
        <v/>
      </c>
      <c r="AK174" s="78" t="str">
        <f aca="false">IF(OR(B174="",AB174="",AC174="",AE174=""),"",IFERROR(ROUND(IF(J174="Short",AB174-AE174,AE174-AB174)/ABS(AB174-AC174),2),""))</f>
        <v/>
      </c>
      <c r="AL174" s="68" t="str">
        <f aca="false">IF(AK174="","",IF(ABS(AK174)&lt;=Settings!$C$6,"BE",IF(AK174&gt;0,"Win","Loss")))</f>
        <v/>
      </c>
      <c r="AM174" s="79" t="str">
        <f aca="false">IF(OR(AK174="",AI174=""),"",ROUND(AK174*AI174-N(AH174),2))</f>
        <v/>
      </c>
      <c r="AN174" s="76" t="str">
        <f aca="false">IF(AM174="","",ROUND(BK174+SUMIFS(AM$6:AM174,BJ$6:BJ174,BJ174),2))</f>
        <v/>
      </c>
      <c r="AO174" s="78" t="str">
        <f aca="false">IF(AK174="","",ROUND(SUMIFS(AK$6:AK174,BJ$6:BJ174,BJ174),2))</f>
        <v/>
      </c>
      <c r="AP174" s="80" t="str">
        <f aca="false">IF(OR(AK174="",BL174=""),"",IFERROR(ROUND(IF(J174="Short",AB174-AE174,AE174-AB174)/BL174,1),""))</f>
        <v/>
      </c>
      <c r="AQ174" s="66" t="str">
        <f aca="false">IF(OR(G174="",H174=""),"",ROUND(MOD(H174-G174,1)*1440,0))</f>
        <v/>
      </c>
      <c r="AR174" s="68" t="str">
        <f aca="false">IF(AQ174="","",IF(AQ174&lt;15,"Under 15m",IF(AQ174&lt;60,"15-60m",IF(AQ174&lt;240,"1-4 hours","4+ hours"))))</f>
        <v/>
      </c>
      <c r="AS174" s="66" t="str">
        <f aca="false">IF(G174="","",HOUR(G174))</f>
        <v/>
      </c>
      <c r="AT174" s="80" t="str">
        <f aca="false">IF(OR(Z174="",AB174="",BL174=""),"",IFERROR(ROUND(IF(J174="Short",Z174-AB174,AB174-Z174)/BL174,1),""))</f>
        <v/>
      </c>
      <c r="AU174" s="68" t="str">
        <f aca="false">IF(OR(AA174="",AC174=""),"",IF(AA174=AC174,"No","Yes"))</f>
        <v/>
      </c>
      <c r="AV174" s="81" t="str">
        <f aca="false">IF(OR(B174="",BL174="",BM174="",AB174="",AC174=""),"",IFERROR(ROUND(AI174/(ABS(AB174-AC174)/BL174*BM174),2),""))</f>
        <v/>
      </c>
      <c r="AW174" s="76" t="str">
        <f aca="false">IF(B174="","",ROUND(BK174+SUMIFS(AM$5:AM173,BJ$5:BJ173,BJ174),2))</f>
        <v/>
      </c>
      <c r="AX174" s="66" t="str">
        <f aca="false">IF(B174="","",COUNTIFS(B$6:B174,B174,BJ$6:BJ174,BJ174))</f>
        <v/>
      </c>
      <c r="AY174" s="79" t="str">
        <f aca="false">IF(B174="","",ROUND(SUMIFS(AM$5:AM173,B$5:B173,B174,BJ$5:BJ173,BJ174),2))</f>
        <v/>
      </c>
      <c r="AZ174" s="79" t="str">
        <f aca="false">IF(AM174="","",ROUND(AY174+AM174,2))</f>
        <v/>
      </c>
      <c r="BA174" s="79" t="str">
        <f aca="false">IF(B174="","",ROUND(SUMIFS(AM$5:AM173,B$5:B173,"&gt;="&amp;(B174-WEEKDAY(B174,2)+1),B$5:B173,"&lt;="&amp;B174,BJ$5:BJ173,BJ174),2))</f>
        <v/>
      </c>
      <c r="BB174" s="68" t="str">
        <f aca="false">IF(B174="","",IF(AND(AF174&lt;&gt;"",AV174&lt;&gt;"",N(AF174)&gt;N(AV174)*(1+Settings!$C$13)),"Oversized",IF(AX174&gt;Settings!$C$10,"Overtraded",IF(AY174&lt;=-Settings!$C$11*(AW174-AY174),"Daily loss hit",IF(BA174&lt;=-Settings!$C$12*(AW174-BA174),"Weekly loss hit","OK")))))</f>
        <v/>
      </c>
      <c r="BC174" s="69"/>
      <c r="BD174" s="69"/>
      <c r="BE174" s="69"/>
      <c r="BF174" s="73"/>
      <c r="BG174" s="73"/>
      <c r="BH174" s="71"/>
      <c r="BI174" s="71"/>
      <c r="BJ174" s="68" t="str">
        <f aca="false">IF(B174="","",IF(E174="",Settings!$F$5,E174))</f>
        <v/>
      </c>
      <c r="BK174" s="76" t="str">
        <f aca="false">IF(B174="","",IFERROR(INDEX(Settings!$G$5:$G$10,MATCH(BJ174,Settings!$F$5:$F$10,0)),Settings!$G$5))</f>
        <v/>
      </c>
      <c r="BL174" s="82" t="str">
        <f aca="false">IF(I174="","",IFERROR(1/(1/INDEX(Lists!$C$6:$C$17,MATCH(I174,Lists!$B$6:$B$17,0))),""))</f>
        <v/>
      </c>
      <c r="BM174" s="81" t="str">
        <f aca="false">IF(I174="","",IFERROR(1/(1/INDEX(Lists!$D$6:$D$17,MATCH(I174,Lists!$B$6:$B$17,0))),""))</f>
        <v/>
      </c>
      <c r="BN174" s="76" t="str">
        <f aca="false">IF(AN174="","",MAX(BK174,_xlfn.MAXIFS(AN$6:AN174,BJ$6:BJ174,BJ174)))</f>
        <v/>
      </c>
      <c r="BO174" s="83" t="str">
        <f aca="false">IF(AN174="","",(AN174-BN174)/BN174)</f>
        <v/>
      </c>
      <c r="BP174" s="66" t="n">
        <f aca="false">IF(OR(B174="",AL174=""),0,IF(OR(Settings!$C$28="All Accounts",BJ174=Settings!$C$28),1,0))</f>
        <v>0</v>
      </c>
      <c r="BQ174" s="66" t="str">
        <f aca="false">IF(BP174=1,SUM(BP$6:BP174),"")</f>
        <v/>
      </c>
      <c r="BR174" s="76" t="str">
        <f aca="false">IF(BP174=1,ROUND(Settings!$C$29+SUMIFS(AM$6:AM174,BP$6:BP174,1),2),"")</f>
        <v/>
      </c>
      <c r="BS174" s="76" t="str">
        <f aca="false">IF(BP174=1,MAX(Settings!$C$29,MAX(BR$6:BR174)),"")</f>
        <v/>
      </c>
      <c r="BT174" s="83" t="str">
        <f aca="false">IF(BP174=1,(BR174-BS174)/BS174,"")</f>
        <v/>
      </c>
      <c r="BU174" s="66" t="str">
        <f aca="false">IF(BP174=1,IF(AL174="Win",1+IF(BQ174=1,0,INDEX(BU$5:BU173,MATCH(BQ174-1,BQ$5:BQ173,0))),0),"")</f>
        <v/>
      </c>
      <c r="BV174" s="66" t="str">
        <f aca="false">IF(BP174=1,IF(AL174="Loss",1+IF(BQ174=1,0,INDEX(BV$5:BV173,MATCH(BQ174-1,BQ$5:BQ173,0))),0),"")</f>
        <v/>
      </c>
    </row>
    <row r="175" customFormat="false" ht="15" hidden="false" customHeight="false" outlineLevel="0" collapsed="false">
      <c r="A175" s="66" t="str">
        <f aca="false">IF(B175="","",ROW()-5)</f>
        <v/>
      </c>
      <c r="B175" s="67"/>
      <c r="C175" s="68" t="str">
        <f aca="false">IF(B175="","",CHOOSE(WEEKDAY(B175,2),"Mon","Tue","Wed","Thu","Fri","Sat","Sun"))</f>
        <v/>
      </c>
      <c r="D175" s="66" t="str">
        <f aca="false">IF(B175="","",WEEKNUM(B175,2))</f>
        <v/>
      </c>
      <c r="E175" s="69"/>
      <c r="F175" s="69"/>
      <c r="G175" s="70"/>
      <c r="H175" s="70"/>
      <c r="I175" s="69"/>
      <c r="J175" s="69"/>
      <c r="K175" s="69"/>
      <c r="L175" s="71"/>
      <c r="M175" s="69"/>
      <c r="N175" s="69"/>
      <c r="O175" s="69"/>
      <c r="P175" s="71"/>
      <c r="Q175" s="69"/>
      <c r="R175" s="69"/>
      <c r="S175" s="69"/>
      <c r="T175" s="69"/>
      <c r="U175" s="69"/>
      <c r="V175" s="69"/>
      <c r="W175" s="69"/>
      <c r="X175" s="66" t="str">
        <f aca="false">IF(B175="","",COUNTIF(Q175:W175,"Yes"))</f>
        <v/>
      </c>
      <c r="Y175" s="68" t="str">
        <f aca="false">IF(B175="","",IF(X175&gt;=Settings!$C$16,"A+",IF(X175&gt;=Settings!$C$17,"A",IF(X175&gt;=Settings!$C$18,"B","C"))))</f>
        <v/>
      </c>
      <c r="Z175" s="72"/>
      <c r="AA175" s="72"/>
      <c r="AB175" s="72"/>
      <c r="AC175" s="72"/>
      <c r="AD175" s="72"/>
      <c r="AE175" s="72"/>
      <c r="AF175" s="73"/>
      <c r="AG175" s="74"/>
      <c r="AH175" s="75"/>
      <c r="AI175" s="76" t="str">
        <f aca="false">IF(B175="","",ROUND(IF(AG175="",Settings!$C$5,AG175)*AW175,2))</f>
        <v/>
      </c>
      <c r="AJ175" s="77" t="str">
        <f aca="false">IF(OR(B175="",AB175="",AC175="",AD175=""),"",IFERROR(ROUND(ABS(AD175-AB175)/ABS(AB175-AC175),2),""))</f>
        <v/>
      </c>
      <c r="AK175" s="78" t="str">
        <f aca="false">IF(OR(B175="",AB175="",AC175="",AE175=""),"",IFERROR(ROUND(IF(J175="Short",AB175-AE175,AE175-AB175)/ABS(AB175-AC175),2),""))</f>
        <v/>
      </c>
      <c r="AL175" s="68" t="str">
        <f aca="false">IF(AK175="","",IF(ABS(AK175)&lt;=Settings!$C$6,"BE",IF(AK175&gt;0,"Win","Loss")))</f>
        <v/>
      </c>
      <c r="AM175" s="79" t="str">
        <f aca="false">IF(OR(AK175="",AI175=""),"",ROUND(AK175*AI175-N(AH175),2))</f>
        <v/>
      </c>
      <c r="AN175" s="76" t="str">
        <f aca="false">IF(AM175="","",ROUND(BK175+SUMIFS(AM$6:AM175,BJ$6:BJ175,BJ175),2))</f>
        <v/>
      </c>
      <c r="AO175" s="78" t="str">
        <f aca="false">IF(AK175="","",ROUND(SUMIFS(AK$6:AK175,BJ$6:BJ175,BJ175),2))</f>
        <v/>
      </c>
      <c r="AP175" s="80" t="str">
        <f aca="false">IF(OR(AK175="",BL175=""),"",IFERROR(ROUND(IF(J175="Short",AB175-AE175,AE175-AB175)/BL175,1),""))</f>
        <v/>
      </c>
      <c r="AQ175" s="66" t="str">
        <f aca="false">IF(OR(G175="",H175=""),"",ROUND(MOD(H175-G175,1)*1440,0))</f>
        <v/>
      </c>
      <c r="AR175" s="68" t="str">
        <f aca="false">IF(AQ175="","",IF(AQ175&lt;15,"Under 15m",IF(AQ175&lt;60,"15-60m",IF(AQ175&lt;240,"1-4 hours","4+ hours"))))</f>
        <v/>
      </c>
      <c r="AS175" s="66" t="str">
        <f aca="false">IF(G175="","",HOUR(G175))</f>
        <v/>
      </c>
      <c r="AT175" s="80" t="str">
        <f aca="false">IF(OR(Z175="",AB175="",BL175=""),"",IFERROR(ROUND(IF(J175="Short",Z175-AB175,AB175-Z175)/BL175,1),""))</f>
        <v/>
      </c>
      <c r="AU175" s="68" t="str">
        <f aca="false">IF(OR(AA175="",AC175=""),"",IF(AA175=AC175,"No","Yes"))</f>
        <v/>
      </c>
      <c r="AV175" s="81" t="str">
        <f aca="false">IF(OR(B175="",BL175="",BM175="",AB175="",AC175=""),"",IFERROR(ROUND(AI175/(ABS(AB175-AC175)/BL175*BM175),2),""))</f>
        <v/>
      </c>
      <c r="AW175" s="76" t="str">
        <f aca="false">IF(B175="","",ROUND(BK175+SUMIFS(AM$5:AM174,BJ$5:BJ174,BJ175),2))</f>
        <v/>
      </c>
      <c r="AX175" s="66" t="str">
        <f aca="false">IF(B175="","",COUNTIFS(B$6:B175,B175,BJ$6:BJ175,BJ175))</f>
        <v/>
      </c>
      <c r="AY175" s="79" t="str">
        <f aca="false">IF(B175="","",ROUND(SUMIFS(AM$5:AM174,B$5:B174,B175,BJ$5:BJ174,BJ175),2))</f>
        <v/>
      </c>
      <c r="AZ175" s="79" t="str">
        <f aca="false">IF(AM175="","",ROUND(AY175+AM175,2))</f>
        <v/>
      </c>
      <c r="BA175" s="79" t="str">
        <f aca="false">IF(B175="","",ROUND(SUMIFS(AM$5:AM174,B$5:B174,"&gt;="&amp;(B175-WEEKDAY(B175,2)+1),B$5:B174,"&lt;="&amp;B175,BJ$5:BJ174,BJ175),2))</f>
        <v/>
      </c>
      <c r="BB175" s="68" t="str">
        <f aca="false">IF(B175="","",IF(AND(AF175&lt;&gt;"",AV175&lt;&gt;"",N(AF175)&gt;N(AV175)*(1+Settings!$C$13)),"Oversized",IF(AX175&gt;Settings!$C$10,"Overtraded",IF(AY175&lt;=-Settings!$C$11*(AW175-AY175),"Daily loss hit",IF(BA175&lt;=-Settings!$C$12*(AW175-BA175),"Weekly loss hit","OK")))))</f>
        <v/>
      </c>
      <c r="BC175" s="69"/>
      <c r="BD175" s="69"/>
      <c r="BE175" s="69"/>
      <c r="BF175" s="73"/>
      <c r="BG175" s="73"/>
      <c r="BH175" s="71"/>
      <c r="BI175" s="71"/>
      <c r="BJ175" s="68" t="str">
        <f aca="false">IF(B175="","",IF(E175="",Settings!$F$5,E175))</f>
        <v/>
      </c>
      <c r="BK175" s="76" t="str">
        <f aca="false">IF(B175="","",IFERROR(INDEX(Settings!$G$5:$G$10,MATCH(BJ175,Settings!$F$5:$F$10,0)),Settings!$G$5))</f>
        <v/>
      </c>
      <c r="BL175" s="82" t="str">
        <f aca="false">IF(I175="","",IFERROR(1/(1/INDEX(Lists!$C$6:$C$17,MATCH(I175,Lists!$B$6:$B$17,0))),""))</f>
        <v/>
      </c>
      <c r="BM175" s="81" t="str">
        <f aca="false">IF(I175="","",IFERROR(1/(1/INDEX(Lists!$D$6:$D$17,MATCH(I175,Lists!$B$6:$B$17,0))),""))</f>
        <v/>
      </c>
      <c r="BN175" s="76" t="str">
        <f aca="false">IF(AN175="","",MAX(BK175,_xlfn.MAXIFS(AN$6:AN175,BJ$6:BJ175,BJ175)))</f>
        <v/>
      </c>
      <c r="BO175" s="83" t="str">
        <f aca="false">IF(AN175="","",(AN175-BN175)/BN175)</f>
        <v/>
      </c>
      <c r="BP175" s="66" t="n">
        <f aca="false">IF(OR(B175="",AL175=""),0,IF(OR(Settings!$C$28="All Accounts",BJ175=Settings!$C$28),1,0))</f>
        <v>0</v>
      </c>
      <c r="BQ175" s="66" t="str">
        <f aca="false">IF(BP175=1,SUM(BP$6:BP175),"")</f>
        <v/>
      </c>
      <c r="BR175" s="76" t="str">
        <f aca="false">IF(BP175=1,ROUND(Settings!$C$29+SUMIFS(AM$6:AM175,BP$6:BP175,1),2),"")</f>
        <v/>
      </c>
      <c r="BS175" s="76" t="str">
        <f aca="false">IF(BP175=1,MAX(Settings!$C$29,MAX(BR$6:BR175)),"")</f>
        <v/>
      </c>
      <c r="BT175" s="83" t="str">
        <f aca="false">IF(BP175=1,(BR175-BS175)/BS175,"")</f>
        <v/>
      </c>
      <c r="BU175" s="66" t="str">
        <f aca="false">IF(BP175=1,IF(AL175="Win",1+IF(BQ175=1,0,INDEX(BU$5:BU174,MATCH(BQ175-1,BQ$5:BQ174,0))),0),"")</f>
        <v/>
      </c>
      <c r="BV175" s="66" t="str">
        <f aca="false">IF(BP175=1,IF(AL175="Loss",1+IF(BQ175=1,0,INDEX(BV$5:BV174,MATCH(BQ175-1,BQ$5:BQ174,0))),0),"")</f>
        <v/>
      </c>
    </row>
    <row r="176" customFormat="false" ht="15" hidden="false" customHeight="false" outlineLevel="0" collapsed="false">
      <c r="A176" s="66" t="str">
        <f aca="false">IF(B176="","",ROW()-5)</f>
        <v/>
      </c>
      <c r="B176" s="67"/>
      <c r="C176" s="68" t="str">
        <f aca="false">IF(B176="","",CHOOSE(WEEKDAY(B176,2),"Mon","Tue","Wed","Thu","Fri","Sat","Sun"))</f>
        <v/>
      </c>
      <c r="D176" s="66" t="str">
        <f aca="false">IF(B176="","",WEEKNUM(B176,2))</f>
        <v/>
      </c>
      <c r="E176" s="69"/>
      <c r="F176" s="69"/>
      <c r="G176" s="70"/>
      <c r="H176" s="70"/>
      <c r="I176" s="69"/>
      <c r="J176" s="69"/>
      <c r="K176" s="69"/>
      <c r="L176" s="71"/>
      <c r="M176" s="69"/>
      <c r="N176" s="69"/>
      <c r="O176" s="69"/>
      <c r="P176" s="71"/>
      <c r="Q176" s="69"/>
      <c r="R176" s="69"/>
      <c r="S176" s="69"/>
      <c r="T176" s="69"/>
      <c r="U176" s="69"/>
      <c r="V176" s="69"/>
      <c r="W176" s="69"/>
      <c r="X176" s="66" t="str">
        <f aca="false">IF(B176="","",COUNTIF(Q176:W176,"Yes"))</f>
        <v/>
      </c>
      <c r="Y176" s="68" t="str">
        <f aca="false">IF(B176="","",IF(X176&gt;=Settings!$C$16,"A+",IF(X176&gt;=Settings!$C$17,"A",IF(X176&gt;=Settings!$C$18,"B","C"))))</f>
        <v/>
      </c>
      <c r="Z176" s="72"/>
      <c r="AA176" s="72"/>
      <c r="AB176" s="72"/>
      <c r="AC176" s="72"/>
      <c r="AD176" s="72"/>
      <c r="AE176" s="72"/>
      <c r="AF176" s="73"/>
      <c r="AG176" s="74"/>
      <c r="AH176" s="75"/>
      <c r="AI176" s="76" t="str">
        <f aca="false">IF(B176="","",ROUND(IF(AG176="",Settings!$C$5,AG176)*AW176,2))</f>
        <v/>
      </c>
      <c r="AJ176" s="77" t="str">
        <f aca="false">IF(OR(B176="",AB176="",AC176="",AD176=""),"",IFERROR(ROUND(ABS(AD176-AB176)/ABS(AB176-AC176),2),""))</f>
        <v/>
      </c>
      <c r="AK176" s="78" t="str">
        <f aca="false">IF(OR(B176="",AB176="",AC176="",AE176=""),"",IFERROR(ROUND(IF(J176="Short",AB176-AE176,AE176-AB176)/ABS(AB176-AC176),2),""))</f>
        <v/>
      </c>
      <c r="AL176" s="68" t="str">
        <f aca="false">IF(AK176="","",IF(ABS(AK176)&lt;=Settings!$C$6,"BE",IF(AK176&gt;0,"Win","Loss")))</f>
        <v/>
      </c>
      <c r="AM176" s="79" t="str">
        <f aca="false">IF(OR(AK176="",AI176=""),"",ROUND(AK176*AI176-N(AH176),2))</f>
        <v/>
      </c>
      <c r="AN176" s="76" t="str">
        <f aca="false">IF(AM176="","",ROUND(BK176+SUMIFS(AM$6:AM176,BJ$6:BJ176,BJ176),2))</f>
        <v/>
      </c>
      <c r="AO176" s="78" t="str">
        <f aca="false">IF(AK176="","",ROUND(SUMIFS(AK$6:AK176,BJ$6:BJ176,BJ176),2))</f>
        <v/>
      </c>
      <c r="AP176" s="80" t="str">
        <f aca="false">IF(OR(AK176="",BL176=""),"",IFERROR(ROUND(IF(J176="Short",AB176-AE176,AE176-AB176)/BL176,1),""))</f>
        <v/>
      </c>
      <c r="AQ176" s="66" t="str">
        <f aca="false">IF(OR(G176="",H176=""),"",ROUND(MOD(H176-G176,1)*1440,0))</f>
        <v/>
      </c>
      <c r="AR176" s="68" t="str">
        <f aca="false">IF(AQ176="","",IF(AQ176&lt;15,"Under 15m",IF(AQ176&lt;60,"15-60m",IF(AQ176&lt;240,"1-4 hours","4+ hours"))))</f>
        <v/>
      </c>
      <c r="AS176" s="66" t="str">
        <f aca="false">IF(G176="","",HOUR(G176))</f>
        <v/>
      </c>
      <c r="AT176" s="80" t="str">
        <f aca="false">IF(OR(Z176="",AB176="",BL176=""),"",IFERROR(ROUND(IF(J176="Short",Z176-AB176,AB176-Z176)/BL176,1),""))</f>
        <v/>
      </c>
      <c r="AU176" s="68" t="str">
        <f aca="false">IF(OR(AA176="",AC176=""),"",IF(AA176=AC176,"No","Yes"))</f>
        <v/>
      </c>
      <c r="AV176" s="81" t="str">
        <f aca="false">IF(OR(B176="",BL176="",BM176="",AB176="",AC176=""),"",IFERROR(ROUND(AI176/(ABS(AB176-AC176)/BL176*BM176),2),""))</f>
        <v/>
      </c>
      <c r="AW176" s="76" t="str">
        <f aca="false">IF(B176="","",ROUND(BK176+SUMIFS(AM$5:AM175,BJ$5:BJ175,BJ176),2))</f>
        <v/>
      </c>
      <c r="AX176" s="66" t="str">
        <f aca="false">IF(B176="","",COUNTIFS(B$6:B176,B176,BJ$6:BJ176,BJ176))</f>
        <v/>
      </c>
      <c r="AY176" s="79" t="str">
        <f aca="false">IF(B176="","",ROUND(SUMIFS(AM$5:AM175,B$5:B175,B176,BJ$5:BJ175,BJ176),2))</f>
        <v/>
      </c>
      <c r="AZ176" s="79" t="str">
        <f aca="false">IF(AM176="","",ROUND(AY176+AM176,2))</f>
        <v/>
      </c>
      <c r="BA176" s="79" t="str">
        <f aca="false">IF(B176="","",ROUND(SUMIFS(AM$5:AM175,B$5:B175,"&gt;="&amp;(B176-WEEKDAY(B176,2)+1),B$5:B175,"&lt;="&amp;B176,BJ$5:BJ175,BJ176),2))</f>
        <v/>
      </c>
      <c r="BB176" s="68" t="str">
        <f aca="false">IF(B176="","",IF(AND(AF176&lt;&gt;"",AV176&lt;&gt;"",N(AF176)&gt;N(AV176)*(1+Settings!$C$13)),"Oversized",IF(AX176&gt;Settings!$C$10,"Overtraded",IF(AY176&lt;=-Settings!$C$11*(AW176-AY176),"Daily loss hit",IF(BA176&lt;=-Settings!$C$12*(AW176-BA176),"Weekly loss hit","OK")))))</f>
        <v/>
      </c>
      <c r="BC176" s="69"/>
      <c r="BD176" s="69"/>
      <c r="BE176" s="69"/>
      <c r="BF176" s="73"/>
      <c r="BG176" s="73"/>
      <c r="BH176" s="71"/>
      <c r="BI176" s="71"/>
      <c r="BJ176" s="68" t="str">
        <f aca="false">IF(B176="","",IF(E176="",Settings!$F$5,E176))</f>
        <v/>
      </c>
      <c r="BK176" s="76" t="str">
        <f aca="false">IF(B176="","",IFERROR(INDEX(Settings!$G$5:$G$10,MATCH(BJ176,Settings!$F$5:$F$10,0)),Settings!$G$5))</f>
        <v/>
      </c>
      <c r="BL176" s="82" t="str">
        <f aca="false">IF(I176="","",IFERROR(1/(1/INDEX(Lists!$C$6:$C$17,MATCH(I176,Lists!$B$6:$B$17,0))),""))</f>
        <v/>
      </c>
      <c r="BM176" s="81" t="str">
        <f aca="false">IF(I176="","",IFERROR(1/(1/INDEX(Lists!$D$6:$D$17,MATCH(I176,Lists!$B$6:$B$17,0))),""))</f>
        <v/>
      </c>
      <c r="BN176" s="76" t="str">
        <f aca="false">IF(AN176="","",MAX(BK176,_xlfn.MAXIFS(AN$6:AN176,BJ$6:BJ176,BJ176)))</f>
        <v/>
      </c>
      <c r="BO176" s="83" t="str">
        <f aca="false">IF(AN176="","",(AN176-BN176)/BN176)</f>
        <v/>
      </c>
      <c r="BP176" s="66" t="n">
        <f aca="false">IF(OR(B176="",AL176=""),0,IF(OR(Settings!$C$28="All Accounts",BJ176=Settings!$C$28),1,0))</f>
        <v>0</v>
      </c>
      <c r="BQ176" s="66" t="str">
        <f aca="false">IF(BP176=1,SUM(BP$6:BP176),"")</f>
        <v/>
      </c>
      <c r="BR176" s="76" t="str">
        <f aca="false">IF(BP176=1,ROUND(Settings!$C$29+SUMIFS(AM$6:AM176,BP$6:BP176,1),2),"")</f>
        <v/>
      </c>
      <c r="BS176" s="76" t="str">
        <f aca="false">IF(BP176=1,MAX(Settings!$C$29,MAX(BR$6:BR176)),"")</f>
        <v/>
      </c>
      <c r="BT176" s="83" t="str">
        <f aca="false">IF(BP176=1,(BR176-BS176)/BS176,"")</f>
        <v/>
      </c>
      <c r="BU176" s="66" t="str">
        <f aca="false">IF(BP176=1,IF(AL176="Win",1+IF(BQ176=1,0,INDEX(BU$5:BU175,MATCH(BQ176-1,BQ$5:BQ175,0))),0),"")</f>
        <v/>
      </c>
      <c r="BV176" s="66" t="str">
        <f aca="false">IF(BP176=1,IF(AL176="Loss",1+IF(BQ176=1,0,INDEX(BV$5:BV175,MATCH(BQ176-1,BQ$5:BQ175,0))),0),"")</f>
        <v/>
      </c>
    </row>
    <row r="177" customFormat="false" ht="15" hidden="false" customHeight="false" outlineLevel="0" collapsed="false">
      <c r="A177" s="66" t="str">
        <f aca="false">IF(B177="","",ROW()-5)</f>
        <v/>
      </c>
      <c r="B177" s="67"/>
      <c r="C177" s="68" t="str">
        <f aca="false">IF(B177="","",CHOOSE(WEEKDAY(B177,2),"Mon","Tue","Wed","Thu","Fri","Sat","Sun"))</f>
        <v/>
      </c>
      <c r="D177" s="66" t="str">
        <f aca="false">IF(B177="","",WEEKNUM(B177,2))</f>
        <v/>
      </c>
      <c r="E177" s="69"/>
      <c r="F177" s="69"/>
      <c r="G177" s="70"/>
      <c r="H177" s="70"/>
      <c r="I177" s="69"/>
      <c r="J177" s="69"/>
      <c r="K177" s="69"/>
      <c r="L177" s="71"/>
      <c r="M177" s="69"/>
      <c r="N177" s="69"/>
      <c r="O177" s="69"/>
      <c r="P177" s="71"/>
      <c r="Q177" s="69"/>
      <c r="R177" s="69"/>
      <c r="S177" s="69"/>
      <c r="T177" s="69"/>
      <c r="U177" s="69"/>
      <c r="V177" s="69"/>
      <c r="W177" s="69"/>
      <c r="X177" s="66" t="str">
        <f aca="false">IF(B177="","",COUNTIF(Q177:W177,"Yes"))</f>
        <v/>
      </c>
      <c r="Y177" s="68" t="str">
        <f aca="false">IF(B177="","",IF(X177&gt;=Settings!$C$16,"A+",IF(X177&gt;=Settings!$C$17,"A",IF(X177&gt;=Settings!$C$18,"B","C"))))</f>
        <v/>
      </c>
      <c r="Z177" s="72"/>
      <c r="AA177" s="72"/>
      <c r="AB177" s="72"/>
      <c r="AC177" s="72"/>
      <c r="AD177" s="72"/>
      <c r="AE177" s="72"/>
      <c r="AF177" s="73"/>
      <c r="AG177" s="74"/>
      <c r="AH177" s="75"/>
      <c r="AI177" s="76" t="str">
        <f aca="false">IF(B177="","",ROUND(IF(AG177="",Settings!$C$5,AG177)*AW177,2))</f>
        <v/>
      </c>
      <c r="AJ177" s="77" t="str">
        <f aca="false">IF(OR(B177="",AB177="",AC177="",AD177=""),"",IFERROR(ROUND(ABS(AD177-AB177)/ABS(AB177-AC177),2),""))</f>
        <v/>
      </c>
      <c r="AK177" s="78" t="str">
        <f aca="false">IF(OR(B177="",AB177="",AC177="",AE177=""),"",IFERROR(ROUND(IF(J177="Short",AB177-AE177,AE177-AB177)/ABS(AB177-AC177),2),""))</f>
        <v/>
      </c>
      <c r="AL177" s="68" t="str">
        <f aca="false">IF(AK177="","",IF(ABS(AK177)&lt;=Settings!$C$6,"BE",IF(AK177&gt;0,"Win","Loss")))</f>
        <v/>
      </c>
      <c r="AM177" s="79" t="str">
        <f aca="false">IF(OR(AK177="",AI177=""),"",ROUND(AK177*AI177-N(AH177),2))</f>
        <v/>
      </c>
      <c r="AN177" s="76" t="str">
        <f aca="false">IF(AM177="","",ROUND(BK177+SUMIFS(AM$6:AM177,BJ$6:BJ177,BJ177),2))</f>
        <v/>
      </c>
      <c r="AO177" s="78" t="str">
        <f aca="false">IF(AK177="","",ROUND(SUMIFS(AK$6:AK177,BJ$6:BJ177,BJ177),2))</f>
        <v/>
      </c>
      <c r="AP177" s="80" t="str">
        <f aca="false">IF(OR(AK177="",BL177=""),"",IFERROR(ROUND(IF(J177="Short",AB177-AE177,AE177-AB177)/BL177,1),""))</f>
        <v/>
      </c>
      <c r="AQ177" s="66" t="str">
        <f aca="false">IF(OR(G177="",H177=""),"",ROUND(MOD(H177-G177,1)*1440,0))</f>
        <v/>
      </c>
      <c r="AR177" s="68" t="str">
        <f aca="false">IF(AQ177="","",IF(AQ177&lt;15,"Under 15m",IF(AQ177&lt;60,"15-60m",IF(AQ177&lt;240,"1-4 hours","4+ hours"))))</f>
        <v/>
      </c>
      <c r="AS177" s="66" t="str">
        <f aca="false">IF(G177="","",HOUR(G177))</f>
        <v/>
      </c>
      <c r="AT177" s="80" t="str">
        <f aca="false">IF(OR(Z177="",AB177="",BL177=""),"",IFERROR(ROUND(IF(J177="Short",Z177-AB177,AB177-Z177)/BL177,1),""))</f>
        <v/>
      </c>
      <c r="AU177" s="68" t="str">
        <f aca="false">IF(OR(AA177="",AC177=""),"",IF(AA177=AC177,"No","Yes"))</f>
        <v/>
      </c>
      <c r="AV177" s="81" t="str">
        <f aca="false">IF(OR(B177="",BL177="",BM177="",AB177="",AC177=""),"",IFERROR(ROUND(AI177/(ABS(AB177-AC177)/BL177*BM177),2),""))</f>
        <v/>
      </c>
      <c r="AW177" s="76" t="str">
        <f aca="false">IF(B177="","",ROUND(BK177+SUMIFS(AM$5:AM176,BJ$5:BJ176,BJ177),2))</f>
        <v/>
      </c>
      <c r="AX177" s="66" t="str">
        <f aca="false">IF(B177="","",COUNTIFS(B$6:B177,B177,BJ$6:BJ177,BJ177))</f>
        <v/>
      </c>
      <c r="AY177" s="79" t="str">
        <f aca="false">IF(B177="","",ROUND(SUMIFS(AM$5:AM176,B$5:B176,B177,BJ$5:BJ176,BJ177),2))</f>
        <v/>
      </c>
      <c r="AZ177" s="79" t="str">
        <f aca="false">IF(AM177="","",ROUND(AY177+AM177,2))</f>
        <v/>
      </c>
      <c r="BA177" s="79" t="str">
        <f aca="false">IF(B177="","",ROUND(SUMIFS(AM$5:AM176,B$5:B176,"&gt;="&amp;(B177-WEEKDAY(B177,2)+1),B$5:B176,"&lt;="&amp;B177,BJ$5:BJ176,BJ177),2))</f>
        <v/>
      </c>
      <c r="BB177" s="68" t="str">
        <f aca="false">IF(B177="","",IF(AND(AF177&lt;&gt;"",AV177&lt;&gt;"",N(AF177)&gt;N(AV177)*(1+Settings!$C$13)),"Oversized",IF(AX177&gt;Settings!$C$10,"Overtraded",IF(AY177&lt;=-Settings!$C$11*(AW177-AY177),"Daily loss hit",IF(BA177&lt;=-Settings!$C$12*(AW177-BA177),"Weekly loss hit","OK")))))</f>
        <v/>
      </c>
      <c r="BC177" s="69"/>
      <c r="BD177" s="69"/>
      <c r="BE177" s="69"/>
      <c r="BF177" s="73"/>
      <c r="BG177" s="73"/>
      <c r="BH177" s="71"/>
      <c r="BI177" s="71"/>
      <c r="BJ177" s="68" t="str">
        <f aca="false">IF(B177="","",IF(E177="",Settings!$F$5,E177))</f>
        <v/>
      </c>
      <c r="BK177" s="76" t="str">
        <f aca="false">IF(B177="","",IFERROR(INDEX(Settings!$G$5:$G$10,MATCH(BJ177,Settings!$F$5:$F$10,0)),Settings!$G$5))</f>
        <v/>
      </c>
      <c r="BL177" s="82" t="str">
        <f aca="false">IF(I177="","",IFERROR(1/(1/INDEX(Lists!$C$6:$C$17,MATCH(I177,Lists!$B$6:$B$17,0))),""))</f>
        <v/>
      </c>
      <c r="BM177" s="81" t="str">
        <f aca="false">IF(I177="","",IFERROR(1/(1/INDEX(Lists!$D$6:$D$17,MATCH(I177,Lists!$B$6:$B$17,0))),""))</f>
        <v/>
      </c>
      <c r="BN177" s="76" t="str">
        <f aca="false">IF(AN177="","",MAX(BK177,_xlfn.MAXIFS(AN$6:AN177,BJ$6:BJ177,BJ177)))</f>
        <v/>
      </c>
      <c r="BO177" s="83" t="str">
        <f aca="false">IF(AN177="","",(AN177-BN177)/BN177)</f>
        <v/>
      </c>
      <c r="BP177" s="66" t="n">
        <f aca="false">IF(OR(B177="",AL177=""),0,IF(OR(Settings!$C$28="All Accounts",BJ177=Settings!$C$28),1,0))</f>
        <v>0</v>
      </c>
      <c r="BQ177" s="66" t="str">
        <f aca="false">IF(BP177=1,SUM(BP$6:BP177),"")</f>
        <v/>
      </c>
      <c r="BR177" s="76" t="str">
        <f aca="false">IF(BP177=1,ROUND(Settings!$C$29+SUMIFS(AM$6:AM177,BP$6:BP177,1),2),"")</f>
        <v/>
      </c>
      <c r="BS177" s="76" t="str">
        <f aca="false">IF(BP177=1,MAX(Settings!$C$29,MAX(BR$6:BR177)),"")</f>
        <v/>
      </c>
      <c r="BT177" s="83" t="str">
        <f aca="false">IF(BP177=1,(BR177-BS177)/BS177,"")</f>
        <v/>
      </c>
      <c r="BU177" s="66" t="str">
        <f aca="false">IF(BP177=1,IF(AL177="Win",1+IF(BQ177=1,0,INDEX(BU$5:BU176,MATCH(BQ177-1,BQ$5:BQ176,0))),0),"")</f>
        <v/>
      </c>
      <c r="BV177" s="66" t="str">
        <f aca="false">IF(BP177=1,IF(AL177="Loss",1+IF(BQ177=1,0,INDEX(BV$5:BV176,MATCH(BQ177-1,BQ$5:BQ176,0))),0),"")</f>
        <v/>
      </c>
    </row>
    <row r="178" customFormat="false" ht="15" hidden="false" customHeight="false" outlineLevel="0" collapsed="false">
      <c r="A178" s="66" t="str">
        <f aca="false">IF(B178="","",ROW()-5)</f>
        <v/>
      </c>
      <c r="B178" s="67"/>
      <c r="C178" s="68" t="str">
        <f aca="false">IF(B178="","",CHOOSE(WEEKDAY(B178,2),"Mon","Tue","Wed","Thu","Fri","Sat","Sun"))</f>
        <v/>
      </c>
      <c r="D178" s="66" t="str">
        <f aca="false">IF(B178="","",WEEKNUM(B178,2))</f>
        <v/>
      </c>
      <c r="E178" s="69"/>
      <c r="F178" s="69"/>
      <c r="G178" s="70"/>
      <c r="H178" s="70"/>
      <c r="I178" s="69"/>
      <c r="J178" s="69"/>
      <c r="K178" s="69"/>
      <c r="L178" s="71"/>
      <c r="M178" s="69"/>
      <c r="N178" s="69"/>
      <c r="O178" s="69"/>
      <c r="P178" s="71"/>
      <c r="Q178" s="69"/>
      <c r="R178" s="69"/>
      <c r="S178" s="69"/>
      <c r="T178" s="69"/>
      <c r="U178" s="69"/>
      <c r="V178" s="69"/>
      <c r="W178" s="69"/>
      <c r="X178" s="66" t="str">
        <f aca="false">IF(B178="","",COUNTIF(Q178:W178,"Yes"))</f>
        <v/>
      </c>
      <c r="Y178" s="68" t="str">
        <f aca="false">IF(B178="","",IF(X178&gt;=Settings!$C$16,"A+",IF(X178&gt;=Settings!$C$17,"A",IF(X178&gt;=Settings!$C$18,"B","C"))))</f>
        <v/>
      </c>
      <c r="Z178" s="72"/>
      <c r="AA178" s="72"/>
      <c r="AB178" s="72"/>
      <c r="AC178" s="72"/>
      <c r="AD178" s="72"/>
      <c r="AE178" s="72"/>
      <c r="AF178" s="73"/>
      <c r="AG178" s="74"/>
      <c r="AH178" s="75"/>
      <c r="AI178" s="76" t="str">
        <f aca="false">IF(B178="","",ROUND(IF(AG178="",Settings!$C$5,AG178)*AW178,2))</f>
        <v/>
      </c>
      <c r="AJ178" s="77" t="str">
        <f aca="false">IF(OR(B178="",AB178="",AC178="",AD178=""),"",IFERROR(ROUND(ABS(AD178-AB178)/ABS(AB178-AC178),2),""))</f>
        <v/>
      </c>
      <c r="AK178" s="78" t="str">
        <f aca="false">IF(OR(B178="",AB178="",AC178="",AE178=""),"",IFERROR(ROUND(IF(J178="Short",AB178-AE178,AE178-AB178)/ABS(AB178-AC178),2),""))</f>
        <v/>
      </c>
      <c r="AL178" s="68" t="str">
        <f aca="false">IF(AK178="","",IF(ABS(AK178)&lt;=Settings!$C$6,"BE",IF(AK178&gt;0,"Win","Loss")))</f>
        <v/>
      </c>
      <c r="AM178" s="79" t="str">
        <f aca="false">IF(OR(AK178="",AI178=""),"",ROUND(AK178*AI178-N(AH178),2))</f>
        <v/>
      </c>
      <c r="AN178" s="76" t="str">
        <f aca="false">IF(AM178="","",ROUND(BK178+SUMIFS(AM$6:AM178,BJ$6:BJ178,BJ178),2))</f>
        <v/>
      </c>
      <c r="AO178" s="78" t="str">
        <f aca="false">IF(AK178="","",ROUND(SUMIFS(AK$6:AK178,BJ$6:BJ178,BJ178),2))</f>
        <v/>
      </c>
      <c r="AP178" s="80" t="str">
        <f aca="false">IF(OR(AK178="",BL178=""),"",IFERROR(ROUND(IF(J178="Short",AB178-AE178,AE178-AB178)/BL178,1),""))</f>
        <v/>
      </c>
      <c r="AQ178" s="66" t="str">
        <f aca="false">IF(OR(G178="",H178=""),"",ROUND(MOD(H178-G178,1)*1440,0))</f>
        <v/>
      </c>
      <c r="AR178" s="68" t="str">
        <f aca="false">IF(AQ178="","",IF(AQ178&lt;15,"Under 15m",IF(AQ178&lt;60,"15-60m",IF(AQ178&lt;240,"1-4 hours","4+ hours"))))</f>
        <v/>
      </c>
      <c r="AS178" s="66" t="str">
        <f aca="false">IF(G178="","",HOUR(G178))</f>
        <v/>
      </c>
      <c r="AT178" s="80" t="str">
        <f aca="false">IF(OR(Z178="",AB178="",BL178=""),"",IFERROR(ROUND(IF(J178="Short",Z178-AB178,AB178-Z178)/BL178,1),""))</f>
        <v/>
      </c>
      <c r="AU178" s="68" t="str">
        <f aca="false">IF(OR(AA178="",AC178=""),"",IF(AA178=AC178,"No","Yes"))</f>
        <v/>
      </c>
      <c r="AV178" s="81" t="str">
        <f aca="false">IF(OR(B178="",BL178="",BM178="",AB178="",AC178=""),"",IFERROR(ROUND(AI178/(ABS(AB178-AC178)/BL178*BM178),2),""))</f>
        <v/>
      </c>
      <c r="AW178" s="76" t="str">
        <f aca="false">IF(B178="","",ROUND(BK178+SUMIFS(AM$5:AM177,BJ$5:BJ177,BJ178),2))</f>
        <v/>
      </c>
      <c r="AX178" s="66" t="str">
        <f aca="false">IF(B178="","",COUNTIFS(B$6:B178,B178,BJ$6:BJ178,BJ178))</f>
        <v/>
      </c>
      <c r="AY178" s="79" t="str">
        <f aca="false">IF(B178="","",ROUND(SUMIFS(AM$5:AM177,B$5:B177,B178,BJ$5:BJ177,BJ178),2))</f>
        <v/>
      </c>
      <c r="AZ178" s="79" t="str">
        <f aca="false">IF(AM178="","",ROUND(AY178+AM178,2))</f>
        <v/>
      </c>
      <c r="BA178" s="79" t="str">
        <f aca="false">IF(B178="","",ROUND(SUMIFS(AM$5:AM177,B$5:B177,"&gt;="&amp;(B178-WEEKDAY(B178,2)+1),B$5:B177,"&lt;="&amp;B178,BJ$5:BJ177,BJ178),2))</f>
        <v/>
      </c>
      <c r="BB178" s="68" t="str">
        <f aca="false">IF(B178="","",IF(AND(AF178&lt;&gt;"",AV178&lt;&gt;"",N(AF178)&gt;N(AV178)*(1+Settings!$C$13)),"Oversized",IF(AX178&gt;Settings!$C$10,"Overtraded",IF(AY178&lt;=-Settings!$C$11*(AW178-AY178),"Daily loss hit",IF(BA178&lt;=-Settings!$C$12*(AW178-BA178),"Weekly loss hit","OK")))))</f>
        <v/>
      </c>
      <c r="BC178" s="69"/>
      <c r="BD178" s="69"/>
      <c r="BE178" s="69"/>
      <c r="BF178" s="73"/>
      <c r="BG178" s="73"/>
      <c r="BH178" s="71"/>
      <c r="BI178" s="71"/>
      <c r="BJ178" s="68" t="str">
        <f aca="false">IF(B178="","",IF(E178="",Settings!$F$5,E178))</f>
        <v/>
      </c>
      <c r="BK178" s="76" t="str">
        <f aca="false">IF(B178="","",IFERROR(INDEX(Settings!$G$5:$G$10,MATCH(BJ178,Settings!$F$5:$F$10,0)),Settings!$G$5))</f>
        <v/>
      </c>
      <c r="BL178" s="82" t="str">
        <f aca="false">IF(I178="","",IFERROR(1/(1/INDEX(Lists!$C$6:$C$17,MATCH(I178,Lists!$B$6:$B$17,0))),""))</f>
        <v/>
      </c>
      <c r="BM178" s="81" t="str">
        <f aca="false">IF(I178="","",IFERROR(1/(1/INDEX(Lists!$D$6:$D$17,MATCH(I178,Lists!$B$6:$B$17,0))),""))</f>
        <v/>
      </c>
      <c r="BN178" s="76" t="str">
        <f aca="false">IF(AN178="","",MAX(BK178,_xlfn.MAXIFS(AN$6:AN178,BJ$6:BJ178,BJ178)))</f>
        <v/>
      </c>
      <c r="BO178" s="83" t="str">
        <f aca="false">IF(AN178="","",(AN178-BN178)/BN178)</f>
        <v/>
      </c>
      <c r="BP178" s="66" t="n">
        <f aca="false">IF(OR(B178="",AL178=""),0,IF(OR(Settings!$C$28="All Accounts",BJ178=Settings!$C$28),1,0))</f>
        <v>0</v>
      </c>
      <c r="BQ178" s="66" t="str">
        <f aca="false">IF(BP178=1,SUM(BP$6:BP178),"")</f>
        <v/>
      </c>
      <c r="BR178" s="76" t="str">
        <f aca="false">IF(BP178=1,ROUND(Settings!$C$29+SUMIFS(AM$6:AM178,BP$6:BP178,1),2),"")</f>
        <v/>
      </c>
      <c r="BS178" s="76" t="str">
        <f aca="false">IF(BP178=1,MAX(Settings!$C$29,MAX(BR$6:BR178)),"")</f>
        <v/>
      </c>
      <c r="BT178" s="83" t="str">
        <f aca="false">IF(BP178=1,(BR178-BS178)/BS178,"")</f>
        <v/>
      </c>
      <c r="BU178" s="66" t="str">
        <f aca="false">IF(BP178=1,IF(AL178="Win",1+IF(BQ178=1,0,INDEX(BU$5:BU177,MATCH(BQ178-1,BQ$5:BQ177,0))),0),"")</f>
        <v/>
      </c>
      <c r="BV178" s="66" t="str">
        <f aca="false">IF(BP178=1,IF(AL178="Loss",1+IF(BQ178=1,0,INDEX(BV$5:BV177,MATCH(BQ178-1,BQ$5:BQ177,0))),0),"")</f>
        <v/>
      </c>
    </row>
    <row r="179" customFormat="false" ht="15" hidden="false" customHeight="false" outlineLevel="0" collapsed="false">
      <c r="A179" s="66" t="str">
        <f aca="false">IF(B179="","",ROW()-5)</f>
        <v/>
      </c>
      <c r="B179" s="67"/>
      <c r="C179" s="68" t="str">
        <f aca="false">IF(B179="","",CHOOSE(WEEKDAY(B179,2),"Mon","Tue","Wed","Thu","Fri","Sat","Sun"))</f>
        <v/>
      </c>
      <c r="D179" s="66" t="str">
        <f aca="false">IF(B179="","",WEEKNUM(B179,2))</f>
        <v/>
      </c>
      <c r="E179" s="69"/>
      <c r="F179" s="69"/>
      <c r="G179" s="70"/>
      <c r="H179" s="70"/>
      <c r="I179" s="69"/>
      <c r="J179" s="69"/>
      <c r="K179" s="69"/>
      <c r="L179" s="71"/>
      <c r="M179" s="69"/>
      <c r="N179" s="69"/>
      <c r="O179" s="69"/>
      <c r="P179" s="71"/>
      <c r="Q179" s="69"/>
      <c r="R179" s="69"/>
      <c r="S179" s="69"/>
      <c r="T179" s="69"/>
      <c r="U179" s="69"/>
      <c r="V179" s="69"/>
      <c r="W179" s="69"/>
      <c r="X179" s="66" t="str">
        <f aca="false">IF(B179="","",COUNTIF(Q179:W179,"Yes"))</f>
        <v/>
      </c>
      <c r="Y179" s="68" t="str">
        <f aca="false">IF(B179="","",IF(X179&gt;=Settings!$C$16,"A+",IF(X179&gt;=Settings!$C$17,"A",IF(X179&gt;=Settings!$C$18,"B","C"))))</f>
        <v/>
      </c>
      <c r="Z179" s="72"/>
      <c r="AA179" s="72"/>
      <c r="AB179" s="72"/>
      <c r="AC179" s="72"/>
      <c r="AD179" s="72"/>
      <c r="AE179" s="72"/>
      <c r="AF179" s="73"/>
      <c r="AG179" s="74"/>
      <c r="AH179" s="75"/>
      <c r="AI179" s="76" t="str">
        <f aca="false">IF(B179="","",ROUND(IF(AG179="",Settings!$C$5,AG179)*AW179,2))</f>
        <v/>
      </c>
      <c r="AJ179" s="77" t="str">
        <f aca="false">IF(OR(B179="",AB179="",AC179="",AD179=""),"",IFERROR(ROUND(ABS(AD179-AB179)/ABS(AB179-AC179),2),""))</f>
        <v/>
      </c>
      <c r="AK179" s="78" t="str">
        <f aca="false">IF(OR(B179="",AB179="",AC179="",AE179=""),"",IFERROR(ROUND(IF(J179="Short",AB179-AE179,AE179-AB179)/ABS(AB179-AC179),2),""))</f>
        <v/>
      </c>
      <c r="AL179" s="68" t="str">
        <f aca="false">IF(AK179="","",IF(ABS(AK179)&lt;=Settings!$C$6,"BE",IF(AK179&gt;0,"Win","Loss")))</f>
        <v/>
      </c>
      <c r="AM179" s="79" t="str">
        <f aca="false">IF(OR(AK179="",AI179=""),"",ROUND(AK179*AI179-N(AH179),2))</f>
        <v/>
      </c>
      <c r="AN179" s="76" t="str">
        <f aca="false">IF(AM179="","",ROUND(BK179+SUMIFS(AM$6:AM179,BJ$6:BJ179,BJ179),2))</f>
        <v/>
      </c>
      <c r="AO179" s="78" t="str">
        <f aca="false">IF(AK179="","",ROUND(SUMIFS(AK$6:AK179,BJ$6:BJ179,BJ179),2))</f>
        <v/>
      </c>
      <c r="AP179" s="80" t="str">
        <f aca="false">IF(OR(AK179="",BL179=""),"",IFERROR(ROUND(IF(J179="Short",AB179-AE179,AE179-AB179)/BL179,1),""))</f>
        <v/>
      </c>
      <c r="AQ179" s="66" t="str">
        <f aca="false">IF(OR(G179="",H179=""),"",ROUND(MOD(H179-G179,1)*1440,0))</f>
        <v/>
      </c>
      <c r="AR179" s="68" t="str">
        <f aca="false">IF(AQ179="","",IF(AQ179&lt;15,"Under 15m",IF(AQ179&lt;60,"15-60m",IF(AQ179&lt;240,"1-4 hours","4+ hours"))))</f>
        <v/>
      </c>
      <c r="AS179" s="66" t="str">
        <f aca="false">IF(G179="","",HOUR(G179))</f>
        <v/>
      </c>
      <c r="AT179" s="80" t="str">
        <f aca="false">IF(OR(Z179="",AB179="",BL179=""),"",IFERROR(ROUND(IF(J179="Short",Z179-AB179,AB179-Z179)/BL179,1),""))</f>
        <v/>
      </c>
      <c r="AU179" s="68" t="str">
        <f aca="false">IF(OR(AA179="",AC179=""),"",IF(AA179=AC179,"No","Yes"))</f>
        <v/>
      </c>
      <c r="AV179" s="81" t="str">
        <f aca="false">IF(OR(B179="",BL179="",BM179="",AB179="",AC179=""),"",IFERROR(ROUND(AI179/(ABS(AB179-AC179)/BL179*BM179),2),""))</f>
        <v/>
      </c>
      <c r="AW179" s="76" t="str">
        <f aca="false">IF(B179="","",ROUND(BK179+SUMIFS(AM$5:AM178,BJ$5:BJ178,BJ179),2))</f>
        <v/>
      </c>
      <c r="AX179" s="66" t="str">
        <f aca="false">IF(B179="","",COUNTIFS(B$6:B179,B179,BJ$6:BJ179,BJ179))</f>
        <v/>
      </c>
      <c r="AY179" s="79" t="str">
        <f aca="false">IF(B179="","",ROUND(SUMIFS(AM$5:AM178,B$5:B178,B179,BJ$5:BJ178,BJ179),2))</f>
        <v/>
      </c>
      <c r="AZ179" s="79" t="str">
        <f aca="false">IF(AM179="","",ROUND(AY179+AM179,2))</f>
        <v/>
      </c>
      <c r="BA179" s="79" t="str">
        <f aca="false">IF(B179="","",ROUND(SUMIFS(AM$5:AM178,B$5:B178,"&gt;="&amp;(B179-WEEKDAY(B179,2)+1),B$5:B178,"&lt;="&amp;B179,BJ$5:BJ178,BJ179),2))</f>
        <v/>
      </c>
      <c r="BB179" s="68" t="str">
        <f aca="false">IF(B179="","",IF(AND(AF179&lt;&gt;"",AV179&lt;&gt;"",N(AF179)&gt;N(AV179)*(1+Settings!$C$13)),"Oversized",IF(AX179&gt;Settings!$C$10,"Overtraded",IF(AY179&lt;=-Settings!$C$11*(AW179-AY179),"Daily loss hit",IF(BA179&lt;=-Settings!$C$12*(AW179-BA179),"Weekly loss hit","OK")))))</f>
        <v/>
      </c>
      <c r="BC179" s="69"/>
      <c r="BD179" s="69"/>
      <c r="BE179" s="69"/>
      <c r="BF179" s="73"/>
      <c r="BG179" s="73"/>
      <c r="BH179" s="71"/>
      <c r="BI179" s="71"/>
      <c r="BJ179" s="68" t="str">
        <f aca="false">IF(B179="","",IF(E179="",Settings!$F$5,E179))</f>
        <v/>
      </c>
      <c r="BK179" s="76" t="str">
        <f aca="false">IF(B179="","",IFERROR(INDEX(Settings!$G$5:$G$10,MATCH(BJ179,Settings!$F$5:$F$10,0)),Settings!$G$5))</f>
        <v/>
      </c>
      <c r="BL179" s="82" t="str">
        <f aca="false">IF(I179="","",IFERROR(1/(1/INDEX(Lists!$C$6:$C$17,MATCH(I179,Lists!$B$6:$B$17,0))),""))</f>
        <v/>
      </c>
      <c r="BM179" s="81" t="str">
        <f aca="false">IF(I179="","",IFERROR(1/(1/INDEX(Lists!$D$6:$D$17,MATCH(I179,Lists!$B$6:$B$17,0))),""))</f>
        <v/>
      </c>
      <c r="BN179" s="76" t="str">
        <f aca="false">IF(AN179="","",MAX(BK179,_xlfn.MAXIFS(AN$6:AN179,BJ$6:BJ179,BJ179)))</f>
        <v/>
      </c>
      <c r="BO179" s="83" t="str">
        <f aca="false">IF(AN179="","",(AN179-BN179)/BN179)</f>
        <v/>
      </c>
      <c r="BP179" s="66" t="n">
        <f aca="false">IF(OR(B179="",AL179=""),0,IF(OR(Settings!$C$28="All Accounts",BJ179=Settings!$C$28),1,0))</f>
        <v>0</v>
      </c>
      <c r="BQ179" s="66" t="str">
        <f aca="false">IF(BP179=1,SUM(BP$6:BP179),"")</f>
        <v/>
      </c>
      <c r="BR179" s="76" t="str">
        <f aca="false">IF(BP179=1,ROUND(Settings!$C$29+SUMIFS(AM$6:AM179,BP$6:BP179,1),2),"")</f>
        <v/>
      </c>
      <c r="BS179" s="76" t="str">
        <f aca="false">IF(BP179=1,MAX(Settings!$C$29,MAX(BR$6:BR179)),"")</f>
        <v/>
      </c>
      <c r="BT179" s="83" t="str">
        <f aca="false">IF(BP179=1,(BR179-BS179)/BS179,"")</f>
        <v/>
      </c>
      <c r="BU179" s="66" t="str">
        <f aca="false">IF(BP179=1,IF(AL179="Win",1+IF(BQ179=1,0,INDEX(BU$5:BU178,MATCH(BQ179-1,BQ$5:BQ178,0))),0),"")</f>
        <v/>
      </c>
      <c r="BV179" s="66" t="str">
        <f aca="false">IF(BP179=1,IF(AL179="Loss",1+IF(BQ179=1,0,INDEX(BV$5:BV178,MATCH(BQ179-1,BQ$5:BQ178,0))),0),"")</f>
        <v/>
      </c>
    </row>
    <row r="180" customFormat="false" ht="15" hidden="false" customHeight="false" outlineLevel="0" collapsed="false">
      <c r="A180" s="66" t="str">
        <f aca="false">IF(B180="","",ROW()-5)</f>
        <v/>
      </c>
      <c r="B180" s="67"/>
      <c r="C180" s="68" t="str">
        <f aca="false">IF(B180="","",CHOOSE(WEEKDAY(B180,2),"Mon","Tue","Wed","Thu","Fri","Sat","Sun"))</f>
        <v/>
      </c>
      <c r="D180" s="66" t="str">
        <f aca="false">IF(B180="","",WEEKNUM(B180,2))</f>
        <v/>
      </c>
      <c r="E180" s="69"/>
      <c r="F180" s="69"/>
      <c r="G180" s="70"/>
      <c r="H180" s="70"/>
      <c r="I180" s="69"/>
      <c r="J180" s="69"/>
      <c r="K180" s="69"/>
      <c r="L180" s="71"/>
      <c r="M180" s="69"/>
      <c r="N180" s="69"/>
      <c r="O180" s="69"/>
      <c r="P180" s="71"/>
      <c r="Q180" s="69"/>
      <c r="R180" s="69"/>
      <c r="S180" s="69"/>
      <c r="T180" s="69"/>
      <c r="U180" s="69"/>
      <c r="V180" s="69"/>
      <c r="W180" s="69"/>
      <c r="X180" s="66" t="str">
        <f aca="false">IF(B180="","",COUNTIF(Q180:W180,"Yes"))</f>
        <v/>
      </c>
      <c r="Y180" s="68" t="str">
        <f aca="false">IF(B180="","",IF(X180&gt;=Settings!$C$16,"A+",IF(X180&gt;=Settings!$C$17,"A",IF(X180&gt;=Settings!$C$18,"B","C"))))</f>
        <v/>
      </c>
      <c r="Z180" s="72"/>
      <c r="AA180" s="72"/>
      <c r="AB180" s="72"/>
      <c r="AC180" s="72"/>
      <c r="AD180" s="72"/>
      <c r="AE180" s="72"/>
      <c r="AF180" s="73"/>
      <c r="AG180" s="74"/>
      <c r="AH180" s="75"/>
      <c r="AI180" s="76" t="str">
        <f aca="false">IF(B180="","",ROUND(IF(AG180="",Settings!$C$5,AG180)*AW180,2))</f>
        <v/>
      </c>
      <c r="AJ180" s="77" t="str">
        <f aca="false">IF(OR(B180="",AB180="",AC180="",AD180=""),"",IFERROR(ROUND(ABS(AD180-AB180)/ABS(AB180-AC180),2),""))</f>
        <v/>
      </c>
      <c r="AK180" s="78" t="str">
        <f aca="false">IF(OR(B180="",AB180="",AC180="",AE180=""),"",IFERROR(ROUND(IF(J180="Short",AB180-AE180,AE180-AB180)/ABS(AB180-AC180),2),""))</f>
        <v/>
      </c>
      <c r="AL180" s="68" t="str">
        <f aca="false">IF(AK180="","",IF(ABS(AK180)&lt;=Settings!$C$6,"BE",IF(AK180&gt;0,"Win","Loss")))</f>
        <v/>
      </c>
      <c r="AM180" s="79" t="str">
        <f aca="false">IF(OR(AK180="",AI180=""),"",ROUND(AK180*AI180-N(AH180),2))</f>
        <v/>
      </c>
      <c r="AN180" s="76" t="str">
        <f aca="false">IF(AM180="","",ROUND(BK180+SUMIFS(AM$6:AM180,BJ$6:BJ180,BJ180),2))</f>
        <v/>
      </c>
      <c r="AO180" s="78" t="str">
        <f aca="false">IF(AK180="","",ROUND(SUMIFS(AK$6:AK180,BJ$6:BJ180,BJ180),2))</f>
        <v/>
      </c>
      <c r="AP180" s="80" t="str">
        <f aca="false">IF(OR(AK180="",BL180=""),"",IFERROR(ROUND(IF(J180="Short",AB180-AE180,AE180-AB180)/BL180,1),""))</f>
        <v/>
      </c>
      <c r="AQ180" s="66" t="str">
        <f aca="false">IF(OR(G180="",H180=""),"",ROUND(MOD(H180-G180,1)*1440,0))</f>
        <v/>
      </c>
      <c r="AR180" s="68" t="str">
        <f aca="false">IF(AQ180="","",IF(AQ180&lt;15,"Under 15m",IF(AQ180&lt;60,"15-60m",IF(AQ180&lt;240,"1-4 hours","4+ hours"))))</f>
        <v/>
      </c>
      <c r="AS180" s="66" t="str">
        <f aca="false">IF(G180="","",HOUR(G180))</f>
        <v/>
      </c>
      <c r="AT180" s="80" t="str">
        <f aca="false">IF(OR(Z180="",AB180="",BL180=""),"",IFERROR(ROUND(IF(J180="Short",Z180-AB180,AB180-Z180)/BL180,1),""))</f>
        <v/>
      </c>
      <c r="AU180" s="68" t="str">
        <f aca="false">IF(OR(AA180="",AC180=""),"",IF(AA180=AC180,"No","Yes"))</f>
        <v/>
      </c>
      <c r="AV180" s="81" t="str">
        <f aca="false">IF(OR(B180="",BL180="",BM180="",AB180="",AC180=""),"",IFERROR(ROUND(AI180/(ABS(AB180-AC180)/BL180*BM180),2),""))</f>
        <v/>
      </c>
      <c r="AW180" s="76" t="str">
        <f aca="false">IF(B180="","",ROUND(BK180+SUMIFS(AM$5:AM179,BJ$5:BJ179,BJ180),2))</f>
        <v/>
      </c>
      <c r="AX180" s="66" t="str">
        <f aca="false">IF(B180="","",COUNTIFS(B$6:B180,B180,BJ$6:BJ180,BJ180))</f>
        <v/>
      </c>
      <c r="AY180" s="79" t="str">
        <f aca="false">IF(B180="","",ROUND(SUMIFS(AM$5:AM179,B$5:B179,B180,BJ$5:BJ179,BJ180),2))</f>
        <v/>
      </c>
      <c r="AZ180" s="79" t="str">
        <f aca="false">IF(AM180="","",ROUND(AY180+AM180,2))</f>
        <v/>
      </c>
      <c r="BA180" s="79" t="str">
        <f aca="false">IF(B180="","",ROUND(SUMIFS(AM$5:AM179,B$5:B179,"&gt;="&amp;(B180-WEEKDAY(B180,2)+1),B$5:B179,"&lt;="&amp;B180,BJ$5:BJ179,BJ180),2))</f>
        <v/>
      </c>
      <c r="BB180" s="68" t="str">
        <f aca="false">IF(B180="","",IF(AND(AF180&lt;&gt;"",AV180&lt;&gt;"",N(AF180)&gt;N(AV180)*(1+Settings!$C$13)),"Oversized",IF(AX180&gt;Settings!$C$10,"Overtraded",IF(AY180&lt;=-Settings!$C$11*(AW180-AY180),"Daily loss hit",IF(BA180&lt;=-Settings!$C$12*(AW180-BA180),"Weekly loss hit","OK")))))</f>
        <v/>
      </c>
      <c r="BC180" s="69"/>
      <c r="BD180" s="69"/>
      <c r="BE180" s="69"/>
      <c r="BF180" s="73"/>
      <c r="BG180" s="73"/>
      <c r="BH180" s="71"/>
      <c r="BI180" s="71"/>
      <c r="BJ180" s="68" t="str">
        <f aca="false">IF(B180="","",IF(E180="",Settings!$F$5,E180))</f>
        <v/>
      </c>
      <c r="BK180" s="76" t="str">
        <f aca="false">IF(B180="","",IFERROR(INDEX(Settings!$G$5:$G$10,MATCH(BJ180,Settings!$F$5:$F$10,0)),Settings!$G$5))</f>
        <v/>
      </c>
      <c r="BL180" s="82" t="str">
        <f aca="false">IF(I180="","",IFERROR(1/(1/INDEX(Lists!$C$6:$C$17,MATCH(I180,Lists!$B$6:$B$17,0))),""))</f>
        <v/>
      </c>
      <c r="BM180" s="81" t="str">
        <f aca="false">IF(I180="","",IFERROR(1/(1/INDEX(Lists!$D$6:$D$17,MATCH(I180,Lists!$B$6:$B$17,0))),""))</f>
        <v/>
      </c>
      <c r="BN180" s="76" t="str">
        <f aca="false">IF(AN180="","",MAX(BK180,_xlfn.MAXIFS(AN$6:AN180,BJ$6:BJ180,BJ180)))</f>
        <v/>
      </c>
      <c r="BO180" s="83" t="str">
        <f aca="false">IF(AN180="","",(AN180-BN180)/BN180)</f>
        <v/>
      </c>
      <c r="BP180" s="66" t="n">
        <f aca="false">IF(OR(B180="",AL180=""),0,IF(OR(Settings!$C$28="All Accounts",BJ180=Settings!$C$28),1,0))</f>
        <v>0</v>
      </c>
      <c r="BQ180" s="66" t="str">
        <f aca="false">IF(BP180=1,SUM(BP$6:BP180),"")</f>
        <v/>
      </c>
      <c r="BR180" s="76" t="str">
        <f aca="false">IF(BP180=1,ROUND(Settings!$C$29+SUMIFS(AM$6:AM180,BP$6:BP180,1),2),"")</f>
        <v/>
      </c>
      <c r="BS180" s="76" t="str">
        <f aca="false">IF(BP180=1,MAX(Settings!$C$29,MAX(BR$6:BR180)),"")</f>
        <v/>
      </c>
      <c r="BT180" s="83" t="str">
        <f aca="false">IF(BP180=1,(BR180-BS180)/BS180,"")</f>
        <v/>
      </c>
      <c r="BU180" s="66" t="str">
        <f aca="false">IF(BP180=1,IF(AL180="Win",1+IF(BQ180=1,0,INDEX(BU$5:BU179,MATCH(BQ180-1,BQ$5:BQ179,0))),0),"")</f>
        <v/>
      </c>
      <c r="BV180" s="66" t="str">
        <f aca="false">IF(BP180=1,IF(AL180="Loss",1+IF(BQ180=1,0,INDEX(BV$5:BV179,MATCH(BQ180-1,BQ$5:BQ179,0))),0),"")</f>
        <v/>
      </c>
    </row>
    <row r="181" customFormat="false" ht="15" hidden="false" customHeight="false" outlineLevel="0" collapsed="false">
      <c r="A181" s="66" t="str">
        <f aca="false">IF(B181="","",ROW()-5)</f>
        <v/>
      </c>
      <c r="B181" s="67"/>
      <c r="C181" s="68" t="str">
        <f aca="false">IF(B181="","",CHOOSE(WEEKDAY(B181,2),"Mon","Tue","Wed","Thu","Fri","Sat","Sun"))</f>
        <v/>
      </c>
      <c r="D181" s="66" t="str">
        <f aca="false">IF(B181="","",WEEKNUM(B181,2))</f>
        <v/>
      </c>
      <c r="E181" s="69"/>
      <c r="F181" s="69"/>
      <c r="G181" s="70"/>
      <c r="H181" s="70"/>
      <c r="I181" s="69"/>
      <c r="J181" s="69"/>
      <c r="K181" s="69"/>
      <c r="L181" s="71"/>
      <c r="M181" s="69"/>
      <c r="N181" s="69"/>
      <c r="O181" s="69"/>
      <c r="P181" s="71"/>
      <c r="Q181" s="69"/>
      <c r="R181" s="69"/>
      <c r="S181" s="69"/>
      <c r="T181" s="69"/>
      <c r="U181" s="69"/>
      <c r="V181" s="69"/>
      <c r="W181" s="69"/>
      <c r="X181" s="66" t="str">
        <f aca="false">IF(B181="","",COUNTIF(Q181:W181,"Yes"))</f>
        <v/>
      </c>
      <c r="Y181" s="68" t="str">
        <f aca="false">IF(B181="","",IF(X181&gt;=Settings!$C$16,"A+",IF(X181&gt;=Settings!$C$17,"A",IF(X181&gt;=Settings!$C$18,"B","C"))))</f>
        <v/>
      </c>
      <c r="Z181" s="72"/>
      <c r="AA181" s="72"/>
      <c r="AB181" s="72"/>
      <c r="AC181" s="72"/>
      <c r="AD181" s="72"/>
      <c r="AE181" s="72"/>
      <c r="AF181" s="73"/>
      <c r="AG181" s="74"/>
      <c r="AH181" s="75"/>
      <c r="AI181" s="76" t="str">
        <f aca="false">IF(B181="","",ROUND(IF(AG181="",Settings!$C$5,AG181)*AW181,2))</f>
        <v/>
      </c>
      <c r="AJ181" s="77" t="str">
        <f aca="false">IF(OR(B181="",AB181="",AC181="",AD181=""),"",IFERROR(ROUND(ABS(AD181-AB181)/ABS(AB181-AC181),2),""))</f>
        <v/>
      </c>
      <c r="AK181" s="78" t="str">
        <f aca="false">IF(OR(B181="",AB181="",AC181="",AE181=""),"",IFERROR(ROUND(IF(J181="Short",AB181-AE181,AE181-AB181)/ABS(AB181-AC181),2),""))</f>
        <v/>
      </c>
      <c r="AL181" s="68" t="str">
        <f aca="false">IF(AK181="","",IF(ABS(AK181)&lt;=Settings!$C$6,"BE",IF(AK181&gt;0,"Win","Loss")))</f>
        <v/>
      </c>
      <c r="AM181" s="79" t="str">
        <f aca="false">IF(OR(AK181="",AI181=""),"",ROUND(AK181*AI181-N(AH181),2))</f>
        <v/>
      </c>
      <c r="AN181" s="76" t="str">
        <f aca="false">IF(AM181="","",ROUND(BK181+SUMIFS(AM$6:AM181,BJ$6:BJ181,BJ181),2))</f>
        <v/>
      </c>
      <c r="AO181" s="78" t="str">
        <f aca="false">IF(AK181="","",ROUND(SUMIFS(AK$6:AK181,BJ$6:BJ181,BJ181),2))</f>
        <v/>
      </c>
      <c r="AP181" s="80" t="str">
        <f aca="false">IF(OR(AK181="",BL181=""),"",IFERROR(ROUND(IF(J181="Short",AB181-AE181,AE181-AB181)/BL181,1),""))</f>
        <v/>
      </c>
      <c r="AQ181" s="66" t="str">
        <f aca="false">IF(OR(G181="",H181=""),"",ROUND(MOD(H181-G181,1)*1440,0))</f>
        <v/>
      </c>
      <c r="AR181" s="68" t="str">
        <f aca="false">IF(AQ181="","",IF(AQ181&lt;15,"Under 15m",IF(AQ181&lt;60,"15-60m",IF(AQ181&lt;240,"1-4 hours","4+ hours"))))</f>
        <v/>
      </c>
      <c r="AS181" s="66" t="str">
        <f aca="false">IF(G181="","",HOUR(G181))</f>
        <v/>
      </c>
      <c r="AT181" s="80" t="str">
        <f aca="false">IF(OR(Z181="",AB181="",BL181=""),"",IFERROR(ROUND(IF(J181="Short",Z181-AB181,AB181-Z181)/BL181,1),""))</f>
        <v/>
      </c>
      <c r="AU181" s="68" t="str">
        <f aca="false">IF(OR(AA181="",AC181=""),"",IF(AA181=AC181,"No","Yes"))</f>
        <v/>
      </c>
      <c r="AV181" s="81" t="str">
        <f aca="false">IF(OR(B181="",BL181="",BM181="",AB181="",AC181=""),"",IFERROR(ROUND(AI181/(ABS(AB181-AC181)/BL181*BM181),2),""))</f>
        <v/>
      </c>
      <c r="AW181" s="76" t="str">
        <f aca="false">IF(B181="","",ROUND(BK181+SUMIFS(AM$5:AM180,BJ$5:BJ180,BJ181),2))</f>
        <v/>
      </c>
      <c r="AX181" s="66" t="str">
        <f aca="false">IF(B181="","",COUNTIFS(B$6:B181,B181,BJ$6:BJ181,BJ181))</f>
        <v/>
      </c>
      <c r="AY181" s="79" t="str">
        <f aca="false">IF(B181="","",ROUND(SUMIFS(AM$5:AM180,B$5:B180,B181,BJ$5:BJ180,BJ181),2))</f>
        <v/>
      </c>
      <c r="AZ181" s="79" t="str">
        <f aca="false">IF(AM181="","",ROUND(AY181+AM181,2))</f>
        <v/>
      </c>
      <c r="BA181" s="79" t="str">
        <f aca="false">IF(B181="","",ROUND(SUMIFS(AM$5:AM180,B$5:B180,"&gt;="&amp;(B181-WEEKDAY(B181,2)+1),B$5:B180,"&lt;="&amp;B181,BJ$5:BJ180,BJ181),2))</f>
        <v/>
      </c>
      <c r="BB181" s="68" t="str">
        <f aca="false">IF(B181="","",IF(AND(AF181&lt;&gt;"",AV181&lt;&gt;"",N(AF181)&gt;N(AV181)*(1+Settings!$C$13)),"Oversized",IF(AX181&gt;Settings!$C$10,"Overtraded",IF(AY181&lt;=-Settings!$C$11*(AW181-AY181),"Daily loss hit",IF(BA181&lt;=-Settings!$C$12*(AW181-BA181),"Weekly loss hit","OK")))))</f>
        <v/>
      </c>
      <c r="BC181" s="69"/>
      <c r="BD181" s="69"/>
      <c r="BE181" s="69"/>
      <c r="BF181" s="73"/>
      <c r="BG181" s="73"/>
      <c r="BH181" s="71"/>
      <c r="BI181" s="71"/>
      <c r="BJ181" s="68" t="str">
        <f aca="false">IF(B181="","",IF(E181="",Settings!$F$5,E181))</f>
        <v/>
      </c>
      <c r="BK181" s="76" t="str">
        <f aca="false">IF(B181="","",IFERROR(INDEX(Settings!$G$5:$G$10,MATCH(BJ181,Settings!$F$5:$F$10,0)),Settings!$G$5))</f>
        <v/>
      </c>
      <c r="BL181" s="82" t="str">
        <f aca="false">IF(I181="","",IFERROR(1/(1/INDEX(Lists!$C$6:$C$17,MATCH(I181,Lists!$B$6:$B$17,0))),""))</f>
        <v/>
      </c>
      <c r="BM181" s="81" t="str">
        <f aca="false">IF(I181="","",IFERROR(1/(1/INDEX(Lists!$D$6:$D$17,MATCH(I181,Lists!$B$6:$B$17,0))),""))</f>
        <v/>
      </c>
      <c r="BN181" s="76" t="str">
        <f aca="false">IF(AN181="","",MAX(BK181,_xlfn.MAXIFS(AN$6:AN181,BJ$6:BJ181,BJ181)))</f>
        <v/>
      </c>
      <c r="BO181" s="83" t="str">
        <f aca="false">IF(AN181="","",(AN181-BN181)/BN181)</f>
        <v/>
      </c>
      <c r="BP181" s="66" t="n">
        <f aca="false">IF(OR(B181="",AL181=""),0,IF(OR(Settings!$C$28="All Accounts",BJ181=Settings!$C$28),1,0))</f>
        <v>0</v>
      </c>
      <c r="BQ181" s="66" t="str">
        <f aca="false">IF(BP181=1,SUM(BP$6:BP181),"")</f>
        <v/>
      </c>
      <c r="BR181" s="76" t="str">
        <f aca="false">IF(BP181=1,ROUND(Settings!$C$29+SUMIFS(AM$6:AM181,BP$6:BP181,1),2),"")</f>
        <v/>
      </c>
      <c r="BS181" s="76" t="str">
        <f aca="false">IF(BP181=1,MAX(Settings!$C$29,MAX(BR$6:BR181)),"")</f>
        <v/>
      </c>
      <c r="BT181" s="83" t="str">
        <f aca="false">IF(BP181=1,(BR181-BS181)/BS181,"")</f>
        <v/>
      </c>
      <c r="BU181" s="66" t="str">
        <f aca="false">IF(BP181=1,IF(AL181="Win",1+IF(BQ181=1,0,INDEX(BU$5:BU180,MATCH(BQ181-1,BQ$5:BQ180,0))),0),"")</f>
        <v/>
      </c>
      <c r="BV181" s="66" t="str">
        <f aca="false">IF(BP181=1,IF(AL181="Loss",1+IF(BQ181=1,0,INDEX(BV$5:BV180,MATCH(BQ181-1,BQ$5:BQ180,0))),0),"")</f>
        <v/>
      </c>
    </row>
    <row r="182" customFormat="false" ht="15" hidden="false" customHeight="false" outlineLevel="0" collapsed="false">
      <c r="A182" s="66" t="str">
        <f aca="false">IF(B182="","",ROW()-5)</f>
        <v/>
      </c>
      <c r="B182" s="67"/>
      <c r="C182" s="68" t="str">
        <f aca="false">IF(B182="","",CHOOSE(WEEKDAY(B182,2),"Mon","Tue","Wed","Thu","Fri","Sat","Sun"))</f>
        <v/>
      </c>
      <c r="D182" s="66" t="str">
        <f aca="false">IF(B182="","",WEEKNUM(B182,2))</f>
        <v/>
      </c>
      <c r="E182" s="69"/>
      <c r="F182" s="69"/>
      <c r="G182" s="70"/>
      <c r="H182" s="70"/>
      <c r="I182" s="69"/>
      <c r="J182" s="69"/>
      <c r="K182" s="69"/>
      <c r="L182" s="71"/>
      <c r="M182" s="69"/>
      <c r="N182" s="69"/>
      <c r="O182" s="69"/>
      <c r="P182" s="71"/>
      <c r="Q182" s="69"/>
      <c r="R182" s="69"/>
      <c r="S182" s="69"/>
      <c r="T182" s="69"/>
      <c r="U182" s="69"/>
      <c r="V182" s="69"/>
      <c r="W182" s="69"/>
      <c r="X182" s="66" t="str">
        <f aca="false">IF(B182="","",COUNTIF(Q182:W182,"Yes"))</f>
        <v/>
      </c>
      <c r="Y182" s="68" t="str">
        <f aca="false">IF(B182="","",IF(X182&gt;=Settings!$C$16,"A+",IF(X182&gt;=Settings!$C$17,"A",IF(X182&gt;=Settings!$C$18,"B","C"))))</f>
        <v/>
      </c>
      <c r="Z182" s="72"/>
      <c r="AA182" s="72"/>
      <c r="AB182" s="72"/>
      <c r="AC182" s="72"/>
      <c r="AD182" s="72"/>
      <c r="AE182" s="72"/>
      <c r="AF182" s="73"/>
      <c r="AG182" s="74"/>
      <c r="AH182" s="75"/>
      <c r="AI182" s="76" t="str">
        <f aca="false">IF(B182="","",ROUND(IF(AG182="",Settings!$C$5,AG182)*AW182,2))</f>
        <v/>
      </c>
      <c r="AJ182" s="77" t="str">
        <f aca="false">IF(OR(B182="",AB182="",AC182="",AD182=""),"",IFERROR(ROUND(ABS(AD182-AB182)/ABS(AB182-AC182),2),""))</f>
        <v/>
      </c>
      <c r="AK182" s="78" t="str">
        <f aca="false">IF(OR(B182="",AB182="",AC182="",AE182=""),"",IFERROR(ROUND(IF(J182="Short",AB182-AE182,AE182-AB182)/ABS(AB182-AC182),2),""))</f>
        <v/>
      </c>
      <c r="AL182" s="68" t="str">
        <f aca="false">IF(AK182="","",IF(ABS(AK182)&lt;=Settings!$C$6,"BE",IF(AK182&gt;0,"Win","Loss")))</f>
        <v/>
      </c>
      <c r="AM182" s="79" t="str">
        <f aca="false">IF(OR(AK182="",AI182=""),"",ROUND(AK182*AI182-N(AH182),2))</f>
        <v/>
      </c>
      <c r="AN182" s="76" t="str">
        <f aca="false">IF(AM182="","",ROUND(BK182+SUMIFS(AM$6:AM182,BJ$6:BJ182,BJ182),2))</f>
        <v/>
      </c>
      <c r="AO182" s="78" t="str">
        <f aca="false">IF(AK182="","",ROUND(SUMIFS(AK$6:AK182,BJ$6:BJ182,BJ182),2))</f>
        <v/>
      </c>
      <c r="AP182" s="80" t="str">
        <f aca="false">IF(OR(AK182="",BL182=""),"",IFERROR(ROUND(IF(J182="Short",AB182-AE182,AE182-AB182)/BL182,1),""))</f>
        <v/>
      </c>
      <c r="AQ182" s="66" t="str">
        <f aca="false">IF(OR(G182="",H182=""),"",ROUND(MOD(H182-G182,1)*1440,0))</f>
        <v/>
      </c>
      <c r="AR182" s="68" t="str">
        <f aca="false">IF(AQ182="","",IF(AQ182&lt;15,"Under 15m",IF(AQ182&lt;60,"15-60m",IF(AQ182&lt;240,"1-4 hours","4+ hours"))))</f>
        <v/>
      </c>
      <c r="AS182" s="66" t="str">
        <f aca="false">IF(G182="","",HOUR(G182))</f>
        <v/>
      </c>
      <c r="AT182" s="80" t="str">
        <f aca="false">IF(OR(Z182="",AB182="",BL182=""),"",IFERROR(ROUND(IF(J182="Short",Z182-AB182,AB182-Z182)/BL182,1),""))</f>
        <v/>
      </c>
      <c r="AU182" s="68" t="str">
        <f aca="false">IF(OR(AA182="",AC182=""),"",IF(AA182=AC182,"No","Yes"))</f>
        <v/>
      </c>
      <c r="AV182" s="81" t="str">
        <f aca="false">IF(OR(B182="",BL182="",BM182="",AB182="",AC182=""),"",IFERROR(ROUND(AI182/(ABS(AB182-AC182)/BL182*BM182),2),""))</f>
        <v/>
      </c>
      <c r="AW182" s="76" t="str">
        <f aca="false">IF(B182="","",ROUND(BK182+SUMIFS(AM$5:AM181,BJ$5:BJ181,BJ182),2))</f>
        <v/>
      </c>
      <c r="AX182" s="66" t="str">
        <f aca="false">IF(B182="","",COUNTIFS(B$6:B182,B182,BJ$6:BJ182,BJ182))</f>
        <v/>
      </c>
      <c r="AY182" s="79" t="str">
        <f aca="false">IF(B182="","",ROUND(SUMIFS(AM$5:AM181,B$5:B181,B182,BJ$5:BJ181,BJ182),2))</f>
        <v/>
      </c>
      <c r="AZ182" s="79" t="str">
        <f aca="false">IF(AM182="","",ROUND(AY182+AM182,2))</f>
        <v/>
      </c>
      <c r="BA182" s="79" t="str">
        <f aca="false">IF(B182="","",ROUND(SUMIFS(AM$5:AM181,B$5:B181,"&gt;="&amp;(B182-WEEKDAY(B182,2)+1),B$5:B181,"&lt;="&amp;B182,BJ$5:BJ181,BJ182),2))</f>
        <v/>
      </c>
      <c r="BB182" s="68" t="str">
        <f aca="false">IF(B182="","",IF(AND(AF182&lt;&gt;"",AV182&lt;&gt;"",N(AF182)&gt;N(AV182)*(1+Settings!$C$13)),"Oversized",IF(AX182&gt;Settings!$C$10,"Overtraded",IF(AY182&lt;=-Settings!$C$11*(AW182-AY182),"Daily loss hit",IF(BA182&lt;=-Settings!$C$12*(AW182-BA182),"Weekly loss hit","OK")))))</f>
        <v/>
      </c>
      <c r="BC182" s="69"/>
      <c r="BD182" s="69"/>
      <c r="BE182" s="69"/>
      <c r="BF182" s="73"/>
      <c r="BG182" s="73"/>
      <c r="BH182" s="71"/>
      <c r="BI182" s="71"/>
      <c r="BJ182" s="68" t="str">
        <f aca="false">IF(B182="","",IF(E182="",Settings!$F$5,E182))</f>
        <v/>
      </c>
      <c r="BK182" s="76" t="str">
        <f aca="false">IF(B182="","",IFERROR(INDEX(Settings!$G$5:$G$10,MATCH(BJ182,Settings!$F$5:$F$10,0)),Settings!$G$5))</f>
        <v/>
      </c>
      <c r="BL182" s="82" t="str">
        <f aca="false">IF(I182="","",IFERROR(1/(1/INDEX(Lists!$C$6:$C$17,MATCH(I182,Lists!$B$6:$B$17,0))),""))</f>
        <v/>
      </c>
      <c r="BM182" s="81" t="str">
        <f aca="false">IF(I182="","",IFERROR(1/(1/INDEX(Lists!$D$6:$D$17,MATCH(I182,Lists!$B$6:$B$17,0))),""))</f>
        <v/>
      </c>
      <c r="BN182" s="76" t="str">
        <f aca="false">IF(AN182="","",MAX(BK182,_xlfn.MAXIFS(AN$6:AN182,BJ$6:BJ182,BJ182)))</f>
        <v/>
      </c>
      <c r="BO182" s="83" t="str">
        <f aca="false">IF(AN182="","",(AN182-BN182)/BN182)</f>
        <v/>
      </c>
      <c r="BP182" s="66" t="n">
        <f aca="false">IF(OR(B182="",AL182=""),0,IF(OR(Settings!$C$28="All Accounts",BJ182=Settings!$C$28),1,0))</f>
        <v>0</v>
      </c>
      <c r="BQ182" s="66" t="str">
        <f aca="false">IF(BP182=1,SUM(BP$6:BP182),"")</f>
        <v/>
      </c>
      <c r="BR182" s="76" t="str">
        <f aca="false">IF(BP182=1,ROUND(Settings!$C$29+SUMIFS(AM$6:AM182,BP$6:BP182,1),2),"")</f>
        <v/>
      </c>
      <c r="BS182" s="76" t="str">
        <f aca="false">IF(BP182=1,MAX(Settings!$C$29,MAX(BR$6:BR182)),"")</f>
        <v/>
      </c>
      <c r="BT182" s="83" t="str">
        <f aca="false">IF(BP182=1,(BR182-BS182)/BS182,"")</f>
        <v/>
      </c>
      <c r="BU182" s="66" t="str">
        <f aca="false">IF(BP182=1,IF(AL182="Win",1+IF(BQ182=1,0,INDEX(BU$5:BU181,MATCH(BQ182-1,BQ$5:BQ181,0))),0),"")</f>
        <v/>
      </c>
      <c r="BV182" s="66" t="str">
        <f aca="false">IF(BP182=1,IF(AL182="Loss",1+IF(BQ182=1,0,INDEX(BV$5:BV181,MATCH(BQ182-1,BQ$5:BQ181,0))),0),"")</f>
        <v/>
      </c>
    </row>
    <row r="183" customFormat="false" ht="15" hidden="false" customHeight="false" outlineLevel="0" collapsed="false">
      <c r="A183" s="66" t="str">
        <f aca="false">IF(B183="","",ROW()-5)</f>
        <v/>
      </c>
      <c r="B183" s="67"/>
      <c r="C183" s="68" t="str">
        <f aca="false">IF(B183="","",CHOOSE(WEEKDAY(B183,2),"Mon","Tue","Wed","Thu","Fri","Sat","Sun"))</f>
        <v/>
      </c>
      <c r="D183" s="66" t="str">
        <f aca="false">IF(B183="","",WEEKNUM(B183,2))</f>
        <v/>
      </c>
      <c r="E183" s="69"/>
      <c r="F183" s="69"/>
      <c r="G183" s="70"/>
      <c r="H183" s="70"/>
      <c r="I183" s="69"/>
      <c r="J183" s="69"/>
      <c r="K183" s="69"/>
      <c r="L183" s="71"/>
      <c r="M183" s="69"/>
      <c r="N183" s="69"/>
      <c r="O183" s="69"/>
      <c r="P183" s="71"/>
      <c r="Q183" s="69"/>
      <c r="R183" s="69"/>
      <c r="S183" s="69"/>
      <c r="T183" s="69"/>
      <c r="U183" s="69"/>
      <c r="V183" s="69"/>
      <c r="W183" s="69"/>
      <c r="X183" s="66" t="str">
        <f aca="false">IF(B183="","",COUNTIF(Q183:W183,"Yes"))</f>
        <v/>
      </c>
      <c r="Y183" s="68" t="str">
        <f aca="false">IF(B183="","",IF(X183&gt;=Settings!$C$16,"A+",IF(X183&gt;=Settings!$C$17,"A",IF(X183&gt;=Settings!$C$18,"B","C"))))</f>
        <v/>
      </c>
      <c r="Z183" s="72"/>
      <c r="AA183" s="72"/>
      <c r="AB183" s="72"/>
      <c r="AC183" s="72"/>
      <c r="AD183" s="72"/>
      <c r="AE183" s="72"/>
      <c r="AF183" s="73"/>
      <c r="AG183" s="74"/>
      <c r="AH183" s="75"/>
      <c r="AI183" s="76" t="str">
        <f aca="false">IF(B183="","",ROUND(IF(AG183="",Settings!$C$5,AG183)*AW183,2))</f>
        <v/>
      </c>
      <c r="AJ183" s="77" t="str">
        <f aca="false">IF(OR(B183="",AB183="",AC183="",AD183=""),"",IFERROR(ROUND(ABS(AD183-AB183)/ABS(AB183-AC183),2),""))</f>
        <v/>
      </c>
      <c r="AK183" s="78" t="str">
        <f aca="false">IF(OR(B183="",AB183="",AC183="",AE183=""),"",IFERROR(ROUND(IF(J183="Short",AB183-AE183,AE183-AB183)/ABS(AB183-AC183),2),""))</f>
        <v/>
      </c>
      <c r="AL183" s="68" t="str">
        <f aca="false">IF(AK183="","",IF(ABS(AK183)&lt;=Settings!$C$6,"BE",IF(AK183&gt;0,"Win","Loss")))</f>
        <v/>
      </c>
      <c r="AM183" s="79" t="str">
        <f aca="false">IF(OR(AK183="",AI183=""),"",ROUND(AK183*AI183-N(AH183),2))</f>
        <v/>
      </c>
      <c r="AN183" s="76" t="str">
        <f aca="false">IF(AM183="","",ROUND(BK183+SUMIFS(AM$6:AM183,BJ$6:BJ183,BJ183),2))</f>
        <v/>
      </c>
      <c r="AO183" s="78" t="str">
        <f aca="false">IF(AK183="","",ROUND(SUMIFS(AK$6:AK183,BJ$6:BJ183,BJ183),2))</f>
        <v/>
      </c>
      <c r="AP183" s="80" t="str">
        <f aca="false">IF(OR(AK183="",BL183=""),"",IFERROR(ROUND(IF(J183="Short",AB183-AE183,AE183-AB183)/BL183,1),""))</f>
        <v/>
      </c>
      <c r="AQ183" s="66" t="str">
        <f aca="false">IF(OR(G183="",H183=""),"",ROUND(MOD(H183-G183,1)*1440,0))</f>
        <v/>
      </c>
      <c r="AR183" s="68" t="str">
        <f aca="false">IF(AQ183="","",IF(AQ183&lt;15,"Under 15m",IF(AQ183&lt;60,"15-60m",IF(AQ183&lt;240,"1-4 hours","4+ hours"))))</f>
        <v/>
      </c>
      <c r="AS183" s="66" t="str">
        <f aca="false">IF(G183="","",HOUR(G183))</f>
        <v/>
      </c>
      <c r="AT183" s="80" t="str">
        <f aca="false">IF(OR(Z183="",AB183="",BL183=""),"",IFERROR(ROUND(IF(J183="Short",Z183-AB183,AB183-Z183)/BL183,1),""))</f>
        <v/>
      </c>
      <c r="AU183" s="68" t="str">
        <f aca="false">IF(OR(AA183="",AC183=""),"",IF(AA183=AC183,"No","Yes"))</f>
        <v/>
      </c>
      <c r="AV183" s="81" t="str">
        <f aca="false">IF(OR(B183="",BL183="",BM183="",AB183="",AC183=""),"",IFERROR(ROUND(AI183/(ABS(AB183-AC183)/BL183*BM183),2),""))</f>
        <v/>
      </c>
      <c r="AW183" s="76" t="str">
        <f aca="false">IF(B183="","",ROUND(BK183+SUMIFS(AM$5:AM182,BJ$5:BJ182,BJ183),2))</f>
        <v/>
      </c>
      <c r="AX183" s="66" t="str">
        <f aca="false">IF(B183="","",COUNTIFS(B$6:B183,B183,BJ$6:BJ183,BJ183))</f>
        <v/>
      </c>
      <c r="AY183" s="79" t="str">
        <f aca="false">IF(B183="","",ROUND(SUMIFS(AM$5:AM182,B$5:B182,B183,BJ$5:BJ182,BJ183),2))</f>
        <v/>
      </c>
      <c r="AZ183" s="79" t="str">
        <f aca="false">IF(AM183="","",ROUND(AY183+AM183,2))</f>
        <v/>
      </c>
      <c r="BA183" s="79" t="str">
        <f aca="false">IF(B183="","",ROUND(SUMIFS(AM$5:AM182,B$5:B182,"&gt;="&amp;(B183-WEEKDAY(B183,2)+1),B$5:B182,"&lt;="&amp;B183,BJ$5:BJ182,BJ183),2))</f>
        <v/>
      </c>
      <c r="BB183" s="68" t="str">
        <f aca="false">IF(B183="","",IF(AND(AF183&lt;&gt;"",AV183&lt;&gt;"",N(AF183)&gt;N(AV183)*(1+Settings!$C$13)),"Oversized",IF(AX183&gt;Settings!$C$10,"Overtraded",IF(AY183&lt;=-Settings!$C$11*(AW183-AY183),"Daily loss hit",IF(BA183&lt;=-Settings!$C$12*(AW183-BA183),"Weekly loss hit","OK")))))</f>
        <v/>
      </c>
      <c r="BC183" s="69"/>
      <c r="BD183" s="69"/>
      <c r="BE183" s="69"/>
      <c r="BF183" s="73"/>
      <c r="BG183" s="73"/>
      <c r="BH183" s="71"/>
      <c r="BI183" s="71"/>
      <c r="BJ183" s="68" t="str">
        <f aca="false">IF(B183="","",IF(E183="",Settings!$F$5,E183))</f>
        <v/>
      </c>
      <c r="BK183" s="76" t="str">
        <f aca="false">IF(B183="","",IFERROR(INDEX(Settings!$G$5:$G$10,MATCH(BJ183,Settings!$F$5:$F$10,0)),Settings!$G$5))</f>
        <v/>
      </c>
      <c r="BL183" s="82" t="str">
        <f aca="false">IF(I183="","",IFERROR(1/(1/INDEX(Lists!$C$6:$C$17,MATCH(I183,Lists!$B$6:$B$17,0))),""))</f>
        <v/>
      </c>
      <c r="BM183" s="81" t="str">
        <f aca="false">IF(I183="","",IFERROR(1/(1/INDEX(Lists!$D$6:$D$17,MATCH(I183,Lists!$B$6:$B$17,0))),""))</f>
        <v/>
      </c>
      <c r="BN183" s="76" t="str">
        <f aca="false">IF(AN183="","",MAX(BK183,_xlfn.MAXIFS(AN$6:AN183,BJ$6:BJ183,BJ183)))</f>
        <v/>
      </c>
      <c r="BO183" s="83" t="str">
        <f aca="false">IF(AN183="","",(AN183-BN183)/BN183)</f>
        <v/>
      </c>
      <c r="BP183" s="66" t="n">
        <f aca="false">IF(OR(B183="",AL183=""),0,IF(OR(Settings!$C$28="All Accounts",BJ183=Settings!$C$28),1,0))</f>
        <v>0</v>
      </c>
      <c r="BQ183" s="66" t="str">
        <f aca="false">IF(BP183=1,SUM(BP$6:BP183),"")</f>
        <v/>
      </c>
      <c r="BR183" s="76" t="str">
        <f aca="false">IF(BP183=1,ROUND(Settings!$C$29+SUMIFS(AM$6:AM183,BP$6:BP183,1),2),"")</f>
        <v/>
      </c>
      <c r="BS183" s="76" t="str">
        <f aca="false">IF(BP183=1,MAX(Settings!$C$29,MAX(BR$6:BR183)),"")</f>
        <v/>
      </c>
      <c r="BT183" s="83" t="str">
        <f aca="false">IF(BP183=1,(BR183-BS183)/BS183,"")</f>
        <v/>
      </c>
      <c r="BU183" s="66" t="str">
        <f aca="false">IF(BP183=1,IF(AL183="Win",1+IF(BQ183=1,0,INDEX(BU$5:BU182,MATCH(BQ183-1,BQ$5:BQ182,0))),0),"")</f>
        <v/>
      </c>
      <c r="BV183" s="66" t="str">
        <f aca="false">IF(BP183=1,IF(AL183="Loss",1+IF(BQ183=1,0,INDEX(BV$5:BV182,MATCH(BQ183-1,BQ$5:BQ182,0))),0),"")</f>
        <v/>
      </c>
    </row>
    <row r="184" customFormat="false" ht="15" hidden="false" customHeight="false" outlineLevel="0" collapsed="false">
      <c r="A184" s="66" t="str">
        <f aca="false">IF(B184="","",ROW()-5)</f>
        <v/>
      </c>
      <c r="B184" s="67"/>
      <c r="C184" s="68" t="str">
        <f aca="false">IF(B184="","",CHOOSE(WEEKDAY(B184,2),"Mon","Tue","Wed","Thu","Fri","Sat","Sun"))</f>
        <v/>
      </c>
      <c r="D184" s="66" t="str">
        <f aca="false">IF(B184="","",WEEKNUM(B184,2))</f>
        <v/>
      </c>
      <c r="E184" s="69"/>
      <c r="F184" s="69"/>
      <c r="G184" s="70"/>
      <c r="H184" s="70"/>
      <c r="I184" s="69"/>
      <c r="J184" s="69"/>
      <c r="K184" s="69"/>
      <c r="L184" s="71"/>
      <c r="M184" s="69"/>
      <c r="N184" s="69"/>
      <c r="O184" s="69"/>
      <c r="P184" s="71"/>
      <c r="Q184" s="69"/>
      <c r="R184" s="69"/>
      <c r="S184" s="69"/>
      <c r="T184" s="69"/>
      <c r="U184" s="69"/>
      <c r="V184" s="69"/>
      <c r="W184" s="69"/>
      <c r="X184" s="66" t="str">
        <f aca="false">IF(B184="","",COUNTIF(Q184:W184,"Yes"))</f>
        <v/>
      </c>
      <c r="Y184" s="68" t="str">
        <f aca="false">IF(B184="","",IF(X184&gt;=Settings!$C$16,"A+",IF(X184&gt;=Settings!$C$17,"A",IF(X184&gt;=Settings!$C$18,"B","C"))))</f>
        <v/>
      </c>
      <c r="Z184" s="72"/>
      <c r="AA184" s="72"/>
      <c r="AB184" s="72"/>
      <c r="AC184" s="72"/>
      <c r="AD184" s="72"/>
      <c r="AE184" s="72"/>
      <c r="AF184" s="73"/>
      <c r="AG184" s="74"/>
      <c r="AH184" s="75"/>
      <c r="AI184" s="76" t="str">
        <f aca="false">IF(B184="","",ROUND(IF(AG184="",Settings!$C$5,AG184)*AW184,2))</f>
        <v/>
      </c>
      <c r="AJ184" s="77" t="str">
        <f aca="false">IF(OR(B184="",AB184="",AC184="",AD184=""),"",IFERROR(ROUND(ABS(AD184-AB184)/ABS(AB184-AC184),2),""))</f>
        <v/>
      </c>
      <c r="AK184" s="78" t="str">
        <f aca="false">IF(OR(B184="",AB184="",AC184="",AE184=""),"",IFERROR(ROUND(IF(J184="Short",AB184-AE184,AE184-AB184)/ABS(AB184-AC184),2),""))</f>
        <v/>
      </c>
      <c r="AL184" s="68" t="str">
        <f aca="false">IF(AK184="","",IF(ABS(AK184)&lt;=Settings!$C$6,"BE",IF(AK184&gt;0,"Win","Loss")))</f>
        <v/>
      </c>
      <c r="AM184" s="79" t="str">
        <f aca="false">IF(OR(AK184="",AI184=""),"",ROUND(AK184*AI184-N(AH184),2))</f>
        <v/>
      </c>
      <c r="AN184" s="76" t="str">
        <f aca="false">IF(AM184="","",ROUND(BK184+SUMIFS(AM$6:AM184,BJ$6:BJ184,BJ184),2))</f>
        <v/>
      </c>
      <c r="AO184" s="78" t="str">
        <f aca="false">IF(AK184="","",ROUND(SUMIFS(AK$6:AK184,BJ$6:BJ184,BJ184),2))</f>
        <v/>
      </c>
      <c r="AP184" s="80" t="str">
        <f aca="false">IF(OR(AK184="",BL184=""),"",IFERROR(ROUND(IF(J184="Short",AB184-AE184,AE184-AB184)/BL184,1),""))</f>
        <v/>
      </c>
      <c r="AQ184" s="66" t="str">
        <f aca="false">IF(OR(G184="",H184=""),"",ROUND(MOD(H184-G184,1)*1440,0))</f>
        <v/>
      </c>
      <c r="AR184" s="68" t="str">
        <f aca="false">IF(AQ184="","",IF(AQ184&lt;15,"Under 15m",IF(AQ184&lt;60,"15-60m",IF(AQ184&lt;240,"1-4 hours","4+ hours"))))</f>
        <v/>
      </c>
      <c r="AS184" s="66" t="str">
        <f aca="false">IF(G184="","",HOUR(G184))</f>
        <v/>
      </c>
      <c r="AT184" s="80" t="str">
        <f aca="false">IF(OR(Z184="",AB184="",BL184=""),"",IFERROR(ROUND(IF(J184="Short",Z184-AB184,AB184-Z184)/BL184,1),""))</f>
        <v/>
      </c>
      <c r="AU184" s="68" t="str">
        <f aca="false">IF(OR(AA184="",AC184=""),"",IF(AA184=AC184,"No","Yes"))</f>
        <v/>
      </c>
      <c r="AV184" s="81" t="str">
        <f aca="false">IF(OR(B184="",BL184="",BM184="",AB184="",AC184=""),"",IFERROR(ROUND(AI184/(ABS(AB184-AC184)/BL184*BM184),2),""))</f>
        <v/>
      </c>
      <c r="AW184" s="76" t="str">
        <f aca="false">IF(B184="","",ROUND(BK184+SUMIFS(AM$5:AM183,BJ$5:BJ183,BJ184),2))</f>
        <v/>
      </c>
      <c r="AX184" s="66" t="str">
        <f aca="false">IF(B184="","",COUNTIFS(B$6:B184,B184,BJ$6:BJ184,BJ184))</f>
        <v/>
      </c>
      <c r="AY184" s="79" t="str">
        <f aca="false">IF(B184="","",ROUND(SUMIFS(AM$5:AM183,B$5:B183,B184,BJ$5:BJ183,BJ184),2))</f>
        <v/>
      </c>
      <c r="AZ184" s="79" t="str">
        <f aca="false">IF(AM184="","",ROUND(AY184+AM184,2))</f>
        <v/>
      </c>
      <c r="BA184" s="79" t="str">
        <f aca="false">IF(B184="","",ROUND(SUMIFS(AM$5:AM183,B$5:B183,"&gt;="&amp;(B184-WEEKDAY(B184,2)+1),B$5:B183,"&lt;="&amp;B184,BJ$5:BJ183,BJ184),2))</f>
        <v/>
      </c>
      <c r="BB184" s="68" t="str">
        <f aca="false">IF(B184="","",IF(AND(AF184&lt;&gt;"",AV184&lt;&gt;"",N(AF184)&gt;N(AV184)*(1+Settings!$C$13)),"Oversized",IF(AX184&gt;Settings!$C$10,"Overtraded",IF(AY184&lt;=-Settings!$C$11*(AW184-AY184),"Daily loss hit",IF(BA184&lt;=-Settings!$C$12*(AW184-BA184),"Weekly loss hit","OK")))))</f>
        <v/>
      </c>
      <c r="BC184" s="69"/>
      <c r="BD184" s="69"/>
      <c r="BE184" s="69"/>
      <c r="BF184" s="73"/>
      <c r="BG184" s="73"/>
      <c r="BH184" s="71"/>
      <c r="BI184" s="71"/>
      <c r="BJ184" s="68" t="str">
        <f aca="false">IF(B184="","",IF(E184="",Settings!$F$5,E184))</f>
        <v/>
      </c>
      <c r="BK184" s="76" t="str">
        <f aca="false">IF(B184="","",IFERROR(INDEX(Settings!$G$5:$G$10,MATCH(BJ184,Settings!$F$5:$F$10,0)),Settings!$G$5))</f>
        <v/>
      </c>
      <c r="BL184" s="82" t="str">
        <f aca="false">IF(I184="","",IFERROR(1/(1/INDEX(Lists!$C$6:$C$17,MATCH(I184,Lists!$B$6:$B$17,0))),""))</f>
        <v/>
      </c>
      <c r="BM184" s="81" t="str">
        <f aca="false">IF(I184="","",IFERROR(1/(1/INDEX(Lists!$D$6:$D$17,MATCH(I184,Lists!$B$6:$B$17,0))),""))</f>
        <v/>
      </c>
      <c r="BN184" s="76" t="str">
        <f aca="false">IF(AN184="","",MAX(BK184,_xlfn.MAXIFS(AN$6:AN184,BJ$6:BJ184,BJ184)))</f>
        <v/>
      </c>
      <c r="BO184" s="83" t="str">
        <f aca="false">IF(AN184="","",(AN184-BN184)/BN184)</f>
        <v/>
      </c>
      <c r="BP184" s="66" t="n">
        <f aca="false">IF(OR(B184="",AL184=""),0,IF(OR(Settings!$C$28="All Accounts",BJ184=Settings!$C$28),1,0))</f>
        <v>0</v>
      </c>
      <c r="BQ184" s="66" t="str">
        <f aca="false">IF(BP184=1,SUM(BP$6:BP184),"")</f>
        <v/>
      </c>
      <c r="BR184" s="76" t="str">
        <f aca="false">IF(BP184=1,ROUND(Settings!$C$29+SUMIFS(AM$6:AM184,BP$6:BP184,1),2),"")</f>
        <v/>
      </c>
      <c r="BS184" s="76" t="str">
        <f aca="false">IF(BP184=1,MAX(Settings!$C$29,MAX(BR$6:BR184)),"")</f>
        <v/>
      </c>
      <c r="BT184" s="83" t="str">
        <f aca="false">IF(BP184=1,(BR184-BS184)/BS184,"")</f>
        <v/>
      </c>
      <c r="BU184" s="66" t="str">
        <f aca="false">IF(BP184=1,IF(AL184="Win",1+IF(BQ184=1,0,INDEX(BU$5:BU183,MATCH(BQ184-1,BQ$5:BQ183,0))),0),"")</f>
        <v/>
      </c>
      <c r="BV184" s="66" t="str">
        <f aca="false">IF(BP184=1,IF(AL184="Loss",1+IF(BQ184=1,0,INDEX(BV$5:BV183,MATCH(BQ184-1,BQ$5:BQ183,0))),0),"")</f>
        <v/>
      </c>
    </row>
    <row r="185" customFormat="false" ht="15" hidden="false" customHeight="false" outlineLevel="0" collapsed="false">
      <c r="A185" s="66" t="str">
        <f aca="false">IF(B185="","",ROW()-5)</f>
        <v/>
      </c>
      <c r="B185" s="67"/>
      <c r="C185" s="68" t="str">
        <f aca="false">IF(B185="","",CHOOSE(WEEKDAY(B185,2),"Mon","Tue","Wed","Thu","Fri","Sat","Sun"))</f>
        <v/>
      </c>
      <c r="D185" s="66" t="str">
        <f aca="false">IF(B185="","",WEEKNUM(B185,2))</f>
        <v/>
      </c>
      <c r="E185" s="69"/>
      <c r="F185" s="69"/>
      <c r="G185" s="70"/>
      <c r="H185" s="70"/>
      <c r="I185" s="69"/>
      <c r="J185" s="69"/>
      <c r="K185" s="69"/>
      <c r="L185" s="71"/>
      <c r="M185" s="69"/>
      <c r="N185" s="69"/>
      <c r="O185" s="69"/>
      <c r="P185" s="71"/>
      <c r="Q185" s="69"/>
      <c r="R185" s="69"/>
      <c r="S185" s="69"/>
      <c r="T185" s="69"/>
      <c r="U185" s="69"/>
      <c r="V185" s="69"/>
      <c r="W185" s="69"/>
      <c r="X185" s="66" t="str">
        <f aca="false">IF(B185="","",COUNTIF(Q185:W185,"Yes"))</f>
        <v/>
      </c>
      <c r="Y185" s="68" t="str">
        <f aca="false">IF(B185="","",IF(X185&gt;=Settings!$C$16,"A+",IF(X185&gt;=Settings!$C$17,"A",IF(X185&gt;=Settings!$C$18,"B","C"))))</f>
        <v/>
      </c>
      <c r="Z185" s="72"/>
      <c r="AA185" s="72"/>
      <c r="AB185" s="72"/>
      <c r="AC185" s="72"/>
      <c r="AD185" s="72"/>
      <c r="AE185" s="72"/>
      <c r="AF185" s="73"/>
      <c r="AG185" s="74"/>
      <c r="AH185" s="75"/>
      <c r="AI185" s="76" t="str">
        <f aca="false">IF(B185="","",ROUND(IF(AG185="",Settings!$C$5,AG185)*AW185,2))</f>
        <v/>
      </c>
      <c r="AJ185" s="77" t="str">
        <f aca="false">IF(OR(B185="",AB185="",AC185="",AD185=""),"",IFERROR(ROUND(ABS(AD185-AB185)/ABS(AB185-AC185),2),""))</f>
        <v/>
      </c>
      <c r="AK185" s="78" t="str">
        <f aca="false">IF(OR(B185="",AB185="",AC185="",AE185=""),"",IFERROR(ROUND(IF(J185="Short",AB185-AE185,AE185-AB185)/ABS(AB185-AC185),2),""))</f>
        <v/>
      </c>
      <c r="AL185" s="68" t="str">
        <f aca="false">IF(AK185="","",IF(ABS(AK185)&lt;=Settings!$C$6,"BE",IF(AK185&gt;0,"Win","Loss")))</f>
        <v/>
      </c>
      <c r="AM185" s="79" t="str">
        <f aca="false">IF(OR(AK185="",AI185=""),"",ROUND(AK185*AI185-N(AH185),2))</f>
        <v/>
      </c>
      <c r="AN185" s="76" t="str">
        <f aca="false">IF(AM185="","",ROUND(BK185+SUMIFS(AM$6:AM185,BJ$6:BJ185,BJ185),2))</f>
        <v/>
      </c>
      <c r="AO185" s="78" t="str">
        <f aca="false">IF(AK185="","",ROUND(SUMIFS(AK$6:AK185,BJ$6:BJ185,BJ185),2))</f>
        <v/>
      </c>
      <c r="AP185" s="80" t="str">
        <f aca="false">IF(OR(AK185="",BL185=""),"",IFERROR(ROUND(IF(J185="Short",AB185-AE185,AE185-AB185)/BL185,1),""))</f>
        <v/>
      </c>
      <c r="AQ185" s="66" t="str">
        <f aca="false">IF(OR(G185="",H185=""),"",ROUND(MOD(H185-G185,1)*1440,0))</f>
        <v/>
      </c>
      <c r="AR185" s="68" t="str">
        <f aca="false">IF(AQ185="","",IF(AQ185&lt;15,"Under 15m",IF(AQ185&lt;60,"15-60m",IF(AQ185&lt;240,"1-4 hours","4+ hours"))))</f>
        <v/>
      </c>
      <c r="AS185" s="66" t="str">
        <f aca="false">IF(G185="","",HOUR(G185))</f>
        <v/>
      </c>
      <c r="AT185" s="80" t="str">
        <f aca="false">IF(OR(Z185="",AB185="",BL185=""),"",IFERROR(ROUND(IF(J185="Short",Z185-AB185,AB185-Z185)/BL185,1),""))</f>
        <v/>
      </c>
      <c r="AU185" s="68" t="str">
        <f aca="false">IF(OR(AA185="",AC185=""),"",IF(AA185=AC185,"No","Yes"))</f>
        <v/>
      </c>
      <c r="AV185" s="81" t="str">
        <f aca="false">IF(OR(B185="",BL185="",BM185="",AB185="",AC185=""),"",IFERROR(ROUND(AI185/(ABS(AB185-AC185)/BL185*BM185),2),""))</f>
        <v/>
      </c>
      <c r="AW185" s="76" t="str">
        <f aca="false">IF(B185="","",ROUND(BK185+SUMIFS(AM$5:AM184,BJ$5:BJ184,BJ185),2))</f>
        <v/>
      </c>
      <c r="AX185" s="66" t="str">
        <f aca="false">IF(B185="","",COUNTIFS(B$6:B185,B185,BJ$6:BJ185,BJ185))</f>
        <v/>
      </c>
      <c r="AY185" s="79" t="str">
        <f aca="false">IF(B185="","",ROUND(SUMIFS(AM$5:AM184,B$5:B184,B185,BJ$5:BJ184,BJ185),2))</f>
        <v/>
      </c>
      <c r="AZ185" s="79" t="str">
        <f aca="false">IF(AM185="","",ROUND(AY185+AM185,2))</f>
        <v/>
      </c>
      <c r="BA185" s="79" t="str">
        <f aca="false">IF(B185="","",ROUND(SUMIFS(AM$5:AM184,B$5:B184,"&gt;="&amp;(B185-WEEKDAY(B185,2)+1),B$5:B184,"&lt;="&amp;B185,BJ$5:BJ184,BJ185),2))</f>
        <v/>
      </c>
      <c r="BB185" s="68" t="str">
        <f aca="false">IF(B185="","",IF(AND(AF185&lt;&gt;"",AV185&lt;&gt;"",N(AF185)&gt;N(AV185)*(1+Settings!$C$13)),"Oversized",IF(AX185&gt;Settings!$C$10,"Overtraded",IF(AY185&lt;=-Settings!$C$11*(AW185-AY185),"Daily loss hit",IF(BA185&lt;=-Settings!$C$12*(AW185-BA185),"Weekly loss hit","OK")))))</f>
        <v/>
      </c>
      <c r="BC185" s="69"/>
      <c r="BD185" s="69"/>
      <c r="BE185" s="69"/>
      <c r="BF185" s="73"/>
      <c r="BG185" s="73"/>
      <c r="BH185" s="71"/>
      <c r="BI185" s="71"/>
      <c r="BJ185" s="68" t="str">
        <f aca="false">IF(B185="","",IF(E185="",Settings!$F$5,E185))</f>
        <v/>
      </c>
      <c r="BK185" s="76" t="str">
        <f aca="false">IF(B185="","",IFERROR(INDEX(Settings!$G$5:$G$10,MATCH(BJ185,Settings!$F$5:$F$10,0)),Settings!$G$5))</f>
        <v/>
      </c>
      <c r="BL185" s="82" t="str">
        <f aca="false">IF(I185="","",IFERROR(1/(1/INDEX(Lists!$C$6:$C$17,MATCH(I185,Lists!$B$6:$B$17,0))),""))</f>
        <v/>
      </c>
      <c r="BM185" s="81" t="str">
        <f aca="false">IF(I185="","",IFERROR(1/(1/INDEX(Lists!$D$6:$D$17,MATCH(I185,Lists!$B$6:$B$17,0))),""))</f>
        <v/>
      </c>
      <c r="BN185" s="76" t="str">
        <f aca="false">IF(AN185="","",MAX(BK185,_xlfn.MAXIFS(AN$6:AN185,BJ$6:BJ185,BJ185)))</f>
        <v/>
      </c>
      <c r="BO185" s="83" t="str">
        <f aca="false">IF(AN185="","",(AN185-BN185)/BN185)</f>
        <v/>
      </c>
      <c r="BP185" s="66" t="n">
        <f aca="false">IF(OR(B185="",AL185=""),0,IF(OR(Settings!$C$28="All Accounts",BJ185=Settings!$C$28),1,0))</f>
        <v>0</v>
      </c>
      <c r="BQ185" s="66" t="str">
        <f aca="false">IF(BP185=1,SUM(BP$6:BP185),"")</f>
        <v/>
      </c>
      <c r="BR185" s="76" t="str">
        <f aca="false">IF(BP185=1,ROUND(Settings!$C$29+SUMIFS(AM$6:AM185,BP$6:BP185,1),2),"")</f>
        <v/>
      </c>
      <c r="BS185" s="76" t="str">
        <f aca="false">IF(BP185=1,MAX(Settings!$C$29,MAX(BR$6:BR185)),"")</f>
        <v/>
      </c>
      <c r="BT185" s="83" t="str">
        <f aca="false">IF(BP185=1,(BR185-BS185)/BS185,"")</f>
        <v/>
      </c>
      <c r="BU185" s="66" t="str">
        <f aca="false">IF(BP185=1,IF(AL185="Win",1+IF(BQ185=1,0,INDEX(BU$5:BU184,MATCH(BQ185-1,BQ$5:BQ184,0))),0),"")</f>
        <v/>
      </c>
      <c r="BV185" s="66" t="str">
        <f aca="false">IF(BP185=1,IF(AL185="Loss",1+IF(BQ185=1,0,INDEX(BV$5:BV184,MATCH(BQ185-1,BQ$5:BQ184,0))),0),"")</f>
        <v/>
      </c>
    </row>
    <row r="186" customFormat="false" ht="15" hidden="false" customHeight="false" outlineLevel="0" collapsed="false">
      <c r="A186" s="66" t="str">
        <f aca="false">IF(B186="","",ROW()-5)</f>
        <v/>
      </c>
      <c r="B186" s="67"/>
      <c r="C186" s="68" t="str">
        <f aca="false">IF(B186="","",CHOOSE(WEEKDAY(B186,2),"Mon","Tue","Wed","Thu","Fri","Sat","Sun"))</f>
        <v/>
      </c>
      <c r="D186" s="66" t="str">
        <f aca="false">IF(B186="","",WEEKNUM(B186,2))</f>
        <v/>
      </c>
      <c r="E186" s="69"/>
      <c r="F186" s="69"/>
      <c r="G186" s="70"/>
      <c r="H186" s="70"/>
      <c r="I186" s="69"/>
      <c r="J186" s="69"/>
      <c r="K186" s="69"/>
      <c r="L186" s="71"/>
      <c r="M186" s="69"/>
      <c r="N186" s="69"/>
      <c r="O186" s="69"/>
      <c r="P186" s="71"/>
      <c r="Q186" s="69"/>
      <c r="R186" s="69"/>
      <c r="S186" s="69"/>
      <c r="T186" s="69"/>
      <c r="U186" s="69"/>
      <c r="V186" s="69"/>
      <c r="W186" s="69"/>
      <c r="X186" s="66" t="str">
        <f aca="false">IF(B186="","",COUNTIF(Q186:W186,"Yes"))</f>
        <v/>
      </c>
      <c r="Y186" s="68" t="str">
        <f aca="false">IF(B186="","",IF(X186&gt;=Settings!$C$16,"A+",IF(X186&gt;=Settings!$C$17,"A",IF(X186&gt;=Settings!$C$18,"B","C"))))</f>
        <v/>
      </c>
      <c r="Z186" s="72"/>
      <c r="AA186" s="72"/>
      <c r="AB186" s="72"/>
      <c r="AC186" s="72"/>
      <c r="AD186" s="72"/>
      <c r="AE186" s="72"/>
      <c r="AF186" s="73"/>
      <c r="AG186" s="74"/>
      <c r="AH186" s="75"/>
      <c r="AI186" s="76" t="str">
        <f aca="false">IF(B186="","",ROUND(IF(AG186="",Settings!$C$5,AG186)*AW186,2))</f>
        <v/>
      </c>
      <c r="AJ186" s="77" t="str">
        <f aca="false">IF(OR(B186="",AB186="",AC186="",AD186=""),"",IFERROR(ROUND(ABS(AD186-AB186)/ABS(AB186-AC186),2),""))</f>
        <v/>
      </c>
      <c r="AK186" s="78" t="str">
        <f aca="false">IF(OR(B186="",AB186="",AC186="",AE186=""),"",IFERROR(ROUND(IF(J186="Short",AB186-AE186,AE186-AB186)/ABS(AB186-AC186),2),""))</f>
        <v/>
      </c>
      <c r="AL186" s="68" t="str">
        <f aca="false">IF(AK186="","",IF(ABS(AK186)&lt;=Settings!$C$6,"BE",IF(AK186&gt;0,"Win","Loss")))</f>
        <v/>
      </c>
      <c r="AM186" s="79" t="str">
        <f aca="false">IF(OR(AK186="",AI186=""),"",ROUND(AK186*AI186-N(AH186),2))</f>
        <v/>
      </c>
      <c r="AN186" s="76" t="str">
        <f aca="false">IF(AM186="","",ROUND(BK186+SUMIFS(AM$6:AM186,BJ$6:BJ186,BJ186),2))</f>
        <v/>
      </c>
      <c r="AO186" s="78" t="str">
        <f aca="false">IF(AK186="","",ROUND(SUMIFS(AK$6:AK186,BJ$6:BJ186,BJ186),2))</f>
        <v/>
      </c>
      <c r="AP186" s="80" t="str">
        <f aca="false">IF(OR(AK186="",BL186=""),"",IFERROR(ROUND(IF(J186="Short",AB186-AE186,AE186-AB186)/BL186,1),""))</f>
        <v/>
      </c>
      <c r="AQ186" s="66" t="str">
        <f aca="false">IF(OR(G186="",H186=""),"",ROUND(MOD(H186-G186,1)*1440,0))</f>
        <v/>
      </c>
      <c r="AR186" s="68" t="str">
        <f aca="false">IF(AQ186="","",IF(AQ186&lt;15,"Under 15m",IF(AQ186&lt;60,"15-60m",IF(AQ186&lt;240,"1-4 hours","4+ hours"))))</f>
        <v/>
      </c>
      <c r="AS186" s="66" t="str">
        <f aca="false">IF(G186="","",HOUR(G186))</f>
        <v/>
      </c>
      <c r="AT186" s="80" t="str">
        <f aca="false">IF(OR(Z186="",AB186="",BL186=""),"",IFERROR(ROUND(IF(J186="Short",Z186-AB186,AB186-Z186)/BL186,1),""))</f>
        <v/>
      </c>
      <c r="AU186" s="68" t="str">
        <f aca="false">IF(OR(AA186="",AC186=""),"",IF(AA186=AC186,"No","Yes"))</f>
        <v/>
      </c>
      <c r="AV186" s="81" t="str">
        <f aca="false">IF(OR(B186="",BL186="",BM186="",AB186="",AC186=""),"",IFERROR(ROUND(AI186/(ABS(AB186-AC186)/BL186*BM186),2),""))</f>
        <v/>
      </c>
      <c r="AW186" s="76" t="str">
        <f aca="false">IF(B186="","",ROUND(BK186+SUMIFS(AM$5:AM185,BJ$5:BJ185,BJ186),2))</f>
        <v/>
      </c>
      <c r="AX186" s="66" t="str">
        <f aca="false">IF(B186="","",COUNTIFS(B$6:B186,B186,BJ$6:BJ186,BJ186))</f>
        <v/>
      </c>
      <c r="AY186" s="79" t="str">
        <f aca="false">IF(B186="","",ROUND(SUMIFS(AM$5:AM185,B$5:B185,B186,BJ$5:BJ185,BJ186),2))</f>
        <v/>
      </c>
      <c r="AZ186" s="79" t="str">
        <f aca="false">IF(AM186="","",ROUND(AY186+AM186,2))</f>
        <v/>
      </c>
      <c r="BA186" s="79" t="str">
        <f aca="false">IF(B186="","",ROUND(SUMIFS(AM$5:AM185,B$5:B185,"&gt;="&amp;(B186-WEEKDAY(B186,2)+1),B$5:B185,"&lt;="&amp;B186,BJ$5:BJ185,BJ186),2))</f>
        <v/>
      </c>
      <c r="BB186" s="68" t="str">
        <f aca="false">IF(B186="","",IF(AND(AF186&lt;&gt;"",AV186&lt;&gt;"",N(AF186)&gt;N(AV186)*(1+Settings!$C$13)),"Oversized",IF(AX186&gt;Settings!$C$10,"Overtraded",IF(AY186&lt;=-Settings!$C$11*(AW186-AY186),"Daily loss hit",IF(BA186&lt;=-Settings!$C$12*(AW186-BA186),"Weekly loss hit","OK")))))</f>
        <v/>
      </c>
      <c r="BC186" s="69"/>
      <c r="BD186" s="69"/>
      <c r="BE186" s="69"/>
      <c r="BF186" s="73"/>
      <c r="BG186" s="73"/>
      <c r="BH186" s="71"/>
      <c r="BI186" s="71"/>
      <c r="BJ186" s="68" t="str">
        <f aca="false">IF(B186="","",IF(E186="",Settings!$F$5,E186))</f>
        <v/>
      </c>
      <c r="BK186" s="76" t="str">
        <f aca="false">IF(B186="","",IFERROR(INDEX(Settings!$G$5:$G$10,MATCH(BJ186,Settings!$F$5:$F$10,0)),Settings!$G$5))</f>
        <v/>
      </c>
      <c r="BL186" s="82" t="str">
        <f aca="false">IF(I186="","",IFERROR(1/(1/INDEX(Lists!$C$6:$C$17,MATCH(I186,Lists!$B$6:$B$17,0))),""))</f>
        <v/>
      </c>
      <c r="BM186" s="81" t="str">
        <f aca="false">IF(I186="","",IFERROR(1/(1/INDEX(Lists!$D$6:$D$17,MATCH(I186,Lists!$B$6:$B$17,0))),""))</f>
        <v/>
      </c>
      <c r="BN186" s="76" t="str">
        <f aca="false">IF(AN186="","",MAX(BK186,_xlfn.MAXIFS(AN$6:AN186,BJ$6:BJ186,BJ186)))</f>
        <v/>
      </c>
      <c r="BO186" s="83" t="str">
        <f aca="false">IF(AN186="","",(AN186-BN186)/BN186)</f>
        <v/>
      </c>
      <c r="BP186" s="66" t="n">
        <f aca="false">IF(OR(B186="",AL186=""),0,IF(OR(Settings!$C$28="All Accounts",BJ186=Settings!$C$28),1,0))</f>
        <v>0</v>
      </c>
      <c r="BQ186" s="66" t="str">
        <f aca="false">IF(BP186=1,SUM(BP$6:BP186),"")</f>
        <v/>
      </c>
      <c r="BR186" s="76" t="str">
        <f aca="false">IF(BP186=1,ROUND(Settings!$C$29+SUMIFS(AM$6:AM186,BP$6:BP186,1),2),"")</f>
        <v/>
      </c>
      <c r="BS186" s="76" t="str">
        <f aca="false">IF(BP186=1,MAX(Settings!$C$29,MAX(BR$6:BR186)),"")</f>
        <v/>
      </c>
      <c r="BT186" s="83" t="str">
        <f aca="false">IF(BP186=1,(BR186-BS186)/BS186,"")</f>
        <v/>
      </c>
      <c r="BU186" s="66" t="str">
        <f aca="false">IF(BP186=1,IF(AL186="Win",1+IF(BQ186=1,0,INDEX(BU$5:BU185,MATCH(BQ186-1,BQ$5:BQ185,0))),0),"")</f>
        <v/>
      </c>
      <c r="BV186" s="66" t="str">
        <f aca="false">IF(BP186=1,IF(AL186="Loss",1+IF(BQ186=1,0,INDEX(BV$5:BV185,MATCH(BQ186-1,BQ$5:BQ185,0))),0),"")</f>
        <v/>
      </c>
    </row>
    <row r="187" customFormat="false" ht="15" hidden="false" customHeight="false" outlineLevel="0" collapsed="false">
      <c r="A187" s="66" t="str">
        <f aca="false">IF(B187="","",ROW()-5)</f>
        <v/>
      </c>
      <c r="B187" s="67"/>
      <c r="C187" s="68" t="str">
        <f aca="false">IF(B187="","",CHOOSE(WEEKDAY(B187,2),"Mon","Tue","Wed","Thu","Fri","Sat","Sun"))</f>
        <v/>
      </c>
      <c r="D187" s="66" t="str">
        <f aca="false">IF(B187="","",WEEKNUM(B187,2))</f>
        <v/>
      </c>
      <c r="E187" s="69"/>
      <c r="F187" s="69"/>
      <c r="G187" s="70"/>
      <c r="H187" s="70"/>
      <c r="I187" s="69"/>
      <c r="J187" s="69"/>
      <c r="K187" s="69"/>
      <c r="L187" s="71"/>
      <c r="M187" s="69"/>
      <c r="N187" s="69"/>
      <c r="O187" s="69"/>
      <c r="P187" s="71"/>
      <c r="Q187" s="69"/>
      <c r="R187" s="69"/>
      <c r="S187" s="69"/>
      <c r="T187" s="69"/>
      <c r="U187" s="69"/>
      <c r="V187" s="69"/>
      <c r="W187" s="69"/>
      <c r="X187" s="66" t="str">
        <f aca="false">IF(B187="","",COUNTIF(Q187:W187,"Yes"))</f>
        <v/>
      </c>
      <c r="Y187" s="68" t="str">
        <f aca="false">IF(B187="","",IF(X187&gt;=Settings!$C$16,"A+",IF(X187&gt;=Settings!$C$17,"A",IF(X187&gt;=Settings!$C$18,"B","C"))))</f>
        <v/>
      </c>
      <c r="Z187" s="72"/>
      <c r="AA187" s="72"/>
      <c r="AB187" s="72"/>
      <c r="AC187" s="72"/>
      <c r="AD187" s="72"/>
      <c r="AE187" s="72"/>
      <c r="AF187" s="73"/>
      <c r="AG187" s="74"/>
      <c r="AH187" s="75"/>
      <c r="AI187" s="76" t="str">
        <f aca="false">IF(B187="","",ROUND(IF(AG187="",Settings!$C$5,AG187)*AW187,2))</f>
        <v/>
      </c>
      <c r="AJ187" s="77" t="str">
        <f aca="false">IF(OR(B187="",AB187="",AC187="",AD187=""),"",IFERROR(ROUND(ABS(AD187-AB187)/ABS(AB187-AC187),2),""))</f>
        <v/>
      </c>
      <c r="AK187" s="78" t="str">
        <f aca="false">IF(OR(B187="",AB187="",AC187="",AE187=""),"",IFERROR(ROUND(IF(J187="Short",AB187-AE187,AE187-AB187)/ABS(AB187-AC187),2),""))</f>
        <v/>
      </c>
      <c r="AL187" s="68" t="str">
        <f aca="false">IF(AK187="","",IF(ABS(AK187)&lt;=Settings!$C$6,"BE",IF(AK187&gt;0,"Win","Loss")))</f>
        <v/>
      </c>
      <c r="AM187" s="79" t="str">
        <f aca="false">IF(OR(AK187="",AI187=""),"",ROUND(AK187*AI187-N(AH187),2))</f>
        <v/>
      </c>
      <c r="AN187" s="76" t="str">
        <f aca="false">IF(AM187="","",ROUND(BK187+SUMIFS(AM$6:AM187,BJ$6:BJ187,BJ187),2))</f>
        <v/>
      </c>
      <c r="AO187" s="78" t="str">
        <f aca="false">IF(AK187="","",ROUND(SUMIFS(AK$6:AK187,BJ$6:BJ187,BJ187),2))</f>
        <v/>
      </c>
      <c r="AP187" s="80" t="str">
        <f aca="false">IF(OR(AK187="",BL187=""),"",IFERROR(ROUND(IF(J187="Short",AB187-AE187,AE187-AB187)/BL187,1),""))</f>
        <v/>
      </c>
      <c r="AQ187" s="66" t="str">
        <f aca="false">IF(OR(G187="",H187=""),"",ROUND(MOD(H187-G187,1)*1440,0))</f>
        <v/>
      </c>
      <c r="AR187" s="68" t="str">
        <f aca="false">IF(AQ187="","",IF(AQ187&lt;15,"Under 15m",IF(AQ187&lt;60,"15-60m",IF(AQ187&lt;240,"1-4 hours","4+ hours"))))</f>
        <v/>
      </c>
      <c r="AS187" s="66" t="str">
        <f aca="false">IF(G187="","",HOUR(G187))</f>
        <v/>
      </c>
      <c r="AT187" s="80" t="str">
        <f aca="false">IF(OR(Z187="",AB187="",BL187=""),"",IFERROR(ROUND(IF(J187="Short",Z187-AB187,AB187-Z187)/BL187,1),""))</f>
        <v/>
      </c>
      <c r="AU187" s="68" t="str">
        <f aca="false">IF(OR(AA187="",AC187=""),"",IF(AA187=AC187,"No","Yes"))</f>
        <v/>
      </c>
      <c r="AV187" s="81" t="str">
        <f aca="false">IF(OR(B187="",BL187="",BM187="",AB187="",AC187=""),"",IFERROR(ROUND(AI187/(ABS(AB187-AC187)/BL187*BM187),2),""))</f>
        <v/>
      </c>
      <c r="AW187" s="76" t="str">
        <f aca="false">IF(B187="","",ROUND(BK187+SUMIFS(AM$5:AM186,BJ$5:BJ186,BJ187),2))</f>
        <v/>
      </c>
      <c r="AX187" s="66" t="str">
        <f aca="false">IF(B187="","",COUNTIFS(B$6:B187,B187,BJ$6:BJ187,BJ187))</f>
        <v/>
      </c>
      <c r="AY187" s="79" t="str">
        <f aca="false">IF(B187="","",ROUND(SUMIFS(AM$5:AM186,B$5:B186,B187,BJ$5:BJ186,BJ187),2))</f>
        <v/>
      </c>
      <c r="AZ187" s="79" t="str">
        <f aca="false">IF(AM187="","",ROUND(AY187+AM187,2))</f>
        <v/>
      </c>
      <c r="BA187" s="79" t="str">
        <f aca="false">IF(B187="","",ROUND(SUMIFS(AM$5:AM186,B$5:B186,"&gt;="&amp;(B187-WEEKDAY(B187,2)+1),B$5:B186,"&lt;="&amp;B187,BJ$5:BJ186,BJ187),2))</f>
        <v/>
      </c>
      <c r="BB187" s="68" t="str">
        <f aca="false">IF(B187="","",IF(AND(AF187&lt;&gt;"",AV187&lt;&gt;"",N(AF187)&gt;N(AV187)*(1+Settings!$C$13)),"Oversized",IF(AX187&gt;Settings!$C$10,"Overtraded",IF(AY187&lt;=-Settings!$C$11*(AW187-AY187),"Daily loss hit",IF(BA187&lt;=-Settings!$C$12*(AW187-BA187),"Weekly loss hit","OK")))))</f>
        <v/>
      </c>
      <c r="BC187" s="69"/>
      <c r="BD187" s="69"/>
      <c r="BE187" s="69"/>
      <c r="BF187" s="73"/>
      <c r="BG187" s="73"/>
      <c r="BH187" s="71"/>
      <c r="BI187" s="71"/>
      <c r="BJ187" s="68" t="str">
        <f aca="false">IF(B187="","",IF(E187="",Settings!$F$5,E187))</f>
        <v/>
      </c>
      <c r="BK187" s="76" t="str">
        <f aca="false">IF(B187="","",IFERROR(INDEX(Settings!$G$5:$G$10,MATCH(BJ187,Settings!$F$5:$F$10,0)),Settings!$G$5))</f>
        <v/>
      </c>
      <c r="BL187" s="82" t="str">
        <f aca="false">IF(I187="","",IFERROR(1/(1/INDEX(Lists!$C$6:$C$17,MATCH(I187,Lists!$B$6:$B$17,0))),""))</f>
        <v/>
      </c>
      <c r="BM187" s="81" t="str">
        <f aca="false">IF(I187="","",IFERROR(1/(1/INDEX(Lists!$D$6:$D$17,MATCH(I187,Lists!$B$6:$B$17,0))),""))</f>
        <v/>
      </c>
      <c r="BN187" s="76" t="str">
        <f aca="false">IF(AN187="","",MAX(BK187,_xlfn.MAXIFS(AN$6:AN187,BJ$6:BJ187,BJ187)))</f>
        <v/>
      </c>
      <c r="BO187" s="83" t="str">
        <f aca="false">IF(AN187="","",(AN187-BN187)/BN187)</f>
        <v/>
      </c>
      <c r="BP187" s="66" t="n">
        <f aca="false">IF(OR(B187="",AL187=""),0,IF(OR(Settings!$C$28="All Accounts",BJ187=Settings!$C$28),1,0))</f>
        <v>0</v>
      </c>
      <c r="BQ187" s="66" t="str">
        <f aca="false">IF(BP187=1,SUM(BP$6:BP187),"")</f>
        <v/>
      </c>
      <c r="BR187" s="76" t="str">
        <f aca="false">IF(BP187=1,ROUND(Settings!$C$29+SUMIFS(AM$6:AM187,BP$6:BP187,1),2),"")</f>
        <v/>
      </c>
      <c r="BS187" s="76" t="str">
        <f aca="false">IF(BP187=1,MAX(Settings!$C$29,MAX(BR$6:BR187)),"")</f>
        <v/>
      </c>
      <c r="BT187" s="83" t="str">
        <f aca="false">IF(BP187=1,(BR187-BS187)/BS187,"")</f>
        <v/>
      </c>
      <c r="BU187" s="66" t="str">
        <f aca="false">IF(BP187=1,IF(AL187="Win",1+IF(BQ187=1,0,INDEX(BU$5:BU186,MATCH(BQ187-1,BQ$5:BQ186,0))),0),"")</f>
        <v/>
      </c>
      <c r="BV187" s="66" t="str">
        <f aca="false">IF(BP187=1,IF(AL187="Loss",1+IF(BQ187=1,0,INDEX(BV$5:BV186,MATCH(BQ187-1,BQ$5:BQ186,0))),0),"")</f>
        <v/>
      </c>
    </row>
    <row r="188" customFormat="false" ht="15" hidden="false" customHeight="false" outlineLevel="0" collapsed="false">
      <c r="A188" s="66" t="str">
        <f aca="false">IF(B188="","",ROW()-5)</f>
        <v/>
      </c>
      <c r="B188" s="67"/>
      <c r="C188" s="68" t="str">
        <f aca="false">IF(B188="","",CHOOSE(WEEKDAY(B188,2),"Mon","Tue","Wed","Thu","Fri","Sat","Sun"))</f>
        <v/>
      </c>
      <c r="D188" s="66" t="str">
        <f aca="false">IF(B188="","",WEEKNUM(B188,2))</f>
        <v/>
      </c>
      <c r="E188" s="69"/>
      <c r="F188" s="69"/>
      <c r="G188" s="70"/>
      <c r="H188" s="70"/>
      <c r="I188" s="69"/>
      <c r="J188" s="69"/>
      <c r="K188" s="69"/>
      <c r="L188" s="71"/>
      <c r="M188" s="69"/>
      <c r="N188" s="69"/>
      <c r="O188" s="69"/>
      <c r="P188" s="71"/>
      <c r="Q188" s="69"/>
      <c r="R188" s="69"/>
      <c r="S188" s="69"/>
      <c r="T188" s="69"/>
      <c r="U188" s="69"/>
      <c r="V188" s="69"/>
      <c r="W188" s="69"/>
      <c r="X188" s="66" t="str">
        <f aca="false">IF(B188="","",COUNTIF(Q188:W188,"Yes"))</f>
        <v/>
      </c>
      <c r="Y188" s="68" t="str">
        <f aca="false">IF(B188="","",IF(X188&gt;=Settings!$C$16,"A+",IF(X188&gt;=Settings!$C$17,"A",IF(X188&gt;=Settings!$C$18,"B","C"))))</f>
        <v/>
      </c>
      <c r="Z188" s="72"/>
      <c r="AA188" s="72"/>
      <c r="AB188" s="72"/>
      <c r="AC188" s="72"/>
      <c r="AD188" s="72"/>
      <c r="AE188" s="72"/>
      <c r="AF188" s="73"/>
      <c r="AG188" s="74"/>
      <c r="AH188" s="75"/>
      <c r="AI188" s="76" t="str">
        <f aca="false">IF(B188="","",ROUND(IF(AG188="",Settings!$C$5,AG188)*AW188,2))</f>
        <v/>
      </c>
      <c r="AJ188" s="77" t="str">
        <f aca="false">IF(OR(B188="",AB188="",AC188="",AD188=""),"",IFERROR(ROUND(ABS(AD188-AB188)/ABS(AB188-AC188),2),""))</f>
        <v/>
      </c>
      <c r="AK188" s="78" t="str">
        <f aca="false">IF(OR(B188="",AB188="",AC188="",AE188=""),"",IFERROR(ROUND(IF(J188="Short",AB188-AE188,AE188-AB188)/ABS(AB188-AC188),2),""))</f>
        <v/>
      </c>
      <c r="AL188" s="68" t="str">
        <f aca="false">IF(AK188="","",IF(ABS(AK188)&lt;=Settings!$C$6,"BE",IF(AK188&gt;0,"Win","Loss")))</f>
        <v/>
      </c>
      <c r="AM188" s="79" t="str">
        <f aca="false">IF(OR(AK188="",AI188=""),"",ROUND(AK188*AI188-N(AH188),2))</f>
        <v/>
      </c>
      <c r="AN188" s="76" t="str">
        <f aca="false">IF(AM188="","",ROUND(BK188+SUMIFS(AM$6:AM188,BJ$6:BJ188,BJ188),2))</f>
        <v/>
      </c>
      <c r="AO188" s="78" t="str">
        <f aca="false">IF(AK188="","",ROUND(SUMIFS(AK$6:AK188,BJ$6:BJ188,BJ188),2))</f>
        <v/>
      </c>
      <c r="AP188" s="80" t="str">
        <f aca="false">IF(OR(AK188="",BL188=""),"",IFERROR(ROUND(IF(J188="Short",AB188-AE188,AE188-AB188)/BL188,1),""))</f>
        <v/>
      </c>
      <c r="AQ188" s="66" t="str">
        <f aca="false">IF(OR(G188="",H188=""),"",ROUND(MOD(H188-G188,1)*1440,0))</f>
        <v/>
      </c>
      <c r="AR188" s="68" t="str">
        <f aca="false">IF(AQ188="","",IF(AQ188&lt;15,"Under 15m",IF(AQ188&lt;60,"15-60m",IF(AQ188&lt;240,"1-4 hours","4+ hours"))))</f>
        <v/>
      </c>
      <c r="AS188" s="66" t="str">
        <f aca="false">IF(G188="","",HOUR(G188))</f>
        <v/>
      </c>
      <c r="AT188" s="80" t="str">
        <f aca="false">IF(OR(Z188="",AB188="",BL188=""),"",IFERROR(ROUND(IF(J188="Short",Z188-AB188,AB188-Z188)/BL188,1),""))</f>
        <v/>
      </c>
      <c r="AU188" s="68" t="str">
        <f aca="false">IF(OR(AA188="",AC188=""),"",IF(AA188=AC188,"No","Yes"))</f>
        <v/>
      </c>
      <c r="AV188" s="81" t="str">
        <f aca="false">IF(OR(B188="",BL188="",BM188="",AB188="",AC188=""),"",IFERROR(ROUND(AI188/(ABS(AB188-AC188)/BL188*BM188),2),""))</f>
        <v/>
      </c>
      <c r="AW188" s="76" t="str">
        <f aca="false">IF(B188="","",ROUND(BK188+SUMIFS(AM$5:AM187,BJ$5:BJ187,BJ188),2))</f>
        <v/>
      </c>
      <c r="AX188" s="66" t="str">
        <f aca="false">IF(B188="","",COUNTIFS(B$6:B188,B188,BJ$6:BJ188,BJ188))</f>
        <v/>
      </c>
      <c r="AY188" s="79" t="str">
        <f aca="false">IF(B188="","",ROUND(SUMIFS(AM$5:AM187,B$5:B187,B188,BJ$5:BJ187,BJ188),2))</f>
        <v/>
      </c>
      <c r="AZ188" s="79" t="str">
        <f aca="false">IF(AM188="","",ROUND(AY188+AM188,2))</f>
        <v/>
      </c>
      <c r="BA188" s="79" t="str">
        <f aca="false">IF(B188="","",ROUND(SUMIFS(AM$5:AM187,B$5:B187,"&gt;="&amp;(B188-WEEKDAY(B188,2)+1),B$5:B187,"&lt;="&amp;B188,BJ$5:BJ187,BJ188),2))</f>
        <v/>
      </c>
      <c r="BB188" s="68" t="str">
        <f aca="false">IF(B188="","",IF(AND(AF188&lt;&gt;"",AV188&lt;&gt;"",N(AF188)&gt;N(AV188)*(1+Settings!$C$13)),"Oversized",IF(AX188&gt;Settings!$C$10,"Overtraded",IF(AY188&lt;=-Settings!$C$11*(AW188-AY188),"Daily loss hit",IF(BA188&lt;=-Settings!$C$12*(AW188-BA188),"Weekly loss hit","OK")))))</f>
        <v/>
      </c>
      <c r="BC188" s="69"/>
      <c r="BD188" s="69"/>
      <c r="BE188" s="69"/>
      <c r="BF188" s="73"/>
      <c r="BG188" s="73"/>
      <c r="BH188" s="71"/>
      <c r="BI188" s="71"/>
      <c r="BJ188" s="68" t="str">
        <f aca="false">IF(B188="","",IF(E188="",Settings!$F$5,E188))</f>
        <v/>
      </c>
      <c r="BK188" s="76" t="str">
        <f aca="false">IF(B188="","",IFERROR(INDEX(Settings!$G$5:$G$10,MATCH(BJ188,Settings!$F$5:$F$10,0)),Settings!$G$5))</f>
        <v/>
      </c>
      <c r="BL188" s="82" t="str">
        <f aca="false">IF(I188="","",IFERROR(1/(1/INDEX(Lists!$C$6:$C$17,MATCH(I188,Lists!$B$6:$B$17,0))),""))</f>
        <v/>
      </c>
      <c r="BM188" s="81" t="str">
        <f aca="false">IF(I188="","",IFERROR(1/(1/INDEX(Lists!$D$6:$D$17,MATCH(I188,Lists!$B$6:$B$17,0))),""))</f>
        <v/>
      </c>
      <c r="BN188" s="76" t="str">
        <f aca="false">IF(AN188="","",MAX(BK188,_xlfn.MAXIFS(AN$6:AN188,BJ$6:BJ188,BJ188)))</f>
        <v/>
      </c>
      <c r="BO188" s="83" t="str">
        <f aca="false">IF(AN188="","",(AN188-BN188)/BN188)</f>
        <v/>
      </c>
      <c r="BP188" s="66" t="n">
        <f aca="false">IF(OR(B188="",AL188=""),0,IF(OR(Settings!$C$28="All Accounts",BJ188=Settings!$C$28),1,0))</f>
        <v>0</v>
      </c>
      <c r="BQ188" s="66" t="str">
        <f aca="false">IF(BP188=1,SUM(BP$6:BP188),"")</f>
        <v/>
      </c>
      <c r="BR188" s="76" t="str">
        <f aca="false">IF(BP188=1,ROUND(Settings!$C$29+SUMIFS(AM$6:AM188,BP$6:BP188,1),2),"")</f>
        <v/>
      </c>
      <c r="BS188" s="76" t="str">
        <f aca="false">IF(BP188=1,MAX(Settings!$C$29,MAX(BR$6:BR188)),"")</f>
        <v/>
      </c>
      <c r="BT188" s="83" t="str">
        <f aca="false">IF(BP188=1,(BR188-BS188)/BS188,"")</f>
        <v/>
      </c>
      <c r="BU188" s="66" t="str">
        <f aca="false">IF(BP188=1,IF(AL188="Win",1+IF(BQ188=1,0,INDEX(BU$5:BU187,MATCH(BQ188-1,BQ$5:BQ187,0))),0),"")</f>
        <v/>
      </c>
      <c r="BV188" s="66" t="str">
        <f aca="false">IF(BP188=1,IF(AL188="Loss",1+IF(BQ188=1,0,INDEX(BV$5:BV187,MATCH(BQ188-1,BQ$5:BQ187,0))),0),"")</f>
        <v/>
      </c>
    </row>
    <row r="189" customFormat="false" ht="15" hidden="false" customHeight="false" outlineLevel="0" collapsed="false">
      <c r="A189" s="66" t="str">
        <f aca="false">IF(B189="","",ROW()-5)</f>
        <v/>
      </c>
      <c r="B189" s="67"/>
      <c r="C189" s="68" t="str">
        <f aca="false">IF(B189="","",CHOOSE(WEEKDAY(B189,2),"Mon","Tue","Wed","Thu","Fri","Sat","Sun"))</f>
        <v/>
      </c>
      <c r="D189" s="66" t="str">
        <f aca="false">IF(B189="","",WEEKNUM(B189,2))</f>
        <v/>
      </c>
      <c r="E189" s="69"/>
      <c r="F189" s="69"/>
      <c r="G189" s="70"/>
      <c r="H189" s="70"/>
      <c r="I189" s="69"/>
      <c r="J189" s="69"/>
      <c r="K189" s="69"/>
      <c r="L189" s="71"/>
      <c r="M189" s="69"/>
      <c r="N189" s="69"/>
      <c r="O189" s="69"/>
      <c r="P189" s="71"/>
      <c r="Q189" s="69"/>
      <c r="R189" s="69"/>
      <c r="S189" s="69"/>
      <c r="T189" s="69"/>
      <c r="U189" s="69"/>
      <c r="V189" s="69"/>
      <c r="W189" s="69"/>
      <c r="X189" s="66" t="str">
        <f aca="false">IF(B189="","",COUNTIF(Q189:W189,"Yes"))</f>
        <v/>
      </c>
      <c r="Y189" s="68" t="str">
        <f aca="false">IF(B189="","",IF(X189&gt;=Settings!$C$16,"A+",IF(X189&gt;=Settings!$C$17,"A",IF(X189&gt;=Settings!$C$18,"B","C"))))</f>
        <v/>
      </c>
      <c r="Z189" s="72"/>
      <c r="AA189" s="72"/>
      <c r="AB189" s="72"/>
      <c r="AC189" s="72"/>
      <c r="AD189" s="72"/>
      <c r="AE189" s="72"/>
      <c r="AF189" s="73"/>
      <c r="AG189" s="74"/>
      <c r="AH189" s="75"/>
      <c r="AI189" s="76" t="str">
        <f aca="false">IF(B189="","",ROUND(IF(AG189="",Settings!$C$5,AG189)*AW189,2))</f>
        <v/>
      </c>
      <c r="AJ189" s="77" t="str">
        <f aca="false">IF(OR(B189="",AB189="",AC189="",AD189=""),"",IFERROR(ROUND(ABS(AD189-AB189)/ABS(AB189-AC189),2),""))</f>
        <v/>
      </c>
      <c r="AK189" s="78" t="str">
        <f aca="false">IF(OR(B189="",AB189="",AC189="",AE189=""),"",IFERROR(ROUND(IF(J189="Short",AB189-AE189,AE189-AB189)/ABS(AB189-AC189),2),""))</f>
        <v/>
      </c>
      <c r="AL189" s="68" t="str">
        <f aca="false">IF(AK189="","",IF(ABS(AK189)&lt;=Settings!$C$6,"BE",IF(AK189&gt;0,"Win","Loss")))</f>
        <v/>
      </c>
      <c r="AM189" s="79" t="str">
        <f aca="false">IF(OR(AK189="",AI189=""),"",ROUND(AK189*AI189-N(AH189),2))</f>
        <v/>
      </c>
      <c r="AN189" s="76" t="str">
        <f aca="false">IF(AM189="","",ROUND(BK189+SUMIFS(AM$6:AM189,BJ$6:BJ189,BJ189),2))</f>
        <v/>
      </c>
      <c r="AO189" s="78" t="str">
        <f aca="false">IF(AK189="","",ROUND(SUMIFS(AK$6:AK189,BJ$6:BJ189,BJ189),2))</f>
        <v/>
      </c>
      <c r="AP189" s="80" t="str">
        <f aca="false">IF(OR(AK189="",BL189=""),"",IFERROR(ROUND(IF(J189="Short",AB189-AE189,AE189-AB189)/BL189,1),""))</f>
        <v/>
      </c>
      <c r="AQ189" s="66" t="str">
        <f aca="false">IF(OR(G189="",H189=""),"",ROUND(MOD(H189-G189,1)*1440,0))</f>
        <v/>
      </c>
      <c r="AR189" s="68" t="str">
        <f aca="false">IF(AQ189="","",IF(AQ189&lt;15,"Under 15m",IF(AQ189&lt;60,"15-60m",IF(AQ189&lt;240,"1-4 hours","4+ hours"))))</f>
        <v/>
      </c>
      <c r="AS189" s="66" t="str">
        <f aca="false">IF(G189="","",HOUR(G189))</f>
        <v/>
      </c>
      <c r="AT189" s="80" t="str">
        <f aca="false">IF(OR(Z189="",AB189="",BL189=""),"",IFERROR(ROUND(IF(J189="Short",Z189-AB189,AB189-Z189)/BL189,1),""))</f>
        <v/>
      </c>
      <c r="AU189" s="68" t="str">
        <f aca="false">IF(OR(AA189="",AC189=""),"",IF(AA189=AC189,"No","Yes"))</f>
        <v/>
      </c>
      <c r="AV189" s="81" t="str">
        <f aca="false">IF(OR(B189="",BL189="",BM189="",AB189="",AC189=""),"",IFERROR(ROUND(AI189/(ABS(AB189-AC189)/BL189*BM189),2),""))</f>
        <v/>
      </c>
      <c r="AW189" s="76" t="str">
        <f aca="false">IF(B189="","",ROUND(BK189+SUMIFS(AM$5:AM188,BJ$5:BJ188,BJ189),2))</f>
        <v/>
      </c>
      <c r="AX189" s="66" t="str">
        <f aca="false">IF(B189="","",COUNTIFS(B$6:B189,B189,BJ$6:BJ189,BJ189))</f>
        <v/>
      </c>
      <c r="AY189" s="79" t="str">
        <f aca="false">IF(B189="","",ROUND(SUMIFS(AM$5:AM188,B$5:B188,B189,BJ$5:BJ188,BJ189),2))</f>
        <v/>
      </c>
      <c r="AZ189" s="79" t="str">
        <f aca="false">IF(AM189="","",ROUND(AY189+AM189,2))</f>
        <v/>
      </c>
      <c r="BA189" s="79" t="str">
        <f aca="false">IF(B189="","",ROUND(SUMIFS(AM$5:AM188,B$5:B188,"&gt;="&amp;(B189-WEEKDAY(B189,2)+1),B$5:B188,"&lt;="&amp;B189,BJ$5:BJ188,BJ189),2))</f>
        <v/>
      </c>
      <c r="BB189" s="68" t="str">
        <f aca="false">IF(B189="","",IF(AND(AF189&lt;&gt;"",AV189&lt;&gt;"",N(AF189)&gt;N(AV189)*(1+Settings!$C$13)),"Oversized",IF(AX189&gt;Settings!$C$10,"Overtraded",IF(AY189&lt;=-Settings!$C$11*(AW189-AY189),"Daily loss hit",IF(BA189&lt;=-Settings!$C$12*(AW189-BA189),"Weekly loss hit","OK")))))</f>
        <v/>
      </c>
      <c r="BC189" s="69"/>
      <c r="BD189" s="69"/>
      <c r="BE189" s="69"/>
      <c r="BF189" s="73"/>
      <c r="BG189" s="73"/>
      <c r="BH189" s="71"/>
      <c r="BI189" s="71"/>
      <c r="BJ189" s="68" t="str">
        <f aca="false">IF(B189="","",IF(E189="",Settings!$F$5,E189))</f>
        <v/>
      </c>
      <c r="BK189" s="76" t="str">
        <f aca="false">IF(B189="","",IFERROR(INDEX(Settings!$G$5:$G$10,MATCH(BJ189,Settings!$F$5:$F$10,0)),Settings!$G$5))</f>
        <v/>
      </c>
      <c r="BL189" s="82" t="str">
        <f aca="false">IF(I189="","",IFERROR(1/(1/INDEX(Lists!$C$6:$C$17,MATCH(I189,Lists!$B$6:$B$17,0))),""))</f>
        <v/>
      </c>
      <c r="BM189" s="81" t="str">
        <f aca="false">IF(I189="","",IFERROR(1/(1/INDEX(Lists!$D$6:$D$17,MATCH(I189,Lists!$B$6:$B$17,0))),""))</f>
        <v/>
      </c>
      <c r="BN189" s="76" t="str">
        <f aca="false">IF(AN189="","",MAX(BK189,_xlfn.MAXIFS(AN$6:AN189,BJ$6:BJ189,BJ189)))</f>
        <v/>
      </c>
      <c r="BO189" s="83" t="str">
        <f aca="false">IF(AN189="","",(AN189-BN189)/BN189)</f>
        <v/>
      </c>
      <c r="BP189" s="66" t="n">
        <f aca="false">IF(OR(B189="",AL189=""),0,IF(OR(Settings!$C$28="All Accounts",BJ189=Settings!$C$28),1,0))</f>
        <v>0</v>
      </c>
      <c r="BQ189" s="66" t="str">
        <f aca="false">IF(BP189=1,SUM(BP$6:BP189),"")</f>
        <v/>
      </c>
      <c r="BR189" s="76" t="str">
        <f aca="false">IF(BP189=1,ROUND(Settings!$C$29+SUMIFS(AM$6:AM189,BP$6:BP189,1),2),"")</f>
        <v/>
      </c>
      <c r="BS189" s="76" t="str">
        <f aca="false">IF(BP189=1,MAX(Settings!$C$29,MAX(BR$6:BR189)),"")</f>
        <v/>
      </c>
      <c r="BT189" s="83" t="str">
        <f aca="false">IF(BP189=1,(BR189-BS189)/BS189,"")</f>
        <v/>
      </c>
      <c r="BU189" s="66" t="str">
        <f aca="false">IF(BP189=1,IF(AL189="Win",1+IF(BQ189=1,0,INDEX(BU$5:BU188,MATCH(BQ189-1,BQ$5:BQ188,0))),0),"")</f>
        <v/>
      </c>
      <c r="BV189" s="66" t="str">
        <f aca="false">IF(BP189=1,IF(AL189="Loss",1+IF(BQ189=1,0,INDEX(BV$5:BV188,MATCH(BQ189-1,BQ$5:BQ188,0))),0),"")</f>
        <v/>
      </c>
    </row>
    <row r="190" customFormat="false" ht="15" hidden="false" customHeight="false" outlineLevel="0" collapsed="false">
      <c r="A190" s="66" t="str">
        <f aca="false">IF(B190="","",ROW()-5)</f>
        <v/>
      </c>
      <c r="B190" s="67"/>
      <c r="C190" s="68" t="str">
        <f aca="false">IF(B190="","",CHOOSE(WEEKDAY(B190,2),"Mon","Tue","Wed","Thu","Fri","Sat","Sun"))</f>
        <v/>
      </c>
      <c r="D190" s="66" t="str">
        <f aca="false">IF(B190="","",WEEKNUM(B190,2))</f>
        <v/>
      </c>
      <c r="E190" s="69"/>
      <c r="F190" s="69"/>
      <c r="G190" s="70"/>
      <c r="H190" s="70"/>
      <c r="I190" s="69"/>
      <c r="J190" s="69"/>
      <c r="K190" s="69"/>
      <c r="L190" s="71"/>
      <c r="M190" s="69"/>
      <c r="N190" s="69"/>
      <c r="O190" s="69"/>
      <c r="P190" s="71"/>
      <c r="Q190" s="69"/>
      <c r="R190" s="69"/>
      <c r="S190" s="69"/>
      <c r="T190" s="69"/>
      <c r="U190" s="69"/>
      <c r="V190" s="69"/>
      <c r="W190" s="69"/>
      <c r="X190" s="66" t="str">
        <f aca="false">IF(B190="","",COUNTIF(Q190:W190,"Yes"))</f>
        <v/>
      </c>
      <c r="Y190" s="68" t="str">
        <f aca="false">IF(B190="","",IF(X190&gt;=Settings!$C$16,"A+",IF(X190&gt;=Settings!$C$17,"A",IF(X190&gt;=Settings!$C$18,"B","C"))))</f>
        <v/>
      </c>
      <c r="Z190" s="72"/>
      <c r="AA190" s="72"/>
      <c r="AB190" s="72"/>
      <c r="AC190" s="72"/>
      <c r="AD190" s="72"/>
      <c r="AE190" s="72"/>
      <c r="AF190" s="73"/>
      <c r="AG190" s="74"/>
      <c r="AH190" s="75"/>
      <c r="AI190" s="76" t="str">
        <f aca="false">IF(B190="","",ROUND(IF(AG190="",Settings!$C$5,AG190)*AW190,2))</f>
        <v/>
      </c>
      <c r="AJ190" s="77" t="str">
        <f aca="false">IF(OR(B190="",AB190="",AC190="",AD190=""),"",IFERROR(ROUND(ABS(AD190-AB190)/ABS(AB190-AC190),2),""))</f>
        <v/>
      </c>
      <c r="AK190" s="78" t="str">
        <f aca="false">IF(OR(B190="",AB190="",AC190="",AE190=""),"",IFERROR(ROUND(IF(J190="Short",AB190-AE190,AE190-AB190)/ABS(AB190-AC190),2),""))</f>
        <v/>
      </c>
      <c r="AL190" s="68" t="str">
        <f aca="false">IF(AK190="","",IF(ABS(AK190)&lt;=Settings!$C$6,"BE",IF(AK190&gt;0,"Win","Loss")))</f>
        <v/>
      </c>
      <c r="AM190" s="79" t="str">
        <f aca="false">IF(OR(AK190="",AI190=""),"",ROUND(AK190*AI190-N(AH190),2))</f>
        <v/>
      </c>
      <c r="AN190" s="76" t="str">
        <f aca="false">IF(AM190="","",ROUND(BK190+SUMIFS(AM$6:AM190,BJ$6:BJ190,BJ190),2))</f>
        <v/>
      </c>
      <c r="AO190" s="78" t="str">
        <f aca="false">IF(AK190="","",ROUND(SUMIFS(AK$6:AK190,BJ$6:BJ190,BJ190),2))</f>
        <v/>
      </c>
      <c r="AP190" s="80" t="str">
        <f aca="false">IF(OR(AK190="",BL190=""),"",IFERROR(ROUND(IF(J190="Short",AB190-AE190,AE190-AB190)/BL190,1),""))</f>
        <v/>
      </c>
      <c r="AQ190" s="66" t="str">
        <f aca="false">IF(OR(G190="",H190=""),"",ROUND(MOD(H190-G190,1)*1440,0))</f>
        <v/>
      </c>
      <c r="AR190" s="68" t="str">
        <f aca="false">IF(AQ190="","",IF(AQ190&lt;15,"Under 15m",IF(AQ190&lt;60,"15-60m",IF(AQ190&lt;240,"1-4 hours","4+ hours"))))</f>
        <v/>
      </c>
      <c r="AS190" s="66" t="str">
        <f aca="false">IF(G190="","",HOUR(G190))</f>
        <v/>
      </c>
      <c r="AT190" s="80" t="str">
        <f aca="false">IF(OR(Z190="",AB190="",BL190=""),"",IFERROR(ROUND(IF(J190="Short",Z190-AB190,AB190-Z190)/BL190,1),""))</f>
        <v/>
      </c>
      <c r="AU190" s="68" t="str">
        <f aca="false">IF(OR(AA190="",AC190=""),"",IF(AA190=AC190,"No","Yes"))</f>
        <v/>
      </c>
      <c r="AV190" s="81" t="str">
        <f aca="false">IF(OR(B190="",BL190="",BM190="",AB190="",AC190=""),"",IFERROR(ROUND(AI190/(ABS(AB190-AC190)/BL190*BM190),2),""))</f>
        <v/>
      </c>
      <c r="AW190" s="76" t="str">
        <f aca="false">IF(B190="","",ROUND(BK190+SUMIFS(AM$5:AM189,BJ$5:BJ189,BJ190),2))</f>
        <v/>
      </c>
      <c r="AX190" s="66" t="str">
        <f aca="false">IF(B190="","",COUNTIFS(B$6:B190,B190,BJ$6:BJ190,BJ190))</f>
        <v/>
      </c>
      <c r="AY190" s="79" t="str">
        <f aca="false">IF(B190="","",ROUND(SUMIFS(AM$5:AM189,B$5:B189,B190,BJ$5:BJ189,BJ190),2))</f>
        <v/>
      </c>
      <c r="AZ190" s="79" t="str">
        <f aca="false">IF(AM190="","",ROUND(AY190+AM190,2))</f>
        <v/>
      </c>
      <c r="BA190" s="79" t="str">
        <f aca="false">IF(B190="","",ROUND(SUMIFS(AM$5:AM189,B$5:B189,"&gt;="&amp;(B190-WEEKDAY(B190,2)+1),B$5:B189,"&lt;="&amp;B190,BJ$5:BJ189,BJ190),2))</f>
        <v/>
      </c>
      <c r="BB190" s="68" t="str">
        <f aca="false">IF(B190="","",IF(AND(AF190&lt;&gt;"",AV190&lt;&gt;"",N(AF190)&gt;N(AV190)*(1+Settings!$C$13)),"Oversized",IF(AX190&gt;Settings!$C$10,"Overtraded",IF(AY190&lt;=-Settings!$C$11*(AW190-AY190),"Daily loss hit",IF(BA190&lt;=-Settings!$C$12*(AW190-BA190),"Weekly loss hit","OK")))))</f>
        <v/>
      </c>
      <c r="BC190" s="69"/>
      <c r="BD190" s="69"/>
      <c r="BE190" s="69"/>
      <c r="BF190" s="73"/>
      <c r="BG190" s="73"/>
      <c r="BH190" s="71"/>
      <c r="BI190" s="71"/>
      <c r="BJ190" s="68" t="str">
        <f aca="false">IF(B190="","",IF(E190="",Settings!$F$5,E190))</f>
        <v/>
      </c>
      <c r="BK190" s="76" t="str">
        <f aca="false">IF(B190="","",IFERROR(INDEX(Settings!$G$5:$G$10,MATCH(BJ190,Settings!$F$5:$F$10,0)),Settings!$G$5))</f>
        <v/>
      </c>
      <c r="BL190" s="82" t="str">
        <f aca="false">IF(I190="","",IFERROR(1/(1/INDEX(Lists!$C$6:$C$17,MATCH(I190,Lists!$B$6:$B$17,0))),""))</f>
        <v/>
      </c>
      <c r="BM190" s="81" t="str">
        <f aca="false">IF(I190="","",IFERROR(1/(1/INDEX(Lists!$D$6:$D$17,MATCH(I190,Lists!$B$6:$B$17,0))),""))</f>
        <v/>
      </c>
      <c r="BN190" s="76" t="str">
        <f aca="false">IF(AN190="","",MAX(BK190,_xlfn.MAXIFS(AN$6:AN190,BJ$6:BJ190,BJ190)))</f>
        <v/>
      </c>
      <c r="BO190" s="83" t="str">
        <f aca="false">IF(AN190="","",(AN190-BN190)/BN190)</f>
        <v/>
      </c>
      <c r="BP190" s="66" t="n">
        <f aca="false">IF(OR(B190="",AL190=""),0,IF(OR(Settings!$C$28="All Accounts",BJ190=Settings!$C$28),1,0))</f>
        <v>0</v>
      </c>
      <c r="BQ190" s="66" t="str">
        <f aca="false">IF(BP190=1,SUM(BP$6:BP190),"")</f>
        <v/>
      </c>
      <c r="BR190" s="76" t="str">
        <f aca="false">IF(BP190=1,ROUND(Settings!$C$29+SUMIFS(AM$6:AM190,BP$6:BP190,1),2),"")</f>
        <v/>
      </c>
      <c r="BS190" s="76" t="str">
        <f aca="false">IF(BP190=1,MAX(Settings!$C$29,MAX(BR$6:BR190)),"")</f>
        <v/>
      </c>
      <c r="BT190" s="83" t="str">
        <f aca="false">IF(BP190=1,(BR190-BS190)/BS190,"")</f>
        <v/>
      </c>
      <c r="BU190" s="66" t="str">
        <f aca="false">IF(BP190=1,IF(AL190="Win",1+IF(BQ190=1,0,INDEX(BU$5:BU189,MATCH(BQ190-1,BQ$5:BQ189,0))),0),"")</f>
        <v/>
      </c>
      <c r="BV190" s="66" t="str">
        <f aca="false">IF(BP190=1,IF(AL190="Loss",1+IF(BQ190=1,0,INDEX(BV$5:BV189,MATCH(BQ190-1,BQ$5:BQ189,0))),0),"")</f>
        <v/>
      </c>
    </row>
    <row r="191" customFormat="false" ht="15" hidden="false" customHeight="false" outlineLevel="0" collapsed="false">
      <c r="A191" s="66" t="str">
        <f aca="false">IF(B191="","",ROW()-5)</f>
        <v/>
      </c>
      <c r="B191" s="67"/>
      <c r="C191" s="68" t="str">
        <f aca="false">IF(B191="","",CHOOSE(WEEKDAY(B191,2),"Mon","Tue","Wed","Thu","Fri","Sat","Sun"))</f>
        <v/>
      </c>
      <c r="D191" s="66" t="str">
        <f aca="false">IF(B191="","",WEEKNUM(B191,2))</f>
        <v/>
      </c>
      <c r="E191" s="69"/>
      <c r="F191" s="69"/>
      <c r="G191" s="70"/>
      <c r="H191" s="70"/>
      <c r="I191" s="69"/>
      <c r="J191" s="69"/>
      <c r="K191" s="69"/>
      <c r="L191" s="71"/>
      <c r="M191" s="69"/>
      <c r="N191" s="69"/>
      <c r="O191" s="69"/>
      <c r="P191" s="71"/>
      <c r="Q191" s="69"/>
      <c r="R191" s="69"/>
      <c r="S191" s="69"/>
      <c r="T191" s="69"/>
      <c r="U191" s="69"/>
      <c r="V191" s="69"/>
      <c r="W191" s="69"/>
      <c r="X191" s="66" t="str">
        <f aca="false">IF(B191="","",COUNTIF(Q191:W191,"Yes"))</f>
        <v/>
      </c>
      <c r="Y191" s="68" t="str">
        <f aca="false">IF(B191="","",IF(X191&gt;=Settings!$C$16,"A+",IF(X191&gt;=Settings!$C$17,"A",IF(X191&gt;=Settings!$C$18,"B","C"))))</f>
        <v/>
      </c>
      <c r="Z191" s="72"/>
      <c r="AA191" s="72"/>
      <c r="AB191" s="72"/>
      <c r="AC191" s="72"/>
      <c r="AD191" s="72"/>
      <c r="AE191" s="72"/>
      <c r="AF191" s="73"/>
      <c r="AG191" s="74"/>
      <c r="AH191" s="75"/>
      <c r="AI191" s="76" t="str">
        <f aca="false">IF(B191="","",ROUND(IF(AG191="",Settings!$C$5,AG191)*AW191,2))</f>
        <v/>
      </c>
      <c r="AJ191" s="77" t="str">
        <f aca="false">IF(OR(B191="",AB191="",AC191="",AD191=""),"",IFERROR(ROUND(ABS(AD191-AB191)/ABS(AB191-AC191),2),""))</f>
        <v/>
      </c>
      <c r="AK191" s="78" t="str">
        <f aca="false">IF(OR(B191="",AB191="",AC191="",AE191=""),"",IFERROR(ROUND(IF(J191="Short",AB191-AE191,AE191-AB191)/ABS(AB191-AC191),2),""))</f>
        <v/>
      </c>
      <c r="AL191" s="68" t="str">
        <f aca="false">IF(AK191="","",IF(ABS(AK191)&lt;=Settings!$C$6,"BE",IF(AK191&gt;0,"Win","Loss")))</f>
        <v/>
      </c>
      <c r="AM191" s="79" t="str">
        <f aca="false">IF(OR(AK191="",AI191=""),"",ROUND(AK191*AI191-N(AH191),2))</f>
        <v/>
      </c>
      <c r="AN191" s="76" t="str">
        <f aca="false">IF(AM191="","",ROUND(BK191+SUMIFS(AM$6:AM191,BJ$6:BJ191,BJ191),2))</f>
        <v/>
      </c>
      <c r="AO191" s="78" t="str">
        <f aca="false">IF(AK191="","",ROUND(SUMIFS(AK$6:AK191,BJ$6:BJ191,BJ191),2))</f>
        <v/>
      </c>
      <c r="AP191" s="80" t="str">
        <f aca="false">IF(OR(AK191="",BL191=""),"",IFERROR(ROUND(IF(J191="Short",AB191-AE191,AE191-AB191)/BL191,1),""))</f>
        <v/>
      </c>
      <c r="AQ191" s="66" t="str">
        <f aca="false">IF(OR(G191="",H191=""),"",ROUND(MOD(H191-G191,1)*1440,0))</f>
        <v/>
      </c>
      <c r="AR191" s="68" t="str">
        <f aca="false">IF(AQ191="","",IF(AQ191&lt;15,"Under 15m",IF(AQ191&lt;60,"15-60m",IF(AQ191&lt;240,"1-4 hours","4+ hours"))))</f>
        <v/>
      </c>
      <c r="AS191" s="66" t="str">
        <f aca="false">IF(G191="","",HOUR(G191))</f>
        <v/>
      </c>
      <c r="AT191" s="80" t="str">
        <f aca="false">IF(OR(Z191="",AB191="",BL191=""),"",IFERROR(ROUND(IF(J191="Short",Z191-AB191,AB191-Z191)/BL191,1),""))</f>
        <v/>
      </c>
      <c r="AU191" s="68" t="str">
        <f aca="false">IF(OR(AA191="",AC191=""),"",IF(AA191=AC191,"No","Yes"))</f>
        <v/>
      </c>
      <c r="AV191" s="81" t="str">
        <f aca="false">IF(OR(B191="",BL191="",BM191="",AB191="",AC191=""),"",IFERROR(ROUND(AI191/(ABS(AB191-AC191)/BL191*BM191),2),""))</f>
        <v/>
      </c>
      <c r="AW191" s="76" t="str">
        <f aca="false">IF(B191="","",ROUND(BK191+SUMIFS(AM$5:AM190,BJ$5:BJ190,BJ191),2))</f>
        <v/>
      </c>
      <c r="AX191" s="66" t="str">
        <f aca="false">IF(B191="","",COUNTIFS(B$6:B191,B191,BJ$6:BJ191,BJ191))</f>
        <v/>
      </c>
      <c r="AY191" s="79" t="str">
        <f aca="false">IF(B191="","",ROUND(SUMIFS(AM$5:AM190,B$5:B190,B191,BJ$5:BJ190,BJ191),2))</f>
        <v/>
      </c>
      <c r="AZ191" s="79" t="str">
        <f aca="false">IF(AM191="","",ROUND(AY191+AM191,2))</f>
        <v/>
      </c>
      <c r="BA191" s="79" t="str">
        <f aca="false">IF(B191="","",ROUND(SUMIFS(AM$5:AM190,B$5:B190,"&gt;="&amp;(B191-WEEKDAY(B191,2)+1),B$5:B190,"&lt;="&amp;B191,BJ$5:BJ190,BJ191),2))</f>
        <v/>
      </c>
      <c r="BB191" s="68" t="str">
        <f aca="false">IF(B191="","",IF(AND(AF191&lt;&gt;"",AV191&lt;&gt;"",N(AF191)&gt;N(AV191)*(1+Settings!$C$13)),"Oversized",IF(AX191&gt;Settings!$C$10,"Overtraded",IF(AY191&lt;=-Settings!$C$11*(AW191-AY191),"Daily loss hit",IF(BA191&lt;=-Settings!$C$12*(AW191-BA191),"Weekly loss hit","OK")))))</f>
        <v/>
      </c>
      <c r="BC191" s="69"/>
      <c r="BD191" s="69"/>
      <c r="BE191" s="69"/>
      <c r="BF191" s="73"/>
      <c r="BG191" s="73"/>
      <c r="BH191" s="71"/>
      <c r="BI191" s="71"/>
      <c r="BJ191" s="68" t="str">
        <f aca="false">IF(B191="","",IF(E191="",Settings!$F$5,E191))</f>
        <v/>
      </c>
      <c r="BK191" s="76" t="str">
        <f aca="false">IF(B191="","",IFERROR(INDEX(Settings!$G$5:$G$10,MATCH(BJ191,Settings!$F$5:$F$10,0)),Settings!$G$5))</f>
        <v/>
      </c>
      <c r="BL191" s="82" t="str">
        <f aca="false">IF(I191="","",IFERROR(1/(1/INDEX(Lists!$C$6:$C$17,MATCH(I191,Lists!$B$6:$B$17,0))),""))</f>
        <v/>
      </c>
      <c r="BM191" s="81" t="str">
        <f aca="false">IF(I191="","",IFERROR(1/(1/INDEX(Lists!$D$6:$D$17,MATCH(I191,Lists!$B$6:$B$17,0))),""))</f>
        <v/>
      </c>
      <c r="BN191" s="76" t="str">
        <f aca="false">IF(AN191="","",MAX(BK191,_xlfn.MAXIFS(AN$6:AN191,BJ$6:BJ191,BJ191)))</f>
        <v/>
      </c>
      <c r="BO191" s="83" t="str">
        <f aca="false">IF(AN191="","",(AN191-BN191)/BN191)</f>
        <v/>
      </c>
      <c r="BP191" s="66" t="n">
        <f aca="false">IF(OR(B191="",AL191=""),0,IF(OR(Settings!$C$28="All Accounts",BJ191=Settings!$C$28),1,0))</f>
        <v>0</v>
      </c>
      <c r="BQ191" s="66" t="str">
        <f aca="false">IF(BP191=1,SUM(BP$6:BP191),"")</f>
        <v/>
      </c>
      <c r="BR191" s="76" t="str">
        <f aca="false">IF(BP191=1,ROUND(Settings!$C$29+SUMIFS(AM$6:AM191,BP$6:BP191,1),2),"")</f>
        <v/>
      </c>
      <c r="BS191" s="76" t="str">
        <f aca="false">IF(BP191=1,MAX(Settings!$C$29,MAX(BR$6:BR191)),"")</f>
        <v/>
      </c>
      <c r="BT191" s="83" t="str">
        <f aca="false">IF(BP191=1,(BR191-BS191)/BS191,"")</f>
        <v/>
      </c>
      <c r="BU191" s="66" t="str">
        <f aca="false">IF(BP191=1,IF(AL191="Win",1+IF(BQ191=1,0,INDEX(BU$5:BU190,MATCH(BQ191-1,BQ$5:BQ190,0))),0),"")</f>
        <v/>
      </c>
      <c r="BV191" s="66" t="str">
        <f aca="false">IF(BP191=1,IF(AL191="Loss",1+IF(BQ191=1,0,INDEX(BV$5:BV190,MATCH(BQ191-1,BQ$5:BQ190,0))),0),"")</f>
        <v/>
      </c>
    </row>
    <row r="192" customFormat="false" ht="15" hidden="false" customHeight="false" outlineLevel="0" collapsed="false">
      <c r="A192" s="66" t="str">
        <f aca="false">IF(B192="","",ROW()-5)</f>
        <v/>
      </c>
      <c r="B192" s="67"/>
      <c r="C192" s="68" t="str">
        <f aca="false">IF(B192="","",CHOOSE(WEEKDAY(B192,2),"Mon","Tue","Wed","Thu","Fri","Sat","Sun"))</f>
        <v/>
      </c>
      <c r="D192" s="66" t="str">
        <f aca="false">IF(B192="","",WEEKNUM(B192,2))</f>
        <v/>
      </c>
      <c r="E192" s="69"/>
      <c r="F192" s="69"/>
      <c r="G192" s="70"/>
      <c r="H192" s="70"/>
      <c r="I192" s="69"/>
      <c r="J192" s="69"/>
      <c r="K192" s="69"/>
      <c r="L192" s="71"/>
      <c r="M192" s="69"/>
      <c r="N192" s="69"/>
      <c r="O192" s="69"/>
      <c r="P192" s="71"/>
      <c r="Q192" s="69"/>
      <c r="R192" s="69"/>
      <c r="S192" s="69"/>
      <c r="T192" s="69"/>
      <c r="U192" s="69"/>
      <c r="V192" s="69"/>
      <c r="W192" s="69"/>
      <c r="X192" s="66" t="str">
        <f aca="false">IF(B192="","",COUNTIF(Q192:W192,"Yes"))</f>
        <v/>
      </c>
      <c r="Y192" s="68" t="str">
        <f aca="false">IF(B192="","",IF(X192&gt;=Settings!$C$16,"A+",IF(X192&gt;=Settings!$C$17,"A",IF(X192&gt;=Settings!$C$18,"B","C"))))</f>
        <v/>
      </c>
      <c r="Z192" s="72"/>
      <c r="AA192" s="72"/>
      <c r="AB192" s="72"/>
      <c r="AC192" s="72"/>
      <c r="AD192" s="72"/>
      <c r="AE192" s="72"/>
      <c r="AF192" s="73"/>
      <c r="AG192" s="74"/>
      <c r="AH192" s="75"/>
      <c r="AI192" s="76" t="str">
        <f aca="false">IF(B192="","",ROUND(IF(AG192="",Settings!$C$5,AG192)*AW192,2))</f>
        <v/>
      </c>
      <c r="AJ192" s="77" t="str">
        <f aca="false">IF(OR(B192="",AB192="",AC192="",AD192=""),"",IFERROR(ROUND(ABS(AD192-AB192)/ABS(AB192-AC192),2),""))</f>
        <v/>
      </c>
      <c r="AK192" s="78" t="str">
        <f aca="false">IF(OR(B192="",AB192="",AC192="",AE192=""),"",IFERROR(ROUND(IF(J192="Short",AB192-AE192,AE192-AB192)/ABS(AB192-AC192),2),""))</f>
        <v/>
      </c>
      <c r="AL192" s="68" t="str">
        <f aca="false">IF(AK192="","",IF(ABS(AK192)&lt;=Settings!$C$6,"BE",IF(AK192&gt;0,"Win","Loss")))</f>
        <v/>
      </c>
      <c r="AM192" s="79" t="str">
        <f aca="false">IF(OR(AK192="",AI192=""),"",ROUND(AK192*AI192-N(AH192),2))</f>
        <v/>
      </c>
      <c r="AN192" s="76" t="str">
        <f aca="false">IF(AM192="","",ROUND(BK192+SUMIFS(AM$6:AM192,BJ$6:BJ192,BJ192),2))</f>
        <v/>
      </c>
      <c r="AO192" s="78" t="str">
        <f aca="false">IF(AK192="","",ROUND(SUMIFS(AK$6:AK192,BJ$6:BJ192,BJ192),2))</f>
        <v/>
      </c>
      <c r="AP192" s="80" t="str">
        <f aca="false">IF(OR(AK192="",BL192=""),"",IFERROR(ROUND(IF(J192="Short",AB192-AE192,AE192-AB192)/BL192,1),""))</f>
        <v/>
      </c>
      <c r="AQ192" s="66" t="str">
        <f aca="false">IF(OR(G192="",H192=""),"",ROUND(MOD(H192-G192,1)*1440,0))</f>
        <v/>
      </c>
      <c r="AR192" s="68" t="str">
        <f aca="false">IF(AQ192="","",IF(AQ192&lt;15,"Under 15m",IF(AQ192&lt;60,"15-60m",IF(AQ192&lt;240,"1-4 hours","4+ hours"))))</f>
        <v/>
      </c>
      <c r="AS192" s="66" t="str">
        <f aca="false">IF(G192="","",HOUR(G192))</f>
        <v/>
      </c>
      <c r="AT192" s="80" t="str">
        <f aca="false">IF(OR(Z192="",AB192="",BL192=""),"",IFERROR(ROUND(IF(J192="Short",Z192-AB192,AB192-Z192)/BL192,1),""))</f>
        <v/>
      </c>
      <c r="AU192" s="68" t="str">
        <f aca="false">IF(OR(AA192="",AC192=""),"",IF(AA192=AC192,"No","Yes"))</f>
        <v/>
      </c>
      <c r="AV192" s="81" t="str">
        <f aca="false">IF(OR(B192="",BL192="",BM192="",AB192="",AC192=""),"",IFERROR(ROUND(AI192/(ABS(AB192-AC192)/BL192*BM192),2),""))</f>
        <v/>
      </c>
      <c r="AW192" s="76" t="str">
        <f aca="false">IF(B192="","",ROUND(BK192+SUMIFS(AM$5:AM191,BJ$5:BJ191,BJ192),2))</f>
        <v/>
      </c>
      <c r="AX192" s="66" t="str">
        <f aca="false">IF(B192="","",COUNTIFS(B$6:B192,B192,BJ$6:BJ192,BJ192))</f>
        <v/>
      </c>
      <c r="AY192" s="79" t="str">
        <f aca="false">IF(B192="","",ROUND(SUMIFS(AM$5:AM191,B$5:B191,B192,BJ$5:BJ191,BJ192),2))</f>
        <v/>
      </c>
      <c r="AZ192" s="79" t="str">
        <f aca="false">IF(AM192="","",ROUND(AY192+AM192,2))</f>
        <v/>
      </c>
      <c r="BA192" s="79" t="str">
        <f aca="false">IF(B192="","",ROUND(SUMIFS(AM$5:AM191,B$5:B191,"&gt;="&amp;(B192-WEEKDAY(B192,2)+1),B$5:B191,"&lt;="&amp;B192,BJ$5:BJ191,BJ192),2))</f>
        <v/>
      </c>
      <c r="BB192" s="68" t="str">
        <f aca="false">IF(B192="","",IF(AND(AF192&lt;&gt;"",AV192&lt;&gt;"",N(AF192)&gt;N(AV192)*(1+Settings!$C$13)),"Oversized",IF(AX192&gt;Settings!$C$10,"Overtraded",IF(AY192&lt;=-Settings!$C$11*(AW192-AY192),"Daily loss hit",IF(BA192&lt;=-Settings!$C$12*(AW192-BA192),"Weekly loss hit","OK")))))</f>
        <v/>
      </c>
      <c r="BC192" s="69"/>
      <c r="BD192" s="69"/>
      <c r="BE192" s="69"/>
      <c r="BF192" s="73"/>
      <c r="BG192" s="73"/>
      <c r="BH192" s="71"/>
      <c r="BI192" s="71"/>
      <c r="BJ192" s="68" t="str">
        <f aca="false">IF(B192="","",IF(E192="",Settings!$F$5,E192))</f>
        <v/>
      </c>
      <c r="BK192" s="76" t="str">
        <f aca="false">IF(B192="","",IFERROR(INDEX(Settings!$G$5:$G$10,MATCH(BJ192,Settings!$F$5:$F$10,0)),Settings!$G$5))</f>
        <v/>
      </c>
      <c r="BL192" s="82" t="str">
        <f aca="false">IF(I192="","",IFERROR(1/(1/INDEX(Lists!$C$6:$C$17,MATCH(I192,Lists!$B$6:$B$17,0))),""))</f>
        <v/>
      </c>
      <c r="BM192" s="81" t="str">
        <f aca="false">IF(I192="","",IFERROR(1/(1/INDEX(Lists!$D$6:$D$17,MATCH(I192,Lists!$B$6:$B$17,0))),""))</f>
        <v/>
      </c>
      <c r="BN192" s="76" t="str">
        <f aca="false">IF(AN192="","",MAX(BK192,_xlfn.MAXIFS(AN$6:AN192,BJ$6:BJ192,BJ192)))</f>
        <v/>
      </c>
      <c r="BO192" s="83" t="str">
        <f aca="false">IF(AN192="","",(AN192-BN192)/BN192)</f>
        <v/>
      </c>
      <c r="BP192" s="66" t="n">
        <f aca="false">IF(OR(B192="",AL192=""),0,IF(OR(Settings!$C$28="All Accounts",BJ192=Settings!$C$28),1,0))</f>
        <v>0</v>
      </c>
      <c r="BQ192" s="66" t="str">
        <f aca="false">IF(BP192=1,SUM(BP$6:BP192),"")</f>
        <v/>
      </c>
      <c r="BR192" s="76" t="str">
        <f aca="false">IF(BP192=1,ROUND(Settings!$C$29+SUMIFS(AM$6:AM192,BP$6:BP192,1),2),"")</f>
        <v/>
      </c>
      <c r="BS192" s="76" t="str">
        <f aca="false">IF(BP192=1,MAX(Settings!$C$29,MAX(BR$6:BR192)),"")</f>
        <v/>
      </c>
      <c r="BT192" s="83" t="str">
        <f aca="false">IF(BP192=1,(BR192-BS192)/BS192,"")</f>
        <v/>
      </c>
      <c r="BU192" s="66" t="str">
        <f aca="false">IF(BP192=1,IF(AL192="Win",1+IF(BQ192=1,0,INDEX(BU$5:BU191,MATCH(BQ192-1,BQ$5:BQ191,0))),0),"")</f>
        <v/>
      </c>
      <c r="BV192" s="66" t="str">
        <f aca="false">IF(BP192=1,IF(AL192="Loss",1+IF(BQ192=1,0,INDEX(BV$5:BV191,MATCH(BQ192-1,BQ$5:BQ191,0))),0),"")</f>
        <v/>
      </c>
    </row>
    <row r="193" customFormat="false" ht="15" hidden="false" customHeight="false" outlineLevel="0" collapsed="false">
      <c r="A193" s="66" t="str">
        <f aca="false">IF(B193="","",ROW()-5)</f>
        <v/>
      </c>
      <c r="B193" s="67"/>
      <c r="C193" s="68" t="str">
        <f aca="false">IF(B193="","",CHOOSE(WEEKDAY(B193,2),"Mon","Tue","Wed","Thu","Fri","Sat","Sun"))</f>
        <v/>
      </c>
      <c r="D193" s="66" t="str">
        <f aca="false">IF(B193="","",WEEKNUM(B193,2))</f>
        <v/>
      </c>
      <c r="E193" s="69"/>
      <c r="F193" s="69"/>
      <c r="G193" s="70"/>
      <c r="H193" s="70"/>
      <c r="I193" s="69"/>
      <c r="J193" s="69"/>
      <c r="K193" s="69"/>
      <c r="L193" s="71"/>
      <c r="M193" s="69"/>
      <c r="N193" s="69"/>
      <c r="O193" s="69"/>
      <c r="P193" s="71"/>
      <c r="Q193" s="69"/>
      <c r="R193" s="69"/>
      <c r="S193" s="69"/>
      <c r="T193" s="69"/>
      <c r="U193" s="69"/>
      <c r="V193" s="69"/>
      <c r="W193" s="69"/>
      <c r="X193" s="66" t="str">
        <f aca="false">IF(B193="","",COUNTIF(Q193:W193,"Yes"))</f>
        <v/>
      </c>
      <c r="Y193" s="68" t="str">
        <f aca="false">IF(B193="","",IF(X193&gt;=Settings!$C$16,"A+",IF(X193&gt;=Settings!$C$17,"A",IF(X193&gt;=Settings!$C$18,"B","C"))))</f>
        <v/>
      </c>
      <c r="Z193" s="72"/>
      <c r="AA193" s="72"/>
      <c r="AB193" s="72"/>
      <c r="AC193" s="72"/>
      <c r="AD193" s="72"/>
      <c r="AE193" s="72"/>
      <c r="AF193" s="73"/>
      <c r="AG193" s="74"/>
      <c r="AH193" s="75"/>
      <c r="AI193" s="76" t="str">
        <f aca="false">IF(B193="","",ROUND(IF(AG193="",Settings!$C$5,AG193)*AW193,2))</f>
        <v/>
      </c>
      <c r="AJ193" s="77" t="str">
        <f aca="false">IF(OR(B193="",AB193="",AC193="",AD193=""),"",IFERROR(ROUND(ABS(AD193-AB193)/ABS(AB193-AC193),2),""))</f>
        <v/>
      </c>
      <c r="AK193" s="78" t="str">
        <f aca="false">IF(OR(B193="",AB193="",AC193="",AE193=""),"",IFERROR(ROUND(IF(J193="Short",AB193-AE193,AE193-AB193)/ABS(AB193-AC193),2),""))</f>
        <v/>
      </c>
      <c r="AL193" s="68" t="str">
        <f aca="false">IF(AK193="","",IF(ABS(AK193)&lt;=Settings!$C$6,"BE",IF(AK193&gt;0,"Win","Loss")))</f>
        <v/>
      </c>
      <c r="AM193" s="79" t="str">
        <f aca="false">IF(OR(AK193="",AI193=""),"",ROUND(AK193*AI193-N(AH193),2))</f>
        <v/>
      </c>
      <c r="AN193" s="76" t="str">
        <f aca="false">IF(AM193="","",ROUND(BK193+SUMIFS(AM$6:AM193,BJ$6:BJ193,BJ193),2))</f>
        <v/>
      </c>
      <c r="AO193" s="78" t="str">
        <f aca="false">IF(AK193="","",ROUND(SUMIFS(AK$6:AK193,BJ$6:BJ193,BJ193),2))</f>
        <v/>
      </c>
      <c r="AP193" s="80" t="str">
        <f aca="false">IF(OR(AK193="",BL193=""),"",IFERROR(ROUND(IF(J193="Short",AB193-AE193,AE193-AB193)/BL193,1),""))</f>
        <v/>
      </c>
      <c r="AQ193" s="66" t="str">
        <f aca="false">IF(OR(G193="",H193=""),"",ROUND(MOD(H193-G193,1)*1440,0))</f>
        <v/>
      </c>
      <c r="AR193" s="68" t="str">
        <f aca="false">IF(AQ193="","",IF(AQ193&lt;15,"Under 15m",IF(AQ193&lt;60,"15-60m",IF(AQ193&lt;240,"1-4 hours","4+ hours"))))</f>
        <v/>
      </c>
      <c r="AS193" s="66" t="str">
        <f aca="false">IF(G193="","",HOUR(G193))</f>
        <v/>
      </c>
      <c r="AT193" s="80" t="str">
        <f aca="false">IF(OR(Z193="",AB193="",BL193=""),"",IFERROR(ROUND(IF(J193="Short",Z193-AB193,AB193-Z193)/BL193,1),""))</f>
        <v/>
      </c>
      <c r="AU193" s="68" t="str">
        <f aca="false">IF(OR(AA193="",AC193=""),"",IF(AA193=AC193,"No","Yes"))</f>
        <v/>
      </c>
      <c r="AV193" s="81" t="str">
        <f aca="false">IF(OR(B193="",BL193="",BM193="",AB193="",AC193=""),"",IFERROR(ROUND(AI193/(ABS(AB193-AC193)/BL193*BM193),2),""))</f>
        <v/>
      </c>
      <c r="AW193" s="76" t="str">
        <f aca="false">IF(B193="","",ROUND(BK193+SUMIFS(AM$5:AM192,BJ$5:BJ192,BJ193),2))</f>
        <v/>
      </c>
      <c r="AX193" s="66" t="str">
        <f aca="false">IF(B193="","",COUNTIFS(B$6:B193,B193,BJ$6:BJ193,BJ193))</f>
        <v/>
      </c>
      <c r="AY193" s="79" t="str">
        <f aca="false">IF(B193="","",ROUND(SUMIFS(AM$5:AM192,B$5:B192,B193,BJ$5:BJ192,BJ193),2))</f>
        <v/>
      </c>
      <c r="AZ193" s="79" t="str">
        <f aca="false">IF(AM193="","",ROUND(AY193+AM193,2))</f>
        <v/>
      </c>
      <c r="BA193" s="79" t="str">
        <f aca="false">IF(B193="","",ROUND(SUMIFS(AM$5:AM192,B$5:B192,"&gt;="&amp;(B193-WEEKDAY(B193,2)+1),B$5:B192,"&lt;="&amp;B193,BJ$5:BJ192,BJ193),2))</f>
        <v/>
      </c>
      <c r="BB193" s="68" t="str">
        <f aca="false">IF(B193="","",IF(AND(AF193&lt;&gt;"",AV193&lt;&gt;"",N(AF193)&gt;N(AV193)*(1+Settings!$C$13)),"Oversized",IF(AX193&gt;Settings!$C$10,"Overtraded",IF(AY193&lt;=-Settings!$C$11*(AW193-AY193),"Daily loss hit",IF(BA193&lt;=-Settings!$C$12*(AW193-BA193),"Weekly loss hit","OK")))))</f>
        <v/>
      </c>
      <c r="BC193" s="69"/>
      <c r="BD193" s="69"/>
      <c r="BE193" s="69"/>
      <c r="BF193" s="73"/>
      <c r="BG193" s="73"/>
      <c r="BH193" s="71"/>
      <c r="BI193" s="71"/>
      <c r="BJ193" s="68" t="str">
        <f aca="false">IF(B193="","",IF(E193="",Settings!$F$5,E193))</f>
        <v/>
      </c>
      <c r="BK193" s="76" t="str">
        <f aca="false">IF(B193="","",IFERROR(INDEX(Settings!$G$5:$G$10,MATCH(BJ193,Settings!$F$5:$F$10,0)),Settings!$G$5))</f>
        <v/>
      </c>
      <c r="BL193" s="82" t="str">
        <f aca="false">IF(I193="","",IFERROR(1/(1/INDEX(Lists!$C$6:$C$17,MATCH(I193,Lists!$B$6:$B$17,0))),""))</f>
        <v/>
      </c>
      <c r="BM193" s="81" t="str">
        <f aca="false">IF(I193="","",IFERROR(1/(1/INDEX(Lists!$D$6:$D$17,MATCH(I193,Lists!$B$6:$B$17,0))),""))</f>
        <v/>
      </c>
      <c r="BN193" s="76" t="str">
        <f aca="false">IF(AN193="","",MAX(BK193,_xlfn.MAXIFS(AN$6:AN193,BJ$6:BJ193,BJ193)))</f>
        <v/>
      </c>
      <c r="BO193" s="83" t="str">
        <f aca="false">IF(AN193="","",(AN193-BN193)/BN193)</f>
        <v/>
      </c>
      <c r="BP193" s="66" t="n">
        <f aca="false">IF(OR(B193="",AL193=""),0,IF(OR(Settings!$C$28="All Accounts",BJ193=Settings!$C$28),1,0))</f>
        <v>0</v>
      </c>
      <c r="BQ193" s="66" t="str">
        <f aca="false">IF(BP193=1,SUM(BP$6:BP193),"")</f>
        <v/>
      </c>
      <c r="BR193" s="76" t="str">
        <f aca="false">IF(BP193=1,ROUND(Settings!$C$29+SUMIFS(AM$6:AM193,BP$6:BP193,1),2),"")</f>
        <v/>
      </c>
      <c r="BS193" s="76" t="str">
        <f aca="false">IF(BP193=1,MAX(Settings!$C$29,MAX(BR$6:BR193)),"")</f>
        <v/>
      </c>
      <c r="BT193" s="83" t="str">
        <f aca="false">IF(BP193=1,(BR193-BS193)/BS193,"")</f>
        <v/>
      </c>
      <c r="BU193" s="66" t="str">
        <f aca="false">IF(BP193=1,IF(AL193="Win",1+IF(BQ193=1,0,INDEX(BU$5:BU192,MATCH(BQ193-1,BQ$5:BQ192,0))),0),"")</f>
        <v/>
      </c>
      <c r="BV193" s="66" t="str">
        <f aca="false">IF(BP193=1,IF(AL193="Loss",1+IF(BQ193=1,0,INDEX(BV$5:BV192,MATCH(BQ193-1,BQ$5:BQ192,0))),0),"")</f>
        <v/>
      </c>
    </row>
    <row r="194" customFormat="false" ht="15" hidden="false" customHeight="false" outlineLevel="0" collapsed="false">
      <c r="A194" s="66" t="str">
        <f aca="false">IF(B194="","",ROW()-5)</f>
        <v/>
      </c>
      <c r="B194" s="67"/>
      <c r="C194" s="68" t="str">
        <f aca="false">IF(B194="","",CHOOSE(WEEKDAY(B194,2),"Mon","Tue","Wed","Thu","Fri","Sat","Sun"))</f>
        <v/>
      </c>
      <c r="D194" s="66" t="str">
        <f aca="false">IF(B194="","",WEEKNUM(B194,2))</f>
        <v/>
      </c>
      <c r="E194" s="69"/>
      <c r="F194" s="69"/>
      <c r="G194" s="70"/>
      <c r="H194" s="70"/>
      <c r="I194" s="69"/>
      <c r="J194" s="69"/>
      <c r="K194" s="69"/>
      <c r="L194" s="71"/>
      <c r="M194" s="69"/>
      <c r="N194" s="69"/>
      <c r="O194" s="69"/>
      <c r="P194" s="71"/>
      <c r="Q194" s="69"/>
      <c r="R194" s="69"/>
      <c r="S194" s="69"/>
      <c r="T194" s="69"/>
      <c r="U194" s="69"/>
      <c r="V194" s="69"/>
      <c r="W194" s="69"/>
      <c r="X194" s="66" t="str">
        <f aca="false">IF(B194="","",COUNTIF(Q194:W194,"Yes"))</f>
        <v/>
      </c>
      <c r="Y194" s="68" t="str">
        <f aca="false">IF(B194="","",IF(X194&gt;=Settings!$C$16,"A+",IF(X194&gt;=Settings!$C$17,"A",IF(X194&gt;=Settings!$C$18,"B","C"))))</f>
        <v/>
      </c>
      <c r="Z194" s="72"/>
      <c r="AA194" s="72"/>
      <c r="AB194" s="72"/>
      <c r="AC194" s="72"/>
      <c r="AD194" s="72"/>
      <c r="AE194" s="72"/>
      <c r="AF194" s="73"/>
      <c r="AG194" s="74"/>
      <c r="AH194" s="75"/>
      <c r="AI194" s="76" t="str">
        <f aca="false">IF(B194="","",ROUND(IF(AG194="",Settings!$C$5,AG194)*AW194,2))</f>
        <v/>
      </c>
      <c r="AJ194" s="77" t="str">
        <f aca="false">IF(OR(B194="",AB194="",AC194="",AD194=""),"",IFERROR(ROUND(ABS(AD194-AB194)/ABS(AB194-AC194),2),""))</f>
        <v/>
      </c>
      <c r="AK194" s="78" t="str">
        <f aca="false">IF(OR(B194="",AB194="",AC194="",AE194=""),"",IFERROR(ROUND(IF(J194="Short",AB194-AE194,AE194-AB194)/ABS(AB194-AC194),2),""))</f>
        <v/>
      </c>
      <c r="AL194" s="68" t="str">
        <f aca="false">IF(AK194="","",IF(ABS(AK194)&lt;=Settings!$C$6,"BE",IF(AK194&gt;0,"Win","Loss")))</f>
        <v/>
      </c>
      <c r="AM194" s="79" t="str">
        <f aca="false">IF(OR(AK194="",AI194=""),"",ROUND(AK194*AI194-N(AH194),2))</f>
        <v/>
      </c>
      <c r="AN194" s="76" t="str">
        <f aca="false">IF(AM194="","",ROUND(BK194+SUMIFS(AM$6:AM194,BJ$6:BJ194,BJ194),2))</f>
        <v/>
      </c>
      <c r="AO194" s="78" t="str">
        <f aca="false">IF(AK194="","",ROUND(SUMIFS(AK$6:AK194,BJ$6:BJ194,BJ194),2))</f>
        <v/>
      </c>
      <c r="AP194" s="80" t="str">
        <f aca="false">IF(OR(AK194="",BL194=""),"",IFERROR(ROUND(IF(J194="Short",AB194-AE194,AE194-AB194)/BL194,1),""))</f>
        <v/>
      </c>
      <c r="AQ194" s="66" t="str">
        <f aca="false">IF(OR(G194="",H194=""),"",ROUND(MOD(H194-G194,1)*1440,0))</f>
        <v/>
      </c>
      <c r="AR194" s="68" t="str">
        <f aca="false">IF(AQ194="","",IF(AQ194&lt;15,"Under 15m",IF(AQ194&lt;60,"15-60m",IF(AQ194&lt;240,"1-4 hours","4+ hours"))))</f>
        <v/>
      </c>
      <c r="AS194" s="66" t="str">
        <f aca="false">IF(G194="","",HOUR(G194))</f>
        <v/>
      </c>
      <c r="AT194" s="80" t="str">
        <f aca="false">IF(OR(Z194="",AB194="",BL194=""),"",IFERROR(ROUND(IF(J194="Short",Z194-AB194,AB194-Z194)/BL194,1),""))</f>
        <v/>
      </c>
      <c r="AU194" s="68" t="str">
        <f aca="false">IF(OR(AA194="",AC194=""),"",IF(AA194=AC194,"No","Yes"))</f>
        <v/>
      </c>
      <c r="AV194" s="81" t="str">
        <f aca="false">IF(OR(B194="",BL194="",BM194="",AB194="",AC194=""),"",IFERROR(ROUND(AI194/(ABS(AB194-AC194)/BL194*BM194),2),""))</f>
        <v/>
      </c>
      <c r="AW194" s="76" t="str">
        <f aca="false">IF(B194="","",ROUND(BK194+SUMIFS(AM$5:AM193,BJ$5:BJ193,BJ194),2))</f>
        <v/>
      </c>
      <c r="AX194" s="66" t="str">
        <f aca="false">IF(B194="","",COUNTIFS(B$6:B194,B194,BJ$6:BJ194,BJ194))</f>
        <v/>
      </c>
      <c r="AY194" s="79" t="str">
        <f aca="false">IF(B194="","",ROUND(SUMIFS(AM$5:AM193,B$5:B193,B194,BJ$5:BJ193,BJ194),2))</f>
        <v/>
      </c>
      <c r="AZ194" s="79" t="str">
        <f aca="false">IF(AM194="","",ROUND(AY194+AM194,2))</f>
        <v/>
      </c>
      <c r="BA194" s="79" t="str">
        <f aca="false">IF(B194="","",ROUND(SUMIFS(AM$5:AM193,B$5:B193,"&gt;="&amp;(B194-WEEKDAY(B194,2)+1),B$5:B193,"&lt;="&amp;B194,BJ$5:BJ193,BJ194),2))</f>
        <v/>
      </c>
      <c r="BB194" s="68" t="str">
        <f aca="false">IF(B194="","",IF(AND(AF194&lt;&gt;"",AV194&lt;&gt;"",N(AF194)&gt;N(AV194)*(1+Settings!$C$13)),"Oversized",IF(AX194&gt;Settings!$C$10,"Overtraded",IF(AY194&lt;=-Settings!$C$11*(AW194-AY194),"Daily loss hit",IF(BA194&lt;=-Settings!$C$12*(AW194-BA194),"Weekly loss hit","OK")))))</f>
        <v/>
      </c>
      <c r="BC194" s="69"/>
      <c r="BD194" s="69"/>
      <c r="BE194" s="69"/>
      <c r="BF194" s="73"/>
      <c r="BG194" s="73"/>
      <c r="BH194" s="71"/>
      <c r="BI194" s="71"/>
      <c r="BJ194" s="68" t="str">
        <f aca="false">IF(B194="","",IF(E194="",Settings!$F$5,E194))</f>
        <v/>
      </c>
      <c r="BK194" s="76" t="str">
        <f aca="false">IF(B194="","",IFERROR(INDEX(Settings!$G$5:$G$10,MATCH(BJ194,Settings!$F$5:$F$10,0)),Settings!$G$5))</f>
        <v/>
      </c>
      <c r="BL194" s="82" t="str">
        <f aca="false">IF(I194="","",IFERROR(1/(1/INDEX(Lists!$C$6:$C$17,MATCH(I194,Lists!$B$6:$B$17,0))),""))</f>
        <v/>
      </c>
      <c r="BM194" s="81" t="str">
        <f aca="false">IF(I194="","",IFERROR(1/(1/INDEX(Lists!$D$6:$D$17,MATCH(I194,Lists!$B$6:$B$17,0))),""))</f>
        <v/>
      </c>
      <c r="BN194" s="76" t="str">
        <f aca="false">IF(AN194="","",MAX(BK194,_xlfn.MAXIFS(AN$6:AN194,BJ$6:BJ194,BJ194)))</f>
        <v/>
      </c>
      <c r="BO194" s="83" t="str">
        <f aca="false">IF(AN194="","",(AN194-BN194)/BN194)</f>
        <v/>
      </c>
      <c r="BP194" s="66" t="n">
        <f aca="false">IF(OR(B194="",AL194=""),0,IF(OR(Settings!$C$28="All Accounts",BJ194=Settings!$C$28),1,0))</f>
        <v>0</v>
      </c>
      <c r="BQ194" s="66" t="str">
        <f aca="false">IF(BP194=1,SUM(BP$6:BP194),"")</f>
        <v/>
      </c>
      <c r="BR194" s="76" t="str">
        <f aca="false">IF(BP194=1,ROUND(Settings!$C$29+SUMIFS(AM$6:AM194,BP$6:BP194,1),2),"")</f>
        <v/>
      </c>
      <c r="BS194" s="76" t="str">
        <f aca="false">IF(BP194=1,MAX(Settings!$C$29,MAX(BR$6:BR194)),"")</f>
        <v/>
      </c>
      <c r="BT194" s="83" t="str">
        <f aca="false">IF(BP194=1,(BR194-BS194)/BS194,"")</f>
        <v/>
      </c>
      <c r="BU194" s="66" t="str">
        <f aca="false">IF(BP194=1,IF(AL194="Win",1+IF(BQ194=1,0,INDEX(BU$5:BU193,MATCH(BQ194-1,BQ$5:BQ193,0))),0),"")</f>
        <v/>
      </c>
      <c r="BV194" s="66" t="str">
        <f aca="false">IF(BP194=1,IF(AL194="Loss",1+IF(BQ194=1,0,INDEX(BV$5:BV193,MATCH(BQ194-1,BQ$5:BQ193,0))),0),"")</f>
        <v/>
      </c>
    </row>
    <row r="195" customFormat="false" ht="15" hidden="false" customHeight="false" outlineLevel="0" collapsed="false">
      <c r="A195" s="66" t="str">
        <f aca="false">IF(B195="","",ROW()-5)</f>
        <v/>
      </c>
      <c r="B195" s="67"/>
      <c r="C195" s="68" t="str">
        <f aca="false">IF(B195="","",CHOOSE(WEEKDAY(B195,2),"Mon","Tue","Wed","Thu","Fri","Sat","Sun"))</f>
        <v/>
      </c>
      <c r="D195" s="66" t="str">
        <f aca="false">IF(B195="","",WEEKNUM(B195,2))</f>
        <v/>
      </c>
      <c r="E195" s="69"/>
      <c r="F195" s="69"/>
      <c r="G195" s="70"/>
      <c r="H195" s="70"/>
      <c r="I195" s="69"/>
      <c r="J195" s="69"/>
      <c r="K195" s="69"/>
      <c r="L195" s="71"/>
      <c r="M195" s="69"/>
      <c r="N195" s="69"/>
      <c r="O195" s="69"/>
      <c r="P195" s="71"/>
      <c r="Q195" s="69"/>
      <c r="R195" s="69"/>
      <c r="S195" s="69"/>
      <c r="T195" s="69"/>
      <c r="U195" s="69"/>
      <c r="V195" s="69"/>
      <c r="W195" s="69"/>
      <c r="X195" s="66" t="str">
        <f aca="false">IF(B195="","",COUNTIF(Q195:W195,"Yes"))</f>
        <v/>
      </c>
      <c r="Y195" s="68" t="str">
        <f aca="false">IF(B195="","",IF(X195&gt;=Settings!$C$16,"A+",IF(X195&gt;=Settings!$C$17,"A",IF(X195&gt;=Settings!$C$18,"B","C"))))</f>
        <v/>
      </c>
      <c r="Z195" s="72"/>
      <c r="AA195" s="72"/>
      <c r="AB195" s="72"/>
      <c r="AC195" s="72"/>
      <c r="AD195" s="72"/>
      <c r="AE195" s="72"/>
      <c r="AF195" s="73"/>
      <c r="AG195" s="74"/>
      <c r="AH195" s="75"/>
      <c r="AI195" s="76" t="str">
        <f aca="false">IF(B195="","",ROUND(IF(AG195="",Settings!$C$5,AG195)*AW195,2))</f>
        <v/>
      </c>
      <c r="AJ195" s="77" t="str">
        <f aca="false">IF(OR(B195="",AB195="",AC195="",AD195=""),"",IFERROR(ROUND(ABS(AD195-AB195)/ABS(AB195-AC195),2),""))</f>
        <v/>
      </c>
      <c r="AK195" s="78" t="str">
        <f aca="false">IF(OR(B195="",AB195="",AC195="",AE195=""),"",IFERROR(ROUND(IF(J195="Short",AB195-AE195,AE195-AB195)/ABS(AB195-AC195),2),""))</f>
        <v/>
      </c>
      <c r="AL195" s="68" t="str">
        <f aca="false">IF(AK195="","",IF(ABS(AK195)&lt;=Settings!$C$6,"BE",IF(AK195&gt;0,"Win","Loss")))</f>
        <v/>
      </c>
      <c r="AM195" s="79" t="str">
        <f aca="false">IF(OR(AK195="",AI195=""),"",ROUND(AK195*AI195-N(AH195),2))</f>
        <v/>
      </c>
      <c r="AN195" s="76" t="str">
        <f aca="false">IF(AM195="","",ROUND(BK195+SUMIFS(AM$6:AM195,BJ$6:BJ195,BJ195),2))</f>
        <v/>
      </c>
      <c r="AO195" s="78" t="str">
        <f aca="false">IF(AK195="","",ROUND(SUMIFS(AK$6:AK195,BJ$6:BJ195,BJ195),2))</f>
        <v/>
      </c>
      <c r="AP195" s="80" t="str">
        <f aca="false">IF(OR(AK195="",BL195=""),"",IFERROR(ROUND(IF(J195="Short",AB195-AE195,AE195-AB195)/BL195,1),""))</f>
        <v/>
      </c>
      <c r="AQ195" s="66" t="str">
        <f aca="false">IF(OR(G195="",H195=""),"",ROUND(MOD(H195-G195,1)*1440,0))</f>
        <v/>
      </c>
      <c r="AR195" s="68" t="str">
        <f aca="false">IF(AQ195="","",IF(AQ195&lt;15,"Under 15m",IF(AQ195&lt;60,"15-60m",IF(AQ195&lt;240,"1-4 hours","4+ hours"))))</f>
        <v/>
      </c>
      <c r="AS195" s="66" t="str">
        <f aca="false">IF(G195="","",HOUR(G195))</f>
        <v/>
      </c>
      <c r="AT195" s="80" t="str">
        <f aca="false">IF(OR(Z195="",AB195="",BL195=""),"",IFERROR(ROUND(IF(J195="Short",Z195-AB195,AB195-Z195)/BL195,1),""))</f>
        <v/>
      </c>
      <c r="AU195" s="68" t="str">
        <f aca="false">IF(OR(AA195="",AC195=""),"",IF(AA195=AC195,"No","Yes"))</f>
        <v/>
      </c>
      <c r="AV195" s="81" t="str">
        <f aca="false">IF(OR(B195="",BL195="",BM195="",AB195="",AC195=""),"",IFERROR(ROUND(AI195/(ABS(AB195-AC195)/BL195*BM195),2),""))</f>
        <v/>
      </c>
      <c r="AW195" s="76" t="str">
        <f aca="false">IF(B195="","",ROUND(BK195+SUMIFS(AM$5:AM194,BJ$5:BJ194,BJ195),2))</f>
        <v/>
      </c>
      <c r="AX195" s="66" t="str">
        <f aca="false">IF(B195="","",COUNTIFS(B$6:B195,B195,BJ$6:BJ195,BJ195))</f>
        <v/>
      </c>
      <c r="AY195" s="79" t="str">
        <f aca="false">IF(B195="","",ROUND(SUMIFS(AM$5:AM194,B$5:B194,B195,BJ$5:BJ194,BJ195),2))</f>
        <v/>
      </c>
      <c r="AZ195" s="79" t="str">
        <f aca="false">IF(AM195="","",ROUND(AY195+AM195,2))</f>
        <v/>
      </c>
      <c r="BA195" s="79" t="str">
        <f aca="false">IF(B195="","",ROUND(SUMIFS(AM$5:AM194,B$5:B194,"&gt;="&amp;(B195-WEEKDAY(B195,2)+1),B$5:B194,"&lt;="&amp;B195,BJ$5:BJ194,BJ195),2))</f>
        <v/>
      </c>
      <c r="BB195" s="68" t="str">
        <f aca="false">IF(B195="","",IF(AND(AF195&lt;&gt;"",AV195&lt;&gt;"",N(AF195)&gt;N(AV195)*(1+Settings!$C$13)),"Oversized",IF(AX195&gt;Settings!$C$10,"Overtraded",IF(AY195&lt;=-Settings!$C$11*(AW195-AY195),"Daily loss hit",IF(BA195&lt;=-Settings!$C$12*(AW195-BA195),"Weekly loss hit","OK")))))</f>
        <v/>
      </c>
      <c r="BC195" s="69"/>
      <c r="BD195" s="69"/>
      <c r="BE195" s="69"/>
      <c r="BF195" s="73"/>
      <c r="BG195" s="73"/>
      <c r="BH195" s="71"/>
      <c r="BI195" s="71"/>
      <c r="BJ195" s="68" t="str">
        <f aca="false">IF(B195="","",IF(E195="",Settings!$F$5,E195))</f>
        <v/>
      </c>
      <c r="BK195" s="76" t="str">
        <f aca="false">IF(B195="","",IFERROR(INDEX(Settings!$G$5:$G$10,MATCH(BJ195,Settings!$F$5:$F$10,0)),Settings!$G$5))</f>
        <v/>
      </c>
      <c r="BL195" s="82" t="str">
        <f aca="false">IF(I195="","",IFERROR(1/(1/INDEX(Lists!$C$6:$C$17,MATCH(I195,Lists!$B$6:$B$17,0))),""))</f>
        <v/>
      </c>
      <c r="BM195" s="81" t="str">
        <f aca="false">IF(I195="","",IFERROR(1/(1/INDEX(Lists!$D$6:$D$17,MATCH(I195,Lists!$B$6:$B$17,0))),""))</f>
        <v/>
      </c>
      <c r="BN195" s="76" t="str">
        <f aca="false">IF(AN195="","",MAX(BK195,_xlfn.MAXIFS(AN$6:AN195,BJ$6:BJ195,BJ195)))</f>
        <v/>
      </c>
      <c r="BO195" s="83" t="str">
        <f aca="false">IF(AN195="","",(AN195-BN195)/BN195)</f>
        <v/>
      </c>
      <c r="BP195" s="66" t="n">
        <f aca="false">IF(OR(B195="",AL195=""),0,IF(OR(Settings!$C$28="All Accounts",BJ195=Settings!$C$28),1,0))</f>
        <v>0</v>
      </c>
      <c r="BQ195" s="66" t="str">
        <f aca="false">IF(BP195=1,SUM(BP$6:BP195),"")</f>
        <v/>
      </c>
      <c r="BR195" s="76" t="str">
        <f aca="false">IF(BP195=1,ROUND(Settings!$C$29+SUMIFS(AM$6:AM195,BP$6:BP195,1),2),"")</f>
        <v/>
      </c>
      <c r="BS195" s="76" t="str">
        <f aca="false">IF(BP195=1,MAX(Settings!$C$29,MAX(BR$6:BR195)),"")</f>
        <v/>
      </c>
      <c r="BT195" s="83" t="str">
        <f aca="false">IF(BP195=1,(BR195-BS195)/BS195,"")</f>
        <v/>
      </c>
      <c r="BU195" s="66" t="str">
        <f aca="false">IF(BP195=1,IF(AL195="Win",1+IF(BQ195=1,0,INDEX(BU$5:BU194,MATCH(BQ195-1,BQ$5:BQ194,0))),0),"")</f>
        <v/>
      </c>
      <c r="BV195" s="66" t="str">
        <f aca="false">IF(BP195=1,IF(AL195="Loss",1+IF(BQ195=1,0,INDEX(BV$5:BV194,MATCH(BQ195-1,BQ$5:BQ194,0))),0),"")</f>
        <v/>
      </c>
    </row>
    <row r="196" customFormat="false" ht="15" hidden="false" customHeight="false" outlineLevel="0" collapsed="false">
      <c r="A196" s="66" t="str">
        <f aca="false">IF(B196="","",ROW()-5)</f>
        <v/>
      </c>
      <c r="B196" s="67"/>
      <c r="C196" s="68" t="str">
        <f aca="false">IF(B196="","",CHOOSE(WEEKDAY(B196,2),"Mon","Tue","Wed","Thu","Fri","Sat","Sun"))</f>
        <v/>
      </c>
      <c r="D196" s="66" t="str">
        <f aca="false">IF(B196="","",WEEKNUM(B196,2))</f>
        <v/>
      </c>
      <c r="E196" s="69"/>
      <c r="F196" s="69"/>
      <c r="G196" s="70"/>
      <c r="H196" s="70"/>
      <c r="I196" s="69"/>
      <c r="J196" s="69"/>
      <c r="K196" s="69"/>
      <c r="L196" s="71"/>
      <c r="M196" s="69"/>
      <c r="N196" s="69"/>
      <c r="O196" s="69"/>
      <c r="P196" s="71"/>
      <c r="Q196" s="69"/>
      <c r="R196" s="69"/>
      <c r="S196" s="69"/>
      <c r="T196" s="69"/>
      <c r="U196" s="69"/>
      <c r="V196" s="69"/>
      <c r="W196" s="69"/>
      <c r="X196" s="66" t="str">
        <f aca="false">IF(B196="","",COUNTIF(Q196:W196,"Yes"))</f>
        <v/>
      </c>
      <c r="Y196" s="68" t="str">
        <f aca="false">IF(B196="","",IF(X196&gt;=Settings!$C$16,"A+",IF(X196&gt;=Settings!$C$17,"A",IF(X196&gt;=Settings!$C$18,"B","C"))))</f>
        <v/>
      </c>
      <c r="Z196" s="72"/>
      <c r="AA196" s="72"/>
      <c r="AB196" s="72"/>
      <c r="AC196" s="72"/>
      <c r="AD196" s="72"/>
      <c r="AE196" s="72"/>
      <c r="AF196" s="73"/>
      <c r="AG196" s="74"/>
      <c r="AH196" s="75"/>
      <c r="AI196" s="76" t="str">
        <f aca="false">IF(B196="","",ROUND(IF(AG196="",Settings!$C$5,AG196)*AW196,2))</f>
        <v/>
      </c>
      <c r="AJ196" s="77" t="str">
        <f aca="false">IF(OR(B196="",AB196="",AC196="",AD196=""),"",IFERROR(ROUND(ABS(AD196-AB196)/ABS(AB196-AC196),2),""))</f>
        <v/>
      </c>
      <c r="AK196" s="78" t="str">
        <f aca="false">IF(OR(B196="",AB196="",AC196="",AE196=""),"",IFERROR(ROUND(IF(J196="Short",AB196-AE196,AE196-AB196)/ABS(AB196-AC196),2),""))</f>
        <v/>
      </c>
      <c r="AL196" s="68" t="str">
        <f aca="false">IF(AK196="","",IF(ABS(AK196)&lt;=Settings!$C$6,"BE",IF(AK196&gt;0,"Win","Loss")))</f>
        <v/>
      </c>
      <c r="AM196" s="79" t="str">
        <f aca="false">IF(OR(AK196="",AI196=""),"",ROUND(AK196*AI196-N(AH196),2))</f>
        <v/>
      </c>
      <c r="AN196" s="76" t="str">
        <f aca="false">IF(AM196="","",ROUND(BK196+SUMIFS(AM$6:AM196,BJ$6:BJ196,BJ196),2))</f>
        <v/>
      </c>
      <c r="AO196" s="78" t="str">
        <f aca="false">IF(AK196="","",ROUND(SUMIFS(AK$6:AK196,BJ$6:BJ196,BJ196),2))</f>
        <v/>
      </c>
      <c r="AP196" s="80" t="str">
        <f aca="false">IF(OR(AK196="",BL196=""),"",IFERROR(ROUND(IF(J196="Short",AB196-AE196,AE196-AB196)/BL196,1),""))</f>
        <v/>
      </c>
      <c r="AQ196" s="66" t="str">
        <f aca="false">IF(OR(G196="",H196=""),"",ROUND(MOD(H196-G196,1)*1440,0))</f>
        <v/>
      </c>
      <c r="AR196" s="68" t="str">
        <f aca="false">IF(AQ196="","",IF(AQ196&lt;15,"Under 15m",IF(AQ196&lt;60,"15-60m",IF(AQ196&lt;240,"1-4 hours","4+ hours"))))</f>
        <v/>
      </c>
      <c r="AS196" s="66" t="str">
        <f aca="false">IF(G196="","",HOUR(G196))</f>
        <v/>
      </c>
      <c r="AT196" s="80" t="str">
        <f aca="false">IF(OR(Z196="",AB196="",BL196=""),"",IFERROR(ROUND(IF(J196="Short",Z196-AB196,AB196-Z196)/BL196,1),""))</f>
        <v/>
      </c>
      <c r="AU196" s="68" t="str">
        <f aca="false">IF(OR(AA196="",AC196=""),"",IF(AA196=AC196,"No","Yes"))</f>
        <v/>
      </c>
      <c r="AV196" s="81" t="str">
        <f aca="false">IF(OR(B196="",BL196="",BM196="",AB196="",AC196=""),"",IFERROR(ROUND(AI196/(ABS(AB196-AC196)/BL196*BM196),2),""))</f>
        <v/>
      </c>
      <c r="AW196" s="76" t="str">
        <f aca="false">IF(B196="","",ROUND(BK196+SUMIFS(AM$5:AM195,BJ$5:BJ195,BJ196),2))</f>
        <v/>
      </c>
      <c r="AX196" s="66" t="str">
        <f aca="false">IF(B196="","",COUNTIFS(B$6:B196,B196,BJ$6:BJ196,BJ196))</f>
        <v/>
      </c>
      <c r="AY196" s="79" t="str">
        <f aca="false">IF(B196="","",ROUND(SUMIFS(AM$5:AM195,B$5:B195,B196,BJ$5:BJ195,BJ196),2))</f>
        <v/>
      </c>
      <c r="AZ196" s="79" t="str">
        <f aca="false">IF(AM196="","",ROUND(AY196+AM196,2))</f>
        <v/>
      </c>
      <c r="BA196" s="79" t="str">
        <f aca="false">IF(B196="","",ROUND(SUMIFS(AM$5:AM195,B$5:B195,"&gt;="&amp;(B196-WEEKDAY(B196,2)+1),B$5:B195,"&lt;="&amp;B196,BJ$5:BJ195,BJ196),2))</f>
        <v/>
      </c>
      <c r="BB196" s="68" t="str">
        <f aca="false">IF(B196="","",IF(AND(AF196&lt;&gt;"",AV196&lt;&gt;"",N(AF196)&gt;N(AV196)*(1+Settings!$C$13)),"Oversized",IF(AX196&gt;Settings!$C$10,"Overtraded",IF(AY196&lt;=-Settings!$C$11*(AW196-AY196),"Daily loss hit",IF(BA196&lt;=-Settings!$C$12*(AW196-BA196),"Weekly loss hit","OK")))))</f>
        <v/>
      </c>
      <c r="BC196" s="69"/>
      <c r="BD196" s="69"/>
      <c r="BE196" s="69"/>
      <c r="BF196" s="73"/>
      <c r="BG196" s="73"/>
      <c r="BH196" s="71"/>
      <c r="BI196" s="71"/>
      <c r="BJ196" s="68" t="str">
        <f aca="false">IF(B196="","",IF(E196="",Settings!$F$5,E196))</f>
        <v/>
      </c>
      <c r="BK196" s="76" t="str">
        <f aca="false">IF(B196="","",IFERROR(INDEX(Settings!$G$5:$G$10,MATCH(BJ196,Settings!$F$5:$F$10,0)),Settings!$G$5))</f>
        <v/>
      </c>
      <c r="BL196" s="82" t="str">
        <f aca="false">IF(I196="","",IFERROR(1/(1/INDEX(Lists!$C$6:$C$17,MATCH(I196,Lists!$B$6:$B$17,0))),""))</f>
        <v/>
      </c>
      <c r="BM196" s="81" t="str">
        <f aca="false">IF(I196="","",IFERROR(1/(1/INDEX(Lists!$D$6:$D$17,MATCH(I196,Lists!$B$6:$B$17,0))),""))</f>
        <v/>
      </c>
      <c r="BN196" s="76" t="str">
        <f aca="false">IF(AN196="","",MAX(BK196,_xlfn.MAXIFS(AN$6:AN196,BJ$6:BJ196,BJ196)))</f>
        <v/>
      </c>
      <c r="BO196" s="83" t="str">
        <f aca="false">IF(AN196="","",(AN196-BN196)/BN196)</f>
        <v/>
      </c>
      <c r="BP196" s="66" t="n">
        <f aca="false">IF(OR(B196="",AL196=""),0,IF(OR(Settings!$C$28="All Accounts",BJ196=Settings!$C$28),1,0))</f>
        <v>0</v>
      </c>
      <c r="BQ196" s="66" t="str">
        <f aca="false">IF(BP196=1,SUM(BP$6:BP196),"")</f>
        <v/>
      </c>
      <c r="BR196" s="76" t="str">
        <f aca="false">IF(BP196=1,ROUND(Settings!$C$29+SUMIFS(AM$6:AM196,BP$6:BP196,1),2),"")</f>
        <v/>
      </c>
      <c r="BS196" s="76" t="str">
        <f aca="false">IF(BP196=1,MAX(Settings!$C$29,MAX(BR$6:BR196)),"")</f>
        <v/>
      </c>
      <c r="BT196" s="83" t="str">
        <f aca="false">IF(BP196=1,(BR196-BS196)/BS196,"")</f>
        <v/>
      </c>
      <c r="BU196" s="66" t="str">
        <f aca="false">IF(BP196=1,IF(AL196="Win",1+IF(BQ196=1,0,INDEX(BU$5:BU195,MATCH(BQ196-1,BQ$5:BQ195,0))),0),"")</f>
        <v/>
      </c>
      <c r="BV196" s="66" t="str">
        <f aca="false">IF(BP196=1,IF(AL196="Loss",1+IF(BQ196=1,0,INDEX(BV$5:BV195,MATCH(BQ196-1,BQ$5:BQ195,0))),0),"")</f>
        <v/>
      </c>
    </row>
    <row r="197" customFormat="false" ht="15" hidden="false" customHeight="false" outlineLevel="0" collapsed="false">
      <c r="A197" s="66" t="str">
        <f aca="false">IF(B197="","",ROW()-5)</f>
        <v/>
      </c>
      <c r="B197" s="67"/>
      <c r="C197" s="68" t="str">
        <f aca="false">IF(B197="","",CHOOSE(WEEKDAY(B197,2),"Mon","Tue","Wed","Thu","Fri","Sat","Sun"))</f>
        <v/>
      </c>
      <c r="D197" s="66" t="str">
        <f aca="false">IF(B197="","",WEEKNUM(B197,2))</f>
        <v/>
      </c>
      <c r="E197" s="69"/>
      <c r="F197" s="69"/>
      <c r="G197" s="70"/>
      <c r="H197" s="70"/>
      <c r="I197" s="69"/>
      <c r="J197" s="69"/>
      <c r="K197" s="69"/>
      <c r="L197" s="71"/>
      <c r="M197" s="69"/>
      <c r="N197" s="69"/>
      <c r="O197" s="69"/>
      <c r="P197" s="71"/>
      <c r="Q197" s="69"/>
      <c r="R197" s="69"/>
      <c r="S197" s="69"/>
      <c r="T197" s="69"/>
      <c r="U197" s="69"/>
      <c r="V197" s="69"/>
      <c r="W197" s="69"/>
      <c r="X197" s="66" t="str">
        <f aca="false">IF(B197="","",COUNTIF(Q197:W197,"Yes"))</f>
        <v/>
      </c>
      <c r="Y197" s="68" t="str">
        <f aca="false">IF(B197="","",IF(X197&gt;=Settings!$C$16,"A+",IF(X197&gt;=Settings!$C$17,"A",IF(X197&gt;=Settings!$C$18,"B","C"))))</f>
        <v/>
      </c>
      <c r="Z197" s="72"/>
      <c r="AA197" s="72"/>
      <c r="AB197" s="72"/>
      <c r="AC197" s="72"/>
      <c r="AD197" s="72"/>
      <c r="AE197" s="72"/>
      <c r="AF197" s="73"/>
      <c r="AG197" s="74"/>
      <c r="AH197" s="75"/>
      <c r="AI197" s="76" t="str">
        <f aca="false">IF(B197="","",ROUND(IF(AG197="",Settings!$C$5,AG197)*AW197,2))</f>
        <v/>
      </c>
      <c r="AJ197" s="77" t="str">
        <f aca="false">IF(OR(B197="",AB197="",AC197="",AD197=""),"",IFERROR(ROUND(ABS(AD197-AB197)/ABS(AB197-AC197),2),""))</f>
        <v/>
      </c>
      <c r="AK197" s="78" t="str">
        <f aca="false">IF(OR(B197="",AB197="",AC197="",AE197=""),"",IFERROR(ROUND(IF(J197="Short",AB197-AE197,AE197-AB197)/ABS(AB197-AC197),2),""))</f>
        <v/>
      </c>
      <c r="AL197" s="68" t="str">
        <f aca="false">IF(AK197="","",IF(ABS(AK197)&lt;=Settings!$C$6,"BE",IF(AK197&gt;0,"Win","Loss")))</f>
        <v/>
      </c>
      <c r="AM197" s="79" t="str">
        <f aca="false">IF(OR(AK197="",AI197=""),"",ROUND(AK197*AI197-N(AH197),2))</f>
        <v/>
      </c>
      <c r="AN197" s="76" t="str">
        <f aca="false">IF(AM197="","",ROUND(BK197+SUMIFS(AM$6:AM197,BJ$6:BJ197,BJ197),2))</f>
        <v/>
      </c>
      <c r="AO197" s="78" t="str">
        <f aca="false">IF(AK197="","",ROUND(SUMIFS(AK$6:AK197,BJ$6:BJ197,BJ197),2))</f>
        <v/>
      </c>
      <c r="AP197" s="80" t="str">
        <f aca="false">IF(OR(AK197="",BL197=""),"",IFERROR(ROUND(IF(J197="Short",AB197-AE197,AE197-AB197)/BL197,1),""))</f>
        <v/>
      </c>
      <c r="AQ197" s="66" t="str">
        <f aca="false">IF(OR(G197="",H197=""),"",ROUND(MOD(H197-G197,1)*1440,0))</f>
        <v/>
      </c>
      <c r="AR197" s="68" t="str">
        <f aca="false">IF(AQ197="","",IF(AQ197&lt;15,"Under 15m",IF(AQ197&lt;60,"15-60m",IF(AQ197&lt;240,"1-4 hours","4+ hours"))))</f>
        <v/>
      </c>
      <c r="AS197" s="66" t="str">
        <f aca="false">IF(G197="","",HOUR(G197))</f>
        <v/>
      </c>
      <c r="AT197" s="80" t="str">
        <f aca="false">IF(OR(Z197="",AB197="",BL197=""),"",IFERROR(ROUND(IF(J197="Short",Z197-AB197,AB197-Z197)/BL197,1),""))</f>
        <v/>
      </c>
      <c r="AU197" s="68" t="str">
        <f aca="false">IF(OR(AA197="",AC197=""),"",IF(AA197=AC197,"No","Yes"))</f>
        <v/>
      </c>
      <c r="AV197" s="81" t="str">
        <f aca="false">IF(OR(B197="",BL197="",BM197="",AB197="",AC197=""),"",IFERROR(ROUND(AI197/(ABS(AB197-AC197)/BL197*BM197),2),""))</f>
        <v/>
      </c>
      <c r="AW197" s="76" t="str">
        <f aca="false">IF(B197="","",ROUND(BK197+SUMIFS(AM$5:AM196,BJ$5:BJ196,BJ197),2))</f>
        <v/>
      </c>
      <c r="AX197" s="66" t="str">
        <f aca="false">IF(B197="","",COUNTIFS(B$6:B197,B197,BJ$6:BJ197,BJ197))</f>
        <v/>
      </c>
      <c r="AY197" s="79" t="str">
        <f aca="false">IF(B197="","",ROUND(SUMIFS(AM$5:AM196,B$5:B196,B197,BJ$5:BJ196,BJ197),2))</f>
        <v/>
      </c>
      <c r="AZ197" s="79" t="str">
        <f aca="false">IF(AM197="","",ROUND(AY197+AM197,2))</f>
        <v/>
      </c>
      <c r="BA197" s="79" t="str">
        <f aca="false">IF(B197="","",ROUND(SUMIFS(AM$5:AM196,B$5:B196,"&gt;="&amp;(B197-WEEKDAY(B197,2)+1),B$5:B196,"&lt;="&amp;B197,BJ$5:BJ196,BJ197),2))</f>
        <v/>
      </c>
      <c r="BB197" s="68" t="str">
        <f aca="false">IF(B197="","",IF(AND(AF197&lt;&gt;"",AV197&lt;&gt;"",N(AF197)&gt;N(AV197)*(1+Settings!$C$13)),"Oversized",IF(AX197&gt;Settings!$C$10,"Overtraded",IF(AY197&lt;=-Settings!$C$11*(AW197-AY197),"Daily loss hit",IF(BA197&lt;=-Settings!$C$12*(AW197-BA197),"Weekly loss hit","OK")))))</f>
        <v/>
      </c>
      <c r="BC197" s="69"/>
      <c r="BD197" s="69"/>
      <c r="BE197" s="69"/>
      <c r="BF197" s="73"/>
      <c r="BG197" s="73"/>
      <c r="BH197" s="71"/>
      <c r="BI197" s="71"/>
      <c r="BJ197" s="68" t="str">
        <f aca="false">IF(B197="","",IF(E197="",Settings!$F$5,E197))</f>
        <v/>
      </c>
      <c r="BK197" s="76" t="str">
        <f aca="false">IF(B197="","",IFERROR(INDEX(Settings!$G$5:$G$10,MATCH(BJ197,Settings!$F$5:$F$10,0)),Settings!$G$5))</f>
        <v/>
      </c>
      <c r="BL197" s="82" t="str">
        <f aca="false">IF(I197="","",IFERROR(1/(1/INDEX(Lists!$C$6:$C$17,MATCH(I197,Lists!$B$6:$B$17,0))),""))</f>
        <v/>
      </c>
      <c r="BM197" s="81" t="str">
        <f aca="false">IF(I197="","",IFERROR(1/(1/INDEX(Lists!$D$6:$D$17,MATCH(I197,Lists!$B$6:$B$17,0))),""))</f>
        <v/>
      </c>
      <c r="BN197" s="76" t="str">
        <f aca="false">IF(AN197="","",MAX(BK197,_xlfn.MAXIFS(AN$6:AN197,BJ$6:BJ197,BJ197)))</f>
        <v/>
      </c>
      <c r="BO197" s="83" t="str">
        <f aca="false">IF(AN197="","",(AN197-BN197)/BN197)</f>
        <v/>
      </c>
      <c r="BP197" s="66" t="n">
        <f aca="false">IF(OR(B197="",AL197=""),0,IF(OR(Settings!$C$28="All Accounts",BJ197=Settings!$C$28),1,0))</f>
        <v>0</v>
      </c>
      <c r="BQ197" s="66" t="str">
        <f aca="false">IF(BP197=1,SUM(BP$6:BP197),"")</f>
        <v/>
      </c>
      <c r="BR197" s="76" t="str">
        <f aca="false">IF(BP197=1,ROUND(Settings!$C$29+SUMIFS(AM$6:AM197,BP$6:BP197,1),2),"")</f>
        <v/>
      </c>
      <c r="BS197" s="76" t="str">
        <f aca="false">IF(BP197=1,MAX(Settings!$C$29,MAX(BR$6:BR197)),"")</f>
        <v/>
      </c>
      <c r="BT197" s="83" t="str">
        <f aca="false">IF(BP197=1,(BR197-BS197)/BS197,"")</f>
        <v/>
      </c>
      <c r="BU197" s="66" t="str">
        <f aca="false">IF(BP197=1,IF(AL197="Win",1+IF(BQ197=1,0,INDEX(BU$5:BU196,MATCH(BQ197-1,BQ$5:BQ196,0))),0),"")</f>
        <v/>
      </c>
      <c r="BV197" s="66" t="str">
        <f aca="false">IF(BP197=1,IF(AL197="Loss",1+IF(BQ197=1,0,INDEX(BV$5:BV196,MATCH(BQ197-1,BQ$5:BQ196,0))),0),"")</f>
        <v/>
      </c>
    </row>
    <row r="198" customFormat="false" ht="15" hidden="false" customHeight="false" outlineLevel="0" collapsed="false">
      <c r="A198" s="66" t="str">
        <f aca="false">IF(B198="","",ROW()-5)</f>
        <v/>
      </c>
      <c r="B198" s="67"/>
      <c r="C198" s="68" t="str">
        <f aca="false">IF(B198="","",CHOOSE(WEEKDAY(B198,2),"Mon","Tue","Wed","Thu","Fri","Sat","Sun"))</f>
        <v/>
      </c>
      <c r="D198" s="66" t="str">
        <f aca="false">IF(B198="","",WEEKNUM(B198,2))</f>
        <v/>
      </c>
      <c r="E198" s="69"/>
      <c r="F198" s="69"/>
      <c r="G198" s="70"/>
      <c r="H198" s="70"/>
      <c r="I198" s="69"/>
      <c r="J198" s="69"/>
      <c r="K198" s="69"/>
      <c r="L198" s="71"/>
      <c r="M198" s="69"/>
      <c r="N198" s="69"/>
      <c r="O198" s="69"/>
      <c r="P198" s="71"/>
      <c r="Q198" s="69"/>
      <c r="R198" s="69"/>
      <c r="S198" s="69"/>
      <c r="T198" s="69"/>
      <c r="U198" s="69"/>
      <c r="V198" s="69"/>
      <c r="W198" s="69"/>
      <c r="X198" s="66" t="str">
        <f aca="false">IF(B198="","",COUNTIF(Q198:W198,"Yes"))</f>
        <v/>
      </c>
      <c r="Y198" s="68" t="str">
        <f aca="false">IF(B198="","",IF(X198&gt;=Settings!$C$16,"A+",IF(X198&gt;=Settings!$C$17,"A",IF(X198&gt;=Settings!$C$18,"B","C"))))</f>
        <v/>
      </c>
      <c r="Z198" s="72"/>
      <c r="AA198" s="72"/>
      <c r="AB198" s="72"/>
      <c r="AC198" s="72"/>
      <c r="AD198" s="72"/>
      <c r="AE198" s="72"/>
      <c r="AF198" s="73"/>
      <c r="AG198" s="74"/>
      <c r="AH198" s="75"/>
      <c r="AI198" s="76" t="str">
        <f aca="false">IF(B198="","",ROUND(IF(AG198="",Settings!$C$5,AG198)*AW198,2))</f>
        <v/>
      </c>
      <c r="AJ198" s="77" t="str">
        <f aca="false">IF(OR(B198="",AB198="",AC198="",AD198=""),"",IFERROR(ROUND(ABS(AD198-AB198)/ABS(AB198-AC198),2),""))</f>
        <v/>
      </c>
      <c r="AK198" s="78" t="str">
        <f aca="false">IF(OR(B198="",AB198="",AC198="",AE198=""),"",IFERROR(ROUND(IF(J198="Short",AB198-AE198,AE198-AB198)/ABS(AB198-AC198),2),""))</f>
        <v/>
      </c>
      <c r="AL198" s="68" t="str">
        <f aca="false">IF(AK198="","",IF(ABS(AK198)&lt;=Settings!$C$6,"BE",IF(AK198&gt;0,"Win","Loss")))</f>
        <v/>
      </c>
      <c r="AM198" s="79" t="str">
        <f aca="false">IF(OR(AK198="",AI198=""),"",ROUND(AK198*AI198-N(AH198),2))</f>
        <v/>
      </c>
      <c r="AN198" s="76" t="str">
        <f aca="false">IF(AM198="","",ROUND(BK198+SUMIFS(AM$6:AM198,BJ$6:BJ198,BJ198),2))</f>
        <v/>
      </c>
      <c r="AO198" s="78" t="str">
        <f aca="false">IF(AK198="","",ROUND(SUMIFS(AK$6:AK198,BJ$6:BJ198,BJ198),2))</f>
        <v/>
      </c>
      <c r="AP198" s="80" t="str">
        <f aca="false">IF(OR(AK198="",BL198=""),"",IFERROR(ROUND(IF(J198="Short",AB198-AE198,AE198-AB198)/BL198,1),""))</f>
        <v/>
      </c>
      <c r="AQ198" s="66" t="str">
        <f aca="false">IF(OR(G198="",H198=""),"",ROUND(MOD(H198-G198,1)*1440,0))</f>
        <v/>
      </c>
      <c r="AR198" s="68" t="str">
        <f aca="false">IF(AQ198="","",IF(AQ198&lt;15,"Under 15m",IF(AQ198&lt;60,"15-60m",IF(AQ198&lt;240,"1-4 hours","4+ hours"))))</f>
        <v/>
      </c>
      <c r="AS198" s="66" t="str">
        <f aca="false">IF(G198="","",HOUR(G198))</f>
        <v/>
      </c>
      <c r="AT198" s="80" t="str">
        <f aca="false">IF(OR(Z198="",AB198="",BL198=""),"",IFERROR(ROUND(IF(J198="Short",Z198-AB198,AB198-Z198)/BL198,1),""))</f>
        <v/>
      </c>
      <c r="AU198" s="68" t="str">
        <f aca="false">IF(OR(AA198="",AC198=""),"",IF(AA198=AC198,"No","Yes"))</f>
        <v/>
      </c>
      <c r="AV198" s="81" t="str">
        <f aca="false">IF(OR(B198="",BL198="",BM198="",AB198="",AC198=""),"",IFERROR(ROUND(AI198/(ABS(AB198-AC198)/BL198*BM198),2),""))</f>
        <v/>
      </c>
      <c r="AW198" s="76" t="str">
        <f aca="false">IF(B198="","",ROUND(BK198+SUMIFS(AM$5:AM197,BJ$5:BJ197,BJ198),2))</f>
        <v/>
      </c>
      <c r="AX198" s="66" t="str">
        <f aca="false">IF(B198="","",COUNTIFS(B$6:B198,B198,BJ$6:BJ198,BJ198))</f>
        <v/>
      </c>
      <c r="AY198" s="79" t="str">
        <f aca="false">IF(B198="","",ROUND(SUMIFS(AM$5:AM197,B$5:B197,B198,BJ$5:BJ197,BJ198),2))</f>
        <v/>
      </c>
      <c r="AZ198" s="79" t="str">
        <f aca="false">IF(AM198="","",ROUND(AY198+AM198,2))</f>
        <v/>
      </c>
      <c r="BA198" s="79" t="str">
        <f aca="false">IF(B198="","",ROUND(SUMIFS(AM$5:AM197,B$5:B197,"&gt;="&amp;(B198-WEEKDAY(B198,2)+1),B$5:B197,"&lt;="&amp;B198,BJ$5:BJ197,BJ198),2))</f>
        <v/>
      </c>
      <c r="BB198" s="68" t="str">
        <f aca="false">IF(B198="","",IF(AND(AF198&lt;&gt;"",AV198&lt;&gt;"",N(AF198)&gt;N(AV198)*(1+Settings!$C$13)),"Oversized",IF(AX198&gt;Settings!$C$10,"Overtraded",IF(AY198&lt;=-Settings!$C$11*(AW198-AY198),"Daily loss hit",IF(BA198&lt;=-Settings!$C$12*(AW198-BA198),"Weekly loss hit","OK")))))</f>
        <v/>
      </c>
      <c r="BC198" s="69"/>
      <c r="BD198" s="69"/>
      <c r="BE198" s="69"/>
      <c r="BF198" s="73"/>
      <c r="BG198" s="73"/>
      <c r="BH198" s="71"/>
      <c r="BI198" s="71"/>
      <c r="BJ198" s="68" t="str">
        <f aca="false">IF(B198="","",IF(E198="",Settings!$F$5,E198))</f>
        <v/>
      </c>
      <c r="BK198" s="76" t="str">
        <f aca="false">IF(B198="","",IFERROR(INDEX(Settings!$G$5:$G$10,MATCH(BJ198,Settings!$F$5:$F$10,0)),Settings!$G$5))</f>
        <v/>
      </c>
      <c r="BL198" s="82" t="str">
        <f aca="false">IF(I198="","",IFERROR(1/(1/INDEX(Lists!$C$6:$C$17,MATCH(I198,Lists!$B$6:$B$17,0))),""))</f>
        <v/>
      </c>
      <c r="BM198" s="81" t="str">
        <f aca="false">IF(I198="","",IFERROR(1/(1/INDEX(Lists!$D$6:$D$17,MATCH(I198,Lists!$B$6:$B$17,0))),""))</f>
        <v/>
      </c>
      <c r="BN198" s="76" t="str">
        <f aca="false">IF(AN198="","",MAX(BK198,_xlfn.MAXIFS(AN$6:AN198,BJ$6:BJ198,BJ198)))</f>
        <v/>
      </c>
      <c r="BO198" s="83" t="str">
        <f aca="false">IF(AN198="","",(AN198-BN198)/BN198)</f>
        <v/>
      </c>
      <c r="BP198" s="66" t="n">
        <f aca="false">IF(OR(B198="",AL198=""),0,IF(OR(Settings!$C$28="All Accounts",BJ198=Settings!$C$28),1,0))</f>
        <v>0</v>
      </c>
      <c r="BQ198" s="66" t="str">
        <f aca="false">IF(BP198=1,SUM(BP$6:BP198),"")</f>
        <v/>
      </c>
      <c r="BR198" s="76" t="str">
        <f aca="false">IF(BP198=1,ROUND(Settings!$C$29+SUMIFS(AM$6:AM198,BP$6:BP198,1),2),"")</f>
        <v/>
      </c>
      <c r="BS198" s="76" t="str">
        <f aca="false">IF(BP198=1,MAX(Settings!$C$29,MAX(BR$6:BR198)),"")</f>
        <v/>
      </c>
      <c r="BT198" s="83" t="str">
        <f aca="false">IF(BP198=1,(BR198-BS198)/BS198,"")</f>
        <v/>
      </c>
      <c r="BU198" s="66" t="str">
        <f aca="false">IF(BP198=1,IF(AL198="Win",1+IF(BQ198=1,0,INDEX(BU$5:BU197,MATCH(BQ198-1,BQ$5:BQ197,0))),0),"")</f>
        <v/>
      </c>
      <c r="BV198" s="66" t="str">
        <f aca="false">IF(BP198=1,IF(AL198="Loss",1+IF(BQ198=1,0,INDEX(BV$5:BV197,MATCH(BQ198-1,BQ$5:BQ197,0))),0),"")</f>
        <v/>
      </c>
    </row>
    <row r="199" customFormat="false" ht="15" hidden="false" customHeight="false" outlineLevel="0" collapsed="false">
      <c r="A199" s="66" t="str">
        <f aca="false">IF(B199="","",ROW()-5)</f>
        <v/>
      </c>
      <c r="B199" s="67"/>
      <c r="C199" s="68" t="str">
        <f aca="false">IF(B199="","",CHOOSE(WEEKDAY(B199,2),"Mon","Tue","Wed","Thu","Fri","Sat","Sun"))</f>
        <v/>
      </c>
      <c r="D199" s="66" t="str">
        <f aca="false">IF(B199="","",WEEKNUM(B199,2))</f>
        <v/>
      </c>
      <c r="E199" s="69"/>
      <c r="F199" s="69"/>
      <c r="G199" s="70"/>
      <c r="H199" s="70"/>
      <c r="I199" s="69"/>
      <c r="J199" s="69"/>
      <c r="K199" s="69"/>
      <c r="L199" s="71"/>
      <c r="M199" s="69"/>
      <c r="N199" s="69"/>
      <c r="O199" s="69"/>
      <c r="P199" s="71"/>
      <c r="Q199" s="69"/>
      <c r="R199" s="69"/>
      <c r="S199" s="69"/>
      <c r="T199" s="69"/>
      <c r="U199" s="69"/>
      <c r="V199" s="69"/>
      <c r="W199" s="69"/>
      <c r="X199" s="66" t="str">
        <f aca="false">IF(B199="","",COUNTIF(Q199:W199,"Yes"))</f>
        <v/>
      </c>
      <c r="Y199" s="68" t="str">
        <f aca="false">IF(B199="","",IF(X199&gt;=Settings!$C$16,"A+",IF(X199&gt;=Settings!$C$17,"A",IF(X199&gt;=Settings!$C$18,"B","C"))))</f>
        <v/>
      </c>
      <c r="Z199" s="72"/>
      <c r="AA199" s="72"/>
      <c r="AB199" s="72"/>
      <c r="AC199" s="72"/>
      <c r="AD199" s="72"/>
      <c r="AE199" s="72"/>
      <c r="AF199" s="73"/>
      <c r="AG199" s="74"/>
      <c r="AH199" s="75"/>
      <c r="AI199" s="76" t="str">
        <f aca="false">IF(B199="","",ROUND(IF(AG199="",Settings!$C$5,AG199)*AW199,2))</f>
        <v/>
      </c>
      <c r="AJ199" s="77" t="str">
        <f aca="false">IF(OR(B199="",AB199="",AC199="",AD199=""),"",IFERROR(ROUND(ABS(AD199-AB199)/ABS(AB199-AC199),2),""))</f>
        <v/>
      </c>
      <c r="AK199" s="78" t="str">
        <f aca="false">IF(OR(B199="",AB199="",AC199="",AE199=""),"",IFERROR(ROUND(IF(J199="Short",AB199-AE199,AE199-AB199)/ABS(AB199-AC199),2),""))</f>
        <v/>
      </c>
      <c r="AL199" s="68" t="str">
        <f aca="false">IF(AK199="","",IF(ABS(AK199)&lt;=Settings!$C$6,"BE",IF(AK199&gt;0,"Win","Loss")))</f>
        <v/>
      </c>
      <c r="AM199" s="79" t="str">
        <f aca="false">IF(OR(AK199="",AI199=""),"",ROUND(AK199*AI199-N(AH199),2))</f>
        <v/>
      </c>
      <c r="AN199" s="76" t="str">
        <f aca="false">IF(AM199="","",ROUND(BK199+SUMIFS(AM$6:AM199,BJ$6:BJ199,BJ199),2))</f>
        <v/>
      </c>
      <c r="AO199" s="78" t="str">
        <f aca="false">IF(AK199="","",ROUND(SUMIFS(AK$6:AK199,BJ$6:BJ199,BJ199),2))</f>
        <v/>
      </c>
      <c r="AP199" s="80" t="str">
        <f aca="false">IF(OR(AK199="",BL199=""),"",IFERROR(ROUND(IF(J199="Short",AB199-AE199,AE199-AB199)/BL199,1),""))</f>
        <v/>
      </c>
      <c r="AQ199" s="66" t="str">
        <f aca="false">IF(OR(G199="",H199=""),"",ROUND(MOD(H199-G199,1)*1440,0))</f>
        <v/>
      </c>
      <c r="AR199" s="68" t="str">
        <f aca="false">IF(AQ199="","",IF(AQ199&lt;15,"Under 15m",IF(AQ199&lt;60,"15-60m",IF(AQ199&lt;240,"1-4 hours","4+ hours"))))</f>
        <v/>
      </c>
      <c r="AS199" s="66" t="str">
        <f aca="false">IF(G199="","",HOUR(G199))</f>
        <v/>
      </c>
      <c r="AT199" s="80" t="str">
        <f aca="false">IF(OR(Z199="",AB199="",BL199=""),"",IFERROR(ROUND(IF(J199="Short",Z199-AB199,AB199-Z199)/BL199,1),""))</f>
        <v/>
      </c>
      <c r="AU199" s="68" t="str">
        <f aca="false">IF(OR(AA199="",AC199=""),"",IF(AA199=AC199,"No","Yes"))</f>
        <v/>
      </c>
      <c r="AV199" s="81" t="str">
        <f aca="false">IF(OR(B199="",BL199="",BM199="",AB199="",AC199=""),"",IFERROR(ROUND(AI199/(ABS(AB199-AC199)/BL199*BM199),2),""))</f>
        <v/>
      </c>
      <c r="AW199" s="76" t="str">
        <f aca="false">IF(B199="","",ROUND(BK199+SUMIFS(AM$5:AM198,BJ$5:BJ198,BJ199),2))</f>
        <v/>
      </c>
      <c r="AX199" s="66" t="str">
        <f aca="false">IF(B199="","",COUNTIFS(B$6:B199,B199,BJ$6:BJ199,BJ199))</f>
        <v/>
      </c>
      <c r="AY199" s="79" t="str">
        <f aca="false">IF(B199="","",ROUND(SUMIFS(AM$5:AM198,B$5:B198,B199,BJ$5:BJ198,BJ199),2))</f>
        <v/>
      </c>
      <c r="AZ199" s="79" t="str">
        <f aca="false">IF(AM199="","",ROUND(AY199+AM199,2))</f>
        <v/>
      </c>
      <c r="BA199" s="79" t="str">
        <f aca="false">IF(B199="","",ROUND(SUMIFS(AM$5:AM198,B$5:B198,"&gt;="&amp;(B199-WEEKDAY(B199,2)+1),B$5:B198,"&lt;="&amp;B199,BJ$5:BJ198,BJ199),2))</f>
        <v/>
      </c>
      <c r="BB199" s="68" t="str">
        <f aca="false">IF(B199="","",IF(AND(AF199&lt;&gt;"",AV199&lt;&gt;"",N(AF199)&gt;N(AV199)*(1+Settings!$C$13)),"Oversized",IF(AX199&gt;Settings!$C$10,"Overtraded",IF(AY199&lt;=-Settings!$C$11*(AW199-AY199),"Daily loss hit",IF(BA199&lt;=-Settings!$C$12*(AW199-BA199),"Weekly loss hit","OK")))))</f>
        <v/>
      </c>
      <c r="BC199" s="69"/>
      <c r="BD199" s="69"/>
      <c r="BE199" s="69"/>
      <c r="BF199" s="73"/>
      <c r="BG199" s="73"/>
      <c r="BH199" s="71"/>
      <c r="BI199" s="71"/>
      <c r="BJ199" s="68" t="str">
        <f aca="false">IF(B199="","",IF(E199="",Settings!$F$5,E199))</f>
        <v/>
      </c>
      <c r="BK199" s="76" t="str">
        <f aca="false">IF(B199="","",IFERROR(INDEX(Settings!$G$5:$G$10,MATCH(BJ199,Settings!$F$5:$F$10,0)),Settings!$G$5))</f>
        <v/>
      </c>
      <c r="BL199" s="82" t="str">
        <f aca="false">IF(I199="","",IFERROR(1/(1/INDEX(Lists!$C$6:$C$17,MATCH(I199,Lists!$B$6:$B$17,0))),""))</f>
        <v/>
      </c>
      <c r="BM199" s="81" t="str">
        <f aca="false">IF(I199="","",IFERROR(1/(1/INDEX(Lists!$D$6:$D$17,MATCH(I199,Lists!$B$6:$B$17,0))),""))</f>
        <v/>
      </c>
      <c r="BN199" s="76" t="str">
        <f aca="false">IF(AN199="","",MAX(BK199,_xlfn.MAXIFS(AN$6:AN199,BJ$6:BJ199,BJ199)))</f>
        <v/>
      </c>
      <c r="BO199" s="83" t="str">
        <f aca="false">IF(AN199="","",(AN199-BN199)/BN199)</f>
        <v/>
      </c>
      <c r="BP199" s="66" t="n">
        <f aca="false">IF(OR(B199="",AL199=""),0,IF(OR(Settings!$C$28="All Accounts",BJ199=Settings!$C$28),1,0))</f>
        <v>0</v>
      </c>
      <c r="BQ199" s="66" t="str">
        <f aca="false">IF(BP199=1,SUM(BP$6:BP199),"")</f>
        <v/>
      </c>
      <c r="BR199" s="76" t="str">
        <f aca="false">IF(BP199=1,ROUND(Settings!$C$29+SUMIFS(AM$6:AM199,BP$6:BP199,1),2),"")</f>
        <v/>
      </c>
      <c r="BS199" s="76" t="str">
        <f aca="false">IF(BP199=1,MAX(Settings!$C$29,MAX(BR$6:BR199)),"")</f>
        <v/>
      </c>
      <c r="BT199" s="83" t="str">
        <f aca="false">IF(BP199=1,(BR199-BS199)/BS199,"")</f>
        <v/>
      </c>
      <c r="BU199" s="66" t="str">
        <f aca="false">IF(BP199=1,IF(AL199="Win",1+IF(BQ199=1,0,INDEX(BU$5:BU198,MATCH(BQ199-1,BQ$5:BQ198,0))),0),"")</f>
        <v/>
      </c>
      <c r="BV199" s="66" t="str">
        <f aca="false">IF(BP199=1,IF(AL199="Loss",1+IF(BQ199=1,0,INDEX(BV$5:BV198,MATCH(BQ199-1,BQ$5:BQ198,0))),0),"")</f>
        <v/>
      </c>
    </row>
    <row r="200" customFormat="false" ht="15" hidden="false" customHeight="false" outlineLevel="0" collapsed="false">
      <c r="A200" s="66" t="str">
        <f aca="false">IF(B200="","",ROW()-5)</f>
        <v/>
      </c>
      <c r="B200" s="67"/>
      <c r="C200" s="68" t="str">
        <f aca="false">IF(B200="","",CHOOSE(WEEKDAY(B200,2),"Mon","Tue","Wed","Thu","Fri","Sat","Sun"))</f>
        <v/>
      </c>
      <c r="D200" s="66" t="str">
        <f aca="false">IF(B200="","",WEEKNUM(B200,2))</f>
        <v/>
      </c>
      <c r="E200" s="69"/>
      <c r="F200" s="69"/>
      <c r="G200" s="70"/>
      <c r="H200" s="70"/>
      <c r="I200" s="69"/>
      <c r="J200" s="69"/>
      <c r="K200" s="69"/>
      <c r="L200" s="71"/>
      <c r="M200" s="69"/>
      <c r="N200" s="69"/>
      <c r="O200" s="69"/>
      <c r="P200" s="71"/>
      <c r="Q200" s="69"/>
      <c r="R200" s="69"/>
      <c r="S200" s="69"/>
      <c r="T200" s="69"/>
      <c r="U200" s="69"/>
      <c r="V200" s="69"/>
      <c r="W200" s="69"/>
      <c r="X200" s="66" t="str">
        <f aca="false">IF(B200="","",COUNTIF(Q200:W200,"Yes"))</f>
        <v/>
      </c>
      <c r="Y200" s="68" t="str">
        <f aca="false">IF(B200="","",IF(X200&gt;=Settings!$C$16,"A+",IF(X200&gt;=Settings!$C$17,"A",IF(X200&gt;=Settings!$C$18,"B","C"))))</f>
        <v/>
      </c>
      <c r="Z200" s="72"/>
      <c r="AA200" s="72"/>
      <c r="AB200" s="72"/>
      <c r="AC200" s="72"/>
      <c r="AD200" s="72"/>
      <c r="AE200" s="72"/>
      <c r="AF200" s="73"/>
      <c r="AG200" s="74"/>
      <c r="AH200" s="75"/>
      <c r="AI200" s="76" t="str">
        <f aca="false">IF(B200="","",ROUND(IF(AG200="",Settings!$C$5,AG200)*AW200,2))</f>
        <v/>
      </c>
      <c r="AJ200" s="77" t="str">
        <f aca="false">IF(OR(B200="",AB200="",AC200="",AD200=""),"",IFERROR(ROUND(ABS(AD200-AB200)/ABS(AB200-AC200),2),""))</f>
        <v/>
      </c>
      <c r="AK200" s="78" t="str">
        <f aca="false">IF(OR(B200="",AB200="",AC200="",AE200=""),"",IFERROR(ROUND(IF(J200="Short",AB200-AE200,AE200-AB200)/ABS(AB200-AC200),2),""))</f>
        <v/>
      </c>
      <c r="AL200" s="68" t="str">
        <f aca="false">IF(AK200="","",IF(ABS(AK200)&lt;=Settings!$C$6,"BE",IF(AK200&gt;0,"Win","Loss")))</f>
        <v/>
      </c>
      <c r="AM200" s="79" t="str">
        <f aca="false">IF(OR(AK200="",AI200=""),"",ROUND(AK200*AI200-N(AH200),2))</f>
        <v/>
      </c>
      <c r="AN200" s="76" t="str">
        <f aca="false">IF(AM200="","",ROUND(BK200+SUMIFS(AM$6:AM200,BJ$6:BJ200,BJ200),2))</f>
        <v/>
      </c>
      <c r="AO200" s="78" t="str">
        <f aca="false">IF(AK200="","",ROUND(SUMIFS(AK$6:AK200,BJ$6:BJ200,BJ200),2))</f>
        <v/>
      </c>
      <c r="AP200" s="80" t="str">
        <f aca="false">IF(OR(AK200="",BL200=""),"",IFERROR(ROUND(IF(J200="Short",AB200-AE200,AE200-AB200)/BL200,1),""))</f>
        <v/>
      </c>
      <c r="AQ200" s="66" t="str">
        <f aca="false">IF(OR(G200="",H200=""),"",ROUND(MOD(H200-G200,1)*1440,0))</f>
        <v/>
      </c>
      <c r="AR200" s="68" t="str">
        <f aca="false">IF(AQ200="","",IF(AQ200&lt;15,"Under 15m",IF(AQ200&lt;60,"15-60m",IF(AQ200&lt;240,"1-4 hours","4+ hours"))))</f>
        <v/>
      </c>
      <c r="AS200" s="66" t="str">
        <f aca="false">IF(G200="","",HOUR(G200))</f>
        <v/>
      </c>
      <c r="AT200" s="80" t="str">
        <f aca="false">IF(OR(Z200="",AB200="",BL200=""),"",IFERROR(ROUND(IF(J200="Short",Z200-AB200,AB200-Z200)/BL200,1),""))</f>
        <v/>
      </c>
      <c r="AU200" s="68" t="str">
        <f aca="false">IF(OR(AA200="",AC200=""),"",IF(AA200=AC200,"No","Yes"))</f>
        <v/>
      </c>
      <c r="AV200" s="81" t="str">
        <f aca="false">IF(OR(B200="",BL200="",BM200="",AB200="",AC200=""),"",IFERROR(ROUND(AI200/(ABS(AB200-AC200)/BL200*BM200),2),""))</f>
        <v/>
      </c>
      <c r="AW200" s="76" t="str">
        <f aca="false">IF(B200="","",ROUND(BK200+SUMIFS(AM$5:AM199,BJ$5:BJ199,BJ200),2))</f>
        <v/>
      </c>
      <c r="AX200" s="66" t="str">
        <f aca="false">IF(B200="","",COUNTIFS(B$6:B200,B200,BJ$6:BJ200,BJ200))</f>
        <v/>
      </c>
      <c r="AY200" s="79" t="str">
        <f aca="false">IF(B200="","",ROUND(SUMIFS(AM$5:AM199,B$5:B199,B200,BJ$5:BJ199,BJ200),2))</f>
        <v/>
      </c>
      <c r="AZ200" s="79" t="str">
        <f aca="false">IF(AM200="","",ROUND(AY200+AM200,2))</f>
        <v/>
      </c>
      <c r="BA200" s="79" t="str">
        <f aca="false">IF(B200="","",ROUND(SUMIFS(AM$5:AM199,B$5:B199,"&gt;="&amp;(B200-WEEKDAY(B200,2)+1),B$5:B199,"&lt;="&amp;B200,BJ$5:BJ199,BJ200),2))</f>
        <v/>
      </c>
      <c r="BB200" s="68" t="str">
        <f aca="false">IF(B200="","",IF(AND(AF200&lt;&gt;"",AV200&lt;&gt;"",N(AF200)&gt;N(AV200)*(1+Settings!$C$13)),"Oversized",IF(AX200&gt;Settings!$C$10,"Overtraded",IF(AY200&lt;=-Settings!$C$11*(AW200-AY200),"Daily loss hit",IF(BA200&lt;=-Settings!$C$12*(AW200-BA200),"Weekly loss hit","OK")))))</f>
        <v/>
      </c>
      <c r="BC200" s="69"/>
      <c r="BD200" s="69"/>
      <c r="BE200" s="69"/>
      <c r="BF200" s="73"/>
      <c r="BG200" s="73"/>
      <c r="BH200" s="71"/>
      <c r="BI200" s="71"/>
      <c r="BJ200" s="68" t="str">
        <f aca="false">IF(B200="","",IF(E200="",Settings!$F$5,E200))</f>
        <v/>
      </c>
      <c r="BK200" s="76" t="str">
        <f aca="false">IF(B200="","",IFERROR(INDEX(Settings!$G$5:$G$10,MATCH(BJ200,Settings!$F$5:$F$10,0)),Settings!$G$5))</f>
        <v/>
      </c>
      <c r="BL200" s="82" t="str">
        <f aca="false">IF(I200="","",IFERROR(1/(1/INDEX(Lists!$C$6:$C$17,MATCH(I200,Lists!$B$6:$B$17,0))),""))</f>
        <v/>
      </c>
      <c r="BM200" s="81" t="str">
        <f aca="false">IF(I200="","",IFERROR(1/(1/INDEX(Lists!$D$6:$D$17,MATCH(I200,Lists!$B$6:$B$17,0))),""))</f>
        <v/>
      </c>
      <c r="BN200" s="76" t="str">
        <f aca="false">IF(AN200="","",MAX(BK200,_xlfn.MAXIFS(AN$6:AN200,BJ$6:BJ200,BJ200)))</f>
        <v/>
      </c>
      <c r="BO200" s="83" t="str">
        <f aca="false">IF(AN200="","",(AN200-BN200)/BN200)</f>
        <v/>
      </c>
      <c r="BP200" s="66" t="n">
        <f aca="false">IF(OR(B200="",AL200=""),0,IF(OR(Settings!$C$28="All Accounts",BJ200=Settings!$C$28),1,0))</f>
        <v>0</v>
      </c>
      <c r="BQ200" s="66" t="str">
        <f aca="false">IF(BP200=1,SUM(BP$6:BP200),"")</f>
        <v/>
      </c>
      <c r="BR200" s="76" t="str">
        <f aca="false">IF(BP200=1,ROUND(Settings!$C$29+SUMIFS(AM$6:AM200,BP$6:BP200,1),2),"")</f>
        <v/>
      </c>
      <c r="BS200" s="76" t="str">
        <f aca="false">IF(BP200=1,MAX(Settings!$C$29,MAX(BR$6:BR200)),"")</f>
        <v/>
      </c>
      <c r="BT200" s="83" t="str">
        <f aca="false">IF(BP200=1,(BR200-BS200)/BS200,"")</f>
        <v/>
      </c>
      <c r="BU200" s="66" t="str">
        <f aca="false">IF(BP200=1,IF(AL200="Win",1+IF(BQ200=1,0,INDEX(BU$5:BU199,MATCH(BQ200-1,BQ$5:BQ199,0))),0),"")</f>
        <v/>
      </c>
      <c r="BV200" s="66" t="str">
        <f aca="false">IF(BP200=1,IF(AL200="Loss",1+IF(BQ200=1,0,INDEX(BV$5:BV199,MATCH(BQ200-1,BQ$5:BQ199,0))),0),"")</f>
        <v/>
      </c>
    </row>
    <row r="201" customFormat="false" ht="15" hidden="false" customHeight="false" outlineLevel="0" collapsed="false">
      <c r="A201" s="66" t="str">
        <f aca="false">IF(B201="","",ROW()-5)</f>
        <v/>
      </c>
      <c r="B201" s="67"/>
      <c r="C201" s="68" t="str">
        <f aca="false">IF(B201="","",CHOOSE(WEEKDAY(B201,2),"Mon","Tue","Wed","Thu","Fri","Sat","Sun"))</f>
        <v/>
      </c>
      <c r="D201" s="66" t="str">
        <f aca="false">IF(B201="","",WEEKNUM(B201,2))</f>
        <v/>
      </c>
      <c r="E201" s="69"/>
      <c r="F201" s="69"/>
      <c r="G201" s="70"/>
      <c r="H201" s="70"/>
      <c r="I201" s="69"/>
      <c r="J201" s="69"/>
      <c r="K201" s="69"/>
      <c r="L201" s="71"/>
      <c r="M201" s="69"/>
      <c r="N201" s="69"/>
      <c r="O201" s="69"/>
      <c r="P201" s="71"/>
      <c r="Q201" s="69"/>
      <c r="R201" s="69"/>
      <c r="S201" s="69"/>
      <c r="T201" s="69"/>
      <c r="U201" s="69"/>
      <c r="V201" s="69"/>
      <c r="W201" s="69"/>
      <c r="X201" s="66" t="str">
        <f aca="false">IF(B201="","",COUNTIF(Q201:W201,"Yes"))</f>
        <v/>
      </c>
      <c r="Y201" s="68" t="str">
        <f aca="false">IF(B201="","",IF(X201&gt;=Settings!$C$16,"A+",IF(X201&gt;=Settings!$C$17,"A",IF(X201&gt;=Settings!$C$18,"B","C"))))</f>
        <v/>
      </c>
      <c r="Z201" s="72"/>
      <c r="AA201" s="72"/>
      <c r="AB201" s="72"/>
      <c r="AC201" s="72"/>
      <c r="AD201" s="72"/>
      <c r="AE201" s="72"/>
      <c r="AF201" s="73"/>
      <c r="AG201" s="74"/>
      <c r="AH201" s="75"/>
      <c r="AI201" s="76" t="str">
        <f aca="false">IF(B201="","",ROUND(IF(AG201="",Settings!$C$5,AG201)*AW201,2))</f>
        <v/>
      </c>
      <c r="AJ201" s="77" t="str">
        <f aca="false">IF(OR(B201="",AB201="",AC201="",AD201=""),"",IFERROR(ROUND(ABS(AD201-AB201)/ABS(AB201-AC201),2),""))</f>
        <v/>
      </c>
      <c r="AK201" s="78" t="str">
        <f aca="false">IF(OR(B201="",AB201="",AC201="",AE201=""),"",IFERROR(ROUND(IF(J201="Short",AB201-AE201,AE201-AB201)/ABS(AB201-AC201),2),""))</f>
        <v/>
      </c>
      <c r="AL201" s="68" t="str">
        <f aca="false">IF(AK201="","",IF(ABS(AK201)&lt;=Settings!$C$6,"BE",IF(AK201&gt;0,"Win","Loss")))</f>
        <v/>
      </c>
      <c r="AM201" s="79" t="str">
        <f aca="false">IF(OR(AK201="",AI201=""),"",ROUND(AK201*AI201-N(AH201),2))</f>
        <v/>
      </c>
      <c r="AN201" s="76" t="str">
        <f aca="false">IF(AM201="","",ROUND(BK201+SUMIFS(AM$6:AM201,BJ$6:BJ201,BJ201),2))</f>
        <v/>
      </c>
      <c r="AO201" s="78" t="str">
        <f aca="false">IF(AK201="","",ROUND(SUMIFS(AK$6:AK201,BJ$6:BJ201,BJ201),2))</f>
        <v/>
      </c>
      <c r="AP201" s="80" t="str">
        <f aca="false">IF(OR(AK201="",BL201=""),"",IFERROR(ROUND(IF(J201="Short",AB201-AE201,AE201-AB201)/BL201,1),""))</f>
        <v/>
      </c>
      <c r="AQ201" s="66" t="str">
        <f aca="false">IF(OR(G201="",H201=""),"",ROUND(MOD(H201-G201,1)*1440,0))</f>
        <v/>
      </c>
      <c r="AR201" s="68" t="str">
        <f aca="false">IF(AQ201="","",IF(AQ201&lt;15,"Under 15m",IF(AQ201&lt;60,"15-60m",IF(AQ201&lt;240,"1-4 hours","4+ hours"))))</f>
        <v/>
      </c>
      <c r="AS201" s="66" t="str">
        <f aca="false">IF(G201="","",HOUR(G201))</f>
        <v/>
      </c>
      <c r="AT201" s="80" t="str">
        <f aca="false">IF(OR(Z201="",AB201="",BL201=""),"",IFERROR(ROUND(IF(J201="Short",Z201-AB201,AB201-Z201)/BL201,1),""))</f>
        <v/>
      </c>
      <c r="AU201" s="68" t="str">
        <f aca="false">IF(OR(AA201="",AC201=""),"",IF(AA201=AC201,"No","Yes"))</f>
        <v/>
      </c>
      <c r="AV201" s="81" t="str">
        <f aca="false">IF(OR(B201="",BL201="",BM201="",AB201="",AC201=""),"",IFERROR(ROUND(AI201/(ABS(AB201-AC201)/BL201*BM201),2),""))</f>
        <v/>
      </c>
      <c r="AW201" s="76" t="str">
        <f aca="false">IF(B201="","",ROUND(BK201+SUMIFS(AM$5:AM200,BJ$5:BJ200,BJ201),2))</f>
        <v/>
      </c>
      <c r="AX201" s="66" t="str">
        <f aca="false">IF(B201="","",COUNTIFS(B$6:B201,B201,BJ$6:BJ201,BJ201))</f>
        <v/>
      </c>
      <c r="AY201" s="79" t="str">
        <f aca="false">IF(B201="","",ROUND(SUMIFS(AM$5:AM200,B$5:B200,B201,BJ$5:BJ200,BJ201),2))</f>
        <v/>
      </c>
      <c r="AZ201" s="79" t="str">
        <f aca="false">IF(AM201="","",ROUND(AY201+AM201,2))</f>
        <v/>
      </c>
      <c r="BA201" s="79" t="str">
        <f aca="false">IF(B201="","",ROUND(SUMIFS(AM$5:AM200,B$5:B200,"&gt;="&amp;(B201-WEEKDAY(B201,2)+1),B$5:B200,"&lt;="&amp;B201,BJ$5:BJ200,BJ201),2))</f>
        <v/>
      </c>
      <c r="BB201" s="68" t="str">
        <f aca="false">IF(B201="","",IF(AND(AF201&lt;&gt;"",AV201&lt;&gt;"",N(AF201)&gt;N(AV201)*(1+Settings!$C$13)),"Oversized",IF(AX201&gt;Settings!$C$10,"Overtraded",IF(AY201&lt;=-Settings!$C$11*(AW201-AY201),"Daily loss hit",IF(BA201&lt;=-Settings!$C$12*(AW201-BA201),"Weekly loss hit","OK")))))</f>
        <v/>
      </c>
      <c r="BC201" s="69"/>
      <c r="BD201" s="69"/>
      <c r="BE201" s="69"/>
      <c r="BF201" s="73"/>
      <c r="BG201" s="73"/>
      <c r="BH201" s="71"/>
      <c r="BI201" s="71"/>
      <c r="BJ201" s="68" t="str">
        <f aca="false">IF(B201="","",IF(E201="",Settings!$F$5,E201))</f>
        <v/>
      </c>
      <c r="BK201" s="76" t="str">
        <f aca="false">IF(B201="","",IFERROR(INDEX(Settings!$G$5:$G$10,MATCH(BJ201,Settings!$F$5:$F$10,0)),Settings!$G$5))</f>
        <v/>
      </c>
      <c r="BL201" s="82" t="str">
        <f aca="false">IF(I201="","",IFERROR(1/(1/INDEX(Lists!$C$6:$C$17,MATCH(I201,Lists!$B$6:$B$17,0))),""))</f>
        <v/>
      </c>
      <c r="BM201" s="81" t="str">
        <f aca="false">IF(I201="","",IFERROR(1/(1/INDEX(Lists!$D$6:$D$17,MATCH(I201,Lists!$B$6:$B$17,0))),""))</f>
        <v/>
      </c>
      <c r="BN201" s="76" t="str">
        <f aca="false">IF(AN201="","",MAX(BK201,_xlfn.MAXIFS(AN$6:AN201,BJ$6:BJ201,BJ201)))</f>
        <v/>
      </c>
      <c r="BO201" s="83" t="str">
        <f aca="false">IF(AN201="","",(AN201-BN201)/BN201)</f>
        <v/>
      </c>
      <c r="BP201" s="66" t="n">
        <f aca="false">IF(OR(B201="",AL201=""),0,IF(OR(Settings!$C$28="All Accounts",BJ201=Settings!$C$28),1,0))</f>
        <v>0</v>
      </c>
      <c r="BQ201" s="66" t="str">
        <f aca="false">IF(BP201=1,SUM(BP$6:BP201),"")</f>
        <v/>
      </c>
      <c r="BR201" s="76" t="str">
        <f aca="false">IF(BP201=1,ROUND(Settings!$C$29+SUMIFS(AM$6:AM201,BP$6:BP201,1),2),"")</f>
        <v/>
      </c>
      <c r="BS201" s="76" t="str">
        <f aca="false">IF(BP201=1,MAX(Settings!$C$29,MAX(BR$6:BR201)),"")</f>
        <v/>
      </c>
      <c r="BT201" s="83" t="str">
        <f aca="false">IF(BP201=1,(BR201-BS201)/BS201,"")</f>
        <v/>
      </c>
      <c r="BU201" s="66" t="str">
        <f aca="false">IF(BP201=1,IF(AL201="Win",1+IF(BQ201=1,0,INDEX(BU$5:BU200,MATCH(BQ201-1,BQ$5:BQ200,0))),0),"")</f>
        <v/>
      </c>
      <c r="BV201" s="66" t="str">
        <f aca="false">IF(BP201=1,IF(AL201="Loss",1+IF(BQ201=1,0,INDEX(BV$5:BV200,MATCH(BQ201-1,BQ$5:BQ200,0))),0),"")</f>
        <v/>
      </c>
    </row>
    <row r="202" customFormat="false" ht="15" hidden="false" customHeight="false" outlineLevel="0" collapsed="false">
      <c r="A202" s="66" t="str">
        <f aca="false">IF(B202="","",ROW()-5)</f>
        <v/>
      </c>
      <c r="B202" s="67"/>
      <c r="C202" s="68" t="str">
        <f aca="false">IF(B202="","",CHOOSE(WEEKDAY(B202,2),"Mon","Tue","Wed","Thu","Fri","Sat","Sun"))</f>
        <v/>
      </c>
      <c r="D202" s="66" t="str">
        <f aca="false">IF(B202="","",WEEKNUM(B202,2))</f>
        <v/>
      </c>
      <c r="E202" s="69"/>
      <c r="F202" s="69"/>
      <c r="G202" s="70"/>
      <c r="H202" s="70"/>
      <c r="I202" s="69"/>
      <c r="J202" s="69"/>
      <c r="K202" s="69"/>
      <c r="L202" s="71"/>
      <c r="M202" s="69"/>
      <c r="N202" s="69"/>
      <c r="O202" s="69"/>
      <c r="P202" s="71"/>
      <c r="Q202" s="69"/>
      <c r="R202" s="69"/>
      <c r="S202" s="69"/>
      <c r="T202" s="69"/>
      <c r="U202" s="69"/>
      <c r="V202" s="69"/>
      <c r="W202" s="69"/>
      <c r="X202" s="66" t="str">
        <f aca="false">IF(B202="","",COUNTIF(Q202:W202,"Yes"))</f>
        <v/>
      </c>
      <c r="Y202" s="68" t="str">
        <f aca="false">IF(B202="","",IF(X202&gt;=Settings!$C$16,"A+",IF(X202&gt;=Settings!$C$17,"A",IF(X202&gt;=Settings!$C$18,"B","C"))))</f>
        <v/>
      </c>
      <c r="Z202" s="72"/>
      <c r="AA202" s="72"/>
      <c r="AB202" s="72"/>
      <c r="AC202" s="72"/>
      <c r="AD202" s="72"/>
      <c r="AE202" s="72"/>
      <c r="AF202" s="73"/>
      <c r="AG202" s="74"/>
      <c r="AH202" s="75"/>
      <c r="AI202" s="76" t="str">
        <f aca="false">IF(B202="","",ROUND(IF(AG202="",Settings!$C$5,AG202)*AW202,2))</f>
        <v/>
      </c>
      <c r="AJ202" s="77" t="str">
        <f aca="false">IF(OR(B202="",AB202="",AC202="",AD202=""),"",IFERROR(ROUND(ABS(AD202-AB202)/ABS(AB202-AC202),2),""))</f>
        <v/>
      </c>
      <c r="AK202" s="78" t="str">
        <f aca="false">IF(OR(B202="",AB202="",AC202="",AE202=""),"",IFERROR(ROUND(IF(J202="Short",AB202-AE202,AE202-AB202)/ABS(AB202-AC202),2),""))</f>
        <v/>
      </c>
      <c r="AL202" s="68" t="str">
        <f aca="false">IF(AK202="","",IF(ABS(AK202)&lt;=Settings!$C$6,"BE",IF(AK202&gt;0,"Win","Loss")))</f>
        <v/>
      </c>
      <c r="AM202" s="79" t="str">
        <f aca="false">IF(OR(AK202="",AI202=""),"",ROUND(AK202*AI202-N(AH202),2))</f>
        <v/>
      </c>
      <c r="AN202" s="76" t="str">
        <f aca="false">IF(AM202="","",ROUND(BK202+SUMIFS(AM$6:AM202,BJ$6:BJ202,BJ202),2))</f>
        <v/>
      </c>
      <c r="AO202" s="78" t="str">
        <f aca="false">IF(AK202="","",ROUND(SUMIFS(AK$6:AK202,BJ$6:BJ202,BJ202),2))</f>
        <v/>
      </c>
      <c r="AP202" s="80" t="str">
        <f aca="false">IF(OR(AK202="",BL202=""),"",IFERROR(ROUND(IF(J202="Short",AB202-AE202,AE202-AB202)/BL202,1),""))</f>
        <v/>
      </c>
      <c r="AQ202" s="66" t="str">
        <f aca="false">IF(OR(G202="",H202=""),"",ROUND(MOD(H202-G202,1)*1440,0))</f>
        <v/>
      </c>
      <c r="AR202" s="68" t="str">
        <f aca="false">IF(AQ202="","",IF(AQ202&lt;15,"Under 15m",IF(AQ202&lt;60,"15-60m",IF(AQ202&lt;240,"1-4 hours","4+ hours"))))</f>
        <v/>
      </c>
      <c r="AS202" s="66" t="str">
        <f aca="false">IF(G202="","",HOUR(G202))</f>
        <v/>
      </c>
      <c r="AT202" s="80" t="str">
        <f aca="false">IF(OR(Z202="",AB202="",BL202=""),"",IFERROR(ROUND(IF(J202="Short",Z202-AB202,AB202-Z202)/BL202,1),""))</f>
        <v/>
      </c>
      <c r="AU202" s="68" t="str">
        <f aca="false">IF(OR(AA202="",AC202=""),"",IF(AA202=AC202,"No","Yes"))</f>
        <v/>
      </c>
      <c r="AV202" s="81" t="str">
        <f aca="false">IF(OR(B202="",BL202="",BM202="",AB202="",AC202=""),"",IFERROR(ROUND(AI202/(ABS(AB202-AC202)/BL202*BM202),2),""))</f>
        <v/>
      </c>
      <c r="AW202" s="76" t="str">
        <f aca="false">IF(B202="","",ROUND(BK202+SUMIFS(AM$5:AM201,BJ$5:BJ201,BJ202),2))</f>
        <v/>
      </c>
      <c r="AX202" s="66" t="str">
        <f aca="false">IF(B202="","",COUNTIFS(B$6:B202,B202,BJ$6:BJ202,BJ202))</f>
        <v/>
      </c>
      <c r="AY202" s="79" t="str">
        <f aca="false">IF(B202="","",ROUND(SUMIFS(AM$5:AM201,B$5:B201,B202,BJ$5:BJ201,BJ202),2))</f>
        <v/>
      </c>
      <c r="AZ202" s="79" t="str">
        <f aca="false">IF(AM202="","",ROUND(AY202+AM202,2))</f>
        <v/>
      </c>
      <c r="BA202" s="79" t="str">
        <f aca="false">IF(B202="","",ROUND(SUMIFS(AM$5:AM201,B$5:B201,"&gt;="&amp;(B202-WEEKDAY(B202,2)+1),B$5:B201,"&lt;="&amp;B202,BJ$5:BJ201,BJ202),2))</f>
        <v/>
      </c>
      <c r="BB202" s="68" t="str">
        <f aca="false">IF(B202="","",IF(AND(AF202&lt;&gt;"",AV202&lt;&gt;"",N(AF202)&gt;N(AV202)*(1+Settings!$C$13)),"Oversized",IF(AX202&gt;Settings!$C$10,"Overtraded",IF(AY202&lt;=-Settings!$C$11*(AW202-AY202),"Daily loss hit",IF(BA202&lt;=-Settings!$C$12*(AW202-BA202),"Weekly loss hit","OK")))))</f>
        <v/>
      </c>
      <c r="BC202" s="69"/>
      <c r="BD202" s="69"/>
      <c r="BE202" s="69"/>
      <c r="BF202" s="73"/>
      <c r="BG202" s="73"/>
      <c r="BH202" s="71"/>
      <c r="BI202" s="71"/>
      <c r="BJ202" s="68" t="str">
        <f aca="false">IF(B202="","",IF(E202="",Settings!$F$5,E202))</f>
        <v/>
      </c>
      <c r="BK202" s="76" t="str">
        <f aca="false">IF(B202="","",IFERROR(INDEX(Settings!$G$5:$G$10,MATCH(BJ202,Settings!$F$5:$F$10,0)),Settings!$G$5))</f>
        <v/>
      </c>
      <c r="BL202" s="82" t="str">
        <f aca="false">IF(I202="","",IFERROR(1/(1/INDEX(Lists!$C$6:$C$17,MATCH(I202,Lists!$B$6:$B$17,0))),""))</f>
        <v/>
      </c>
      <c r="BM202" s="81" t="str">
        <f aca="false">IF(I202="","",IFERROR(1/(1/INDEX(Lists!$D$6:$D$17,MATCH(I202,Lists!$B$6:$B$17,0))),""))</f>
        <v/>
      </c>
      <c r="BN202" s="76" t="str">
        <f aca="false">IF(AN202="","",MAX(BK202,_xlfn.MAXIFS(AN$6:AN202,BJ$6:BJ202,BJ202)))</f>
        <v/>
      </c>
      <c r="BO202" s="83" t="str">
        <f aca="false">IF(AN202="","",(AN202-BN202)/BN202)</f>
        <v/>
      </c>
      <c r="BP202" s="66" t="n">
        <f aca="false">IF(OR(B202="",AL202=""),0,IF(OR(Settings!$C$28="All Accounts",BJ202=Settings!$C$28),1,0))</f>
        <v>0</v>
      </c>
      <c r="BQ202" s="66" t="str">
        <f aca="false">IF(BP202=1,SUM(BP$6:BP202),"")</f>
        <v/>
      </c>
      <c r="BR202" s="76" t="str">
        <f aca="false">IF(BP202=1,ROUND(Settings!$C$29+SUMIFS(AM$6:AM202,BP$6:BP202,1),2),"")</f>
        <v/>
      </c>
      <c r="BS202" s="76" t="str">
        <f aca="false">IF(BP202=1,MAX(Settings!$C$29,MAX(BR$6:BR202)),"")</f>
        <v/>
      </c>
      <c r="BT202" s="83" t="str">
        <f aca="false">IF(BP202=1,(BR202-BS202)/BS202,"")</f>
        <v/>
      </c>
      <c r="BU202" s="66" t="str">
        <f aca="false">IF(BP202=1,IF(AL202="Win",1+IF(BQ202=1,0,INDEX(BU$5:BU201,MATCH(BQ202-1,BQ$5:BQ201,0))),0),"")</f>
        <v/>
      </c>
      <c r="BV202" s="66" t="str">
        <f aca="false">IF(BP202=1,IF(AL202="Loss",1+IF(BQ202=1,0,INDEX(BV$5:BV201,MATCH(BQ202-1,BQ$5:BQ201,0))),0),"")</f>
        <v/>
      </c>
    </row>
    <row r="203" customFormat="false" ht="15" hidden="false" customHeight="false" outlineLevel="0" collapsed="false">
      <c r="A203" s="66" t="str">
        <f aca="false">IF(B203="","",ROW()-5)</f>
        <v/>
      </c>
      <c r="B203" s="67"/>
      <c r="C203" s="68" t="str">
        <f aca="false">IF(B203="","",CHOOSE(WEEKDAY(B203,2),"Mon","Tue","Wed","Thu","Fri","Sat","Sun"))</f>
        <v/>
      </c>
      <c r="D203" s="66" t="str">
        <f aca="false">IF(B203="","",WEEKNUM(B203,2))</f>
        <v/>
      </c>
      <c r="E203" s="69"/>
      <c r="F203" s="69"/>
      <c r="G203" s="70"/>
      <c r="H203" s="70"/>
      <c r="I203" s="69"/>
      <c r="J203" s="69"/>
      <c r="K203" s="69"/>
      <c r="L203" s="71"/>
      <c r="M203" s="69"/>
      <c r="N203" s="69"/>
      <c r="O203" s="69"/>
      <c r="P203" s="71"/>
      <c r="Q203" s="69"/>
      <c r="R203" s="69"/>
      <c r="S203" s="69"/>
      <c r="T203" s="69"/>
      <c r="U203" s="69"/>
      <c r="V203" s="69"/>
      <c r="W203" s="69"/>
      <c r="X203" s="66" t="str">
        <f aca="false">IF(B203="","",COUNTIF(Q203:W203,"Yes"))</f>
        <v/>
      </c>
      <c r="Y203" s="68" t="str">
        <f aca="false">IF(B203="","",IF(X203&gt;=Settings!$C$16,"A+",IF(X203&gt;=Settings!$C$17,"A",IF(X203&gt;=Settings!$C$18,"B","C"))))</f>
        <v/>
      </c>
      <c r="Z203" s="72"/>
      <c r="AA203" s="72"/>
      <c r="AB203" s="72"/>
      <c r="AC203" s="72"/>
      <c r="AD203" s="72"/>
      <c r="AE203" s="72"/>
      <c r="AF203" s="73"/>
      <c r="AG203" s="74"/>
      <c r="AH203" s="75"/>
      <c r="AI203" s="76" t="str">
        <f aca="false">IF(B203="","",ROUND(IF(AG203="",Settings!$C$5,AG203)*AW203,2))</f>
        <v/>
      </c>
      <c r="AJ203" s="77" t="str">
        <f aca="false">IF(OR(B203="",AB203="",AC203="",AD203=""),"",IFERROR(ROUND(ABS(AD203-AB203)/ABS(AB203-AC203),2),""))</f>
        <v/>
      </c>
      <c r="AK203" s="78" t="str">
        <f aca="false">IF(OR(B203="",AB203="",AC203="",AE203=""),"",IFERROR(ROUND(IF(J203="Short",AB203-AE203,AE203-AB203)/ABS(AB203-AC203),2),""))</f>
        <v/>
      </c>
      <c r="AL203" s="68" t="str">
        <f aca="false">IF(AK203="","",IF(ABS(AK203)&lt;=Settings!$C$6,"BE",IF(AK203&gt;0,"Win","Loss")))</f>
        <v/>
      </c>
      <c r="AM203" s="79" t="str">
        <f aca="false">IF(OR(AK203="",AI203=""),"",ROUND(AK203*AI203-N(AH203),2))</f>
        <v/>
      </c>
      <c r="AN203" s="76" t="str">
        <f aca="false">IF(AM203="","",ROUND(BK203+SUMIFS(AM$6:AM203,BJ$6:BJ203,BJ203),2))</f>
        <v/>
      </c>
      <c r="AO203" s="78" t="str">
        <f aca="false">IF(AK203="","",ROUND(SUMIFS(AK$6:AK203,BJ$6:BJ203,BJ203),2))</f>
        <v/>
      </c>
      <c r="AP203" s="80" t="str">
        <f aca="false">IF(OR(AK203="",BL203=""),"",IFERROR(ROUND(IF(J203="Short",AB203-AE203,AE203-AB203)/BL203,1),""))</f>
        <v/>
      </c>
      <c r="AQ203" s="66" t="str">
        <f aca="false">IF(OR(G203="",H203=""),"",ROUND(MOD(H203-G203,1)*1440,0))</f>
        <v/>
      </c>
      <c r="AR203" s="68" t="str">
        <f aca="false">IF(AQ203="","",IF(AQ203&lt;15,"Under 15m",IF(AQ203&lt;60,"15-60m",IF(AQ203&lt;240,"1-4 hours","4+ hours"))))</f>
        <v/>
      </c>
      <c r="AS203" s="66" t="str">
        <f aca="false">IF(G203="","",HOUR(G203))</f>
        <v/>
      </c>
      <c r="AT203" s="80" t="str">
        <f aca="false">IF(OR(Z203="",AB203="",BL203=""),"",IFERROR(ROUND(IF(J203="Short",Z203-AB203,AB203-Z203)/BL203,1),""))</f>
        <v/>
      </c>
      <c r="AU203" s="68" t="str">
        <f aca="false">IF(OR(AA203="",AC203=""),"",IF(AA203=AC203,"No","Yes"))</f>
        <v/>
      </c>
      <c r="AV203" s="81" t="str">
        <f aca="false">IF(OR(B203="",BL203="",BM203="",AB203="",AC203=""),"",IFERROR(ROUND(AI203/(ABS(AB203-AC203)/BL203*BM203),2),""))</f>
        <v/>
      </c>
      <c r="AW203" s="76" t="str">
        <f aca="false">IF(B203="","",ROUND(BK203+SUMIFS(AM$5:AM202,BJ$5:BJ202,BJ203),2))</f>
        <v/>
      </c>
      <c r="AX203" s="66" t="str">
        <f aca="false">IF(B203="","",COUNTIFS(B$6:B203,B203,BJ$6:BJ203,BJ203))</f>
        <v/>
      </c>
      <c r="AY203" s="79" t="str">
        <f aca="false">IF(B203="","",ROUND(SUMIFS(AM$5:AM202,B$5:B202,B203,BJ$5:BJ202,BJ203),2))</f>
        <v/>
      </c>
      <c r="AZ203" s="79" t="str">
        <f aca="false">IF(AM203="","",ROUND(AY203+AM203,2))</f>
        <v/>
      </c>
      <c r="BA203" s="79" t="str">
        <f aca="false">IF(B203="","",ROUND(SUMIFS(AM$5:AM202,B$5:B202,"&gt;="&amp;(B203-WEEKDAY(B203,2)+1),B$5:B202,"&lt;="&amp;B203,BJ$5:BJ202,BJ203),2))</f>
        <v/>
      </c>
      <c r="BB203" s="68" t="str">
        <f aca="false">IF(B203="","",IF(AND(AF203&lt;&gt;"",AV203&lt;&gt;"",N(AF203)&gt;N(AV203)*(1+Settings!$C$13)),"Oversized",IF(AX203&gt;Settings!$C$10,"Overtraded",IF(AY203&lt;=-Settings!$C$11*(AW203-AY203),"Daily loss hit",IF(BA203&lt;=-Settings!$C$12*(AW203-BA203),"Weekly loss hit","OK")))))</f>
        <v/>
      </c>
      <c r="BC203" s="69"/>
      <c r="BD203" s="69"/>
      <c r="BE203" s="69"/>
      <c r="BF203" s="73"/>
      <c r="BG203" s="73"/>
      <c r="BH203" s="71"/>
      <c r="BI203" s="71"/>
      <c r="BJ203" s="68" t="str">
        <f aca="false">IF(B203="","",IF(E203="",Settings!$F$5,E203))</f>
        <v/>
      </c>
      <c r="BK203" s="76" t="str">
        <f aca="false">IF(B203="","",IFERROR(INDEX(Settings!$G$5:$G$10,MATCH(BJ203,Settings!$F$5:$F$10,0)),Settings!$G$5))</f>
        <v/>
      </c>
      <c r="BL203" s="82" t="str">
        <f aca="false">IF(I203="","",IFERROR(1/(1/INDEX(Lists!$C$6:$C$17,MATCH(I203,Lists!$B$6:$B$17,0))),""))</f>
        <v/>
      </c>
      <c r="BM203" s="81" t="str">
        <f aca="false">IF(I203="","",IFERROR(1/(1/INDEX(Lists!$D$6:$D$17,MATCH(I203,Lists!$B$6:$B$17,0))),""))</f>
        <v/>
      </c>
      <c r="BN203" s="76" t="str">
        <f aca="false">IF(AN203="","",MAX(BK203,_xlfn.MAXIFS(AN$6:AN203,BJ$6:BJ203,BJ203)))</f>
        <v/>
      </c>
      <c r="BO203" s="83" t="str">
        <f aca="false">IF(AN203="","",(AN203-BN203)/BN203)</f>
        <v/>
      </c>
      <c r="BP203" s="66" t="n">
        <f aca="false">IF(OR(B203="",AL203=""),0,IF(OR(Settings!$C$28="All Accounts",BJ203=Settings!$C$28),1,0))</f>
        <v>0</v>
      </c>
      <c r="BQ203" s="66" t="str">
        <f aca="false">IF(BP203=1,SUM(BP$6:BP203),"")</f>
        <v/>
      </c>
      <c r="BR203" s="76" t="str">
        <f aca="false">IF(BP203=1,ROUND(Settings!$C$29+SUMIFS(AM$6:AM203,BP$6:BP203,1),2),"")</f>
        <v/>
      </c>
      <c r="BS203" s="76" t="str">
        <f aca="false">IF(BP203=1,MAX(Settings!$C$29,MAX(BR$6:BR203)),"")</f>
        <v/>
      </c>
      <c r="BT203" s="83" t="str">
        <f aca="false">IF(BP203=1,(BR203-BS203)/BS203,"")</f>
        <v/>
      </c>
      <c r="BU203" s="66" t="str">
        <f aca="false">IF(BP203=1,IF(AL203="Win",1+IF(BQ203=1,0,INDEX(BU$5:BU202,MATCH(BQ203-1,BQ$5:BQ202,0))),0),"")</f>
        <v/>
      </c>
      <c r="BV203" s="66" t="str">
        <f aca="false">IF(BP203=1,IF(AL203="Loss",1+IF(BQ203=1,0,INDEX(BV$5:BV202,MATCH(BQ203-1,BQ$5:BQ202,0))),0),"")</f>
        <v/>
      </c>
    </row>
    <row r="204" customFormat="false" ht="15" hidden="false" customHeight="false" outlineLevel="0" collapsed="false">
      <c r="A204" s="66" t="str">
        <f aca="false">IF(B204="","",ROW()-5)</f>
        <v/>
      </c>
      <c r="B204" s="67"/>
      <c r="C204" s="68" t="str">
        <f aca="false">IF(B204="","",CHOOSE(WEEKDAY(B204,2),"Mon","Tue","Wed","Thu","Fri","Sat","Sun"))</f>
        <v/>
      </c>
      <c r="D204" s="66" t="str">
        <f aca="false">IF(B204="","",WEEKNUM(B204,2))</f>
        <v/>
      </c>
      <c r="E204" s="69"/>
      <c r="F204" s="69"/>
      <c r="G204" s="70"/>
      <c r="H204" s="70"/>
      <c r="I204" s="69"/>
      <c r="J204" s="69"/>
      <c r="K204" s="69"/>
      <c r="L204" s="71"/>
      <c r="M204" s="69"/>
      <c r="N204" s="69"/>
      <c r="O204" s="69"/>
      <c r="P204" s="71"/>
      <c r="Q204" s="69"/>
      <c r="R204" s="69"/>
      <c r="S204" s="69"/>
      <c r="T204" s="69"/>
      <c r="U204" s="69"/>
      <c r="V204" s="69"/>
      <c r="W204" s="69"/>
      <c r="X204" s="66" t="str">
        <f aca="false">IF(B204="","",COUNTIF(Q204:W204,"Yes"))</f>
        <v/>
      </c>
      <c r="Y204" s="68" t="str">
        <f aca="false">IF(B204="","",IF(X204&gt;=Settings!$C$16,"A+",IF(X204&gt;=Settings!$C$17,"A",IF(X204&gt;=Settings!$C$18,"B","C"))))</f>
        <v/>
      </c>
      <c r="Z204" s="72"/>
      <c r="AA204" s="72"/>
      <c r="AB204" s="72"/>
      <c r="AC204" s="72"/>
      <c r="AD204" s="72"/>
      <c r="AE204" s="72"/>
      <c r="AF204" s="73"/>
      <c r="AG204" s="74"/>
      <c r="AH204" s="75"/>
      <c r="AI204" s="76" t="str">
        <f aca="false">IF(B204="","",ROUND(IF(AG204="",Settings!$C$5,AG204)*AW204,2))</f>
        <v/>
      </c>
      <c r="AJ204" s="77" t="str">
        <f aca="false">IF(OR(B204="",AB204="",AC204="",AD204=""),"",IFERROR(ROUND(ABS(AD204-AB204)/ABS(AB204-AC204),2),""))</f>
        <v/>
      </c>
      <c r="AK204" s="78" t="str">
        <f aca="false">IF(OR(B204="",AB204="",AC204="",AE204=""),"",IFERROR(ROUND(IF(J204="Short",AB204-AE204,AE204-AB204)/ABS(AB204-AC204),2),""))</f>
        <v/>
      </c>
      <c r="AL204" s="68" t="str">
        <f aca="false">IF(AK204="","",IF(ABS(AK204)&lt;=Settings!$C$6,"BE",IF(AK204&gt;0,"Win","Loss")))</f>
        <v/>
      </c>
      <c r="AM204" s="79" t="str">
        <f aca="false">IF(OR(AK204="",AI204=""),"",ROUND(AK204*AI204-N(AH204),2))</f>
        <v/>
      </c>
      <c r="AN204" s="76" t="str">
        <f aca="false">IF(AM204="","",ROUND(BK204+SUMIFS(AM$6:AM204,BJ$6:BJ204,BJ204),2))</f>
        <v/>
      </c>
      <c r="AO204" s="78" t="str">
        <f aca="false">IF(AK204="","",ROUND(SUMIFS(AK$6:AK204,BJ$6:BJ204,BJ204),2))</f>
        <v/>
      </c>
      <c r="AP204" s="80" t="str">
        <f aca="false">IF(OR(AK204="",BL204=""),"",IFERROR(ROUND(IF(J204="Short",AB204-AE204,AE204-AB204)/BL204,1),""))</f>
        <v/>
      </c>
      <c r="AQ204" s="66" t="str">
        <f aca="false">IF(OR(G204="",H204=""),"",ROUND(MOD(H204-G204,1)*1440,0))</f>
        <v/>
      </c>
      <c r="AR204" s="68" t="str">
        <f aca="false">IF(AQ204="","",IF(AQ204&lt;15,"Under 15m",IF(AQ204&lt;60,"15-60m",IF(AQ204&lt;240,"1-4 hours","4+ hours"))))</f>
        <v/>
      </c>
      <c r="AS204" s="66" t="str">
        <f aca="false">IF(G204="","",HOUR(G204))</f>
        <v/>
      </c>
      <c r="AT204" s="80" t="str">
        <f aca="false">IF(OR(Z204="",AB204="",BL204=""),"",IFERROR(ROUND(IF(J204="Short",Z204-AB204,AB204-Z204)/BL204,1),""))</f>
        <v/>
      </c>
      <c r="AU204" s="68" t="str">
        <f aca="false">IF(OR(AA204="",AC204=""),"",IF(AA204=AC204,"No","Yes"))</f>
        <v/>
      </c>
      <c r="AV204" s="81" t="str">
        <f aca="false">IF(OR(B204="",BL204="",BM204="",AB204="",AC204=""),"",IFERROR(ROUND(AI204/(ABS(AB204-AC204)/BL204*BM204),2),""))</f>
        <v/>
      </c>
      <c r="AW204" s="76" t="str">
        <f aca="false">IF(B204="","",ROUND(BK204+SUMIFS(AM$5:AM203,BJ$5:BJ203,BJ204),2))</f>
        <v/>
      </c>
      <c r="AX204" s="66" t="str">
        <f aca="false">IF(B204="","",COUNTIFS(B$6:B204,B204,BJ$6:BJ204,BJ204))</f>
        <v/>
      </c>
      <c r="AY204" s="79" t="str">
        <f aca="false">IF(B204="","",ROUND(SUMIFS(AM$5:AM203,B$5:B203,B204,BJ$5:BJ203,BJ204),2))</f>
        <v/>
      </c>
      <c r="AZ204" s="79" t="str">
        <f aca="false">IF(AM204="","",ROUND(AY204+AM204,2))</f>
        <v/>
      </c>
      <c r="BA204" s="79" t="str">
        <f aca="false">IF(B204="","",ROUND(SUMIFS(AM$5:AM203,B$5:B203,"&gt;="&amp;(B204-WEEKDAY(B204,2)+1),B$5:B203,"&lt;="&amp;B204,BJ$5:BJ203,BJ204),2))</f>
        <v/>
      </c>
      <c r="BB204" s="68" t="str">
        <f aca="false">IF(B204="","",IF(AND(AF204&lt;&gt;"",AV204&lt;&gt;"",N(AF204)&gt;N(AV204)*(1+Settings!$C$13)),"Oversized",IF(AX204&gt;Settings!$C$10,"Overtraded",IF(AY204&lt;=-Settings!$C$11*(AW204-AY204),"Daily loss hit",IF(BA204&lt;=-Settings!$C$12*(AW204-BA204),"Weekly loss hit","OK")))))</f>
        <v/>
      </c>
      <c r="BC204" s="69"/>
      <c r="BD204" s="69"/>
      <c r="BE204" s="69"/>
      <c r="BF204" s="73"/>
      <c r="BG204" s="73"/>
      <c r="BH204" s="71"/>
      <c r="BI204" s="71"/>
      <c r="BJ204" s="68" t="str">
        <f aca="false">IF(B204="","",IF(E204="",Settings!$F$5,E204))</f>
        <v/>
      </c>
      <c r="BK204" s="76" t="str">
        <f aca="false">IF(B204="","",IFERROR(INDEX(Settings!$G$5:$G$10,MATCH(BJ204,Settings!$F$5:$F$10,0)),Settings!$G$5))</f>
        <v/>
      </c>
      <c r="BL204" s="82" t="str">
        <f aca="false">IF(I204="","",IFERROR(1/(1/INDEX(Lists!$C$6:$C$17,MATCH(I204,Lists!$B$6:$B$17,0))),""))</f>
        <v/>
      </c>
      <c r="BM204" s="81" t="str">
        <f aca="false">IF(I204="","",IFERROR(1/(1/INDEX(Lists!$D$6:$D$17,MATCH(I204,Lists!$B$6:$B$17,0))),""))</f>
        <v/>
      </c>
      <c r="BN204" s="76" t="str">
        <f aca="false">IF(AN204="","",MAX(BK204,_xlfn.MAXIFS(AN$6:AN204,BJ$6:BJ204,BJ204)))</f>
        <v/>
      </c>
      <c r="BO204" s="83" t="str">
        <f aca="false">IF(AN204="","",(AN204-BN204)/BN204)</f>
        <v/>
      </c>
      <c r="BP204" s="66" t="n">
        <f aca="false">IF(OR(B204="",AL204=""),0,IF(OR(Settings!$C$28="All Accounts",BJ204=Settings!$C$28),1,0))</f>
        <v>0</v>
      </c>
      <c r="BQ204" s="66" t="str">
        <f aca="false">IF(BP204=1,SUM(BP$6:BP204),"")</f>
        <v/>
      </c>
      <c r="BR204" s="76" t="str">
        <f aca="false">IF(BP204=1,ROUND(Settings!$C$29+SUMIFS(AM$6:AM204,BP$6:BP204,1),2),"")</f>
        <v/>
      </c>
      <c r="BS204" s="76" t="str">
        <f aca="false">IF(BP204=1,MAX(Settings!$C$29,MAX(BR$6:BR204)),"")</f>
        <v/>
      </c>
      <c r="BT204" s="83" t="str">
        <f aca="false">IF(BP204=1,(BR204-BS204)/BS204,"")</f>
        <v/>
      </c>
      <c r="BU204" s="66" t="str">
        <f aca="false">IF(BP204=1,IF(AL204="Win",1+IF(BQ204=1,0,INDEX(BU$5:BU203,MATCH(BQ204-1,BQ$5:BQ203,0))),0),"")</f>
        <v/>
      </c>
      <c r="BV204" s="66" t="str">
        <f aca="false">IF(BP204=1,IF(AL204="Loss",1+IF(BQ204=1,0,INDEX(BV$5:BV203,MATCH(BQ204-1,BQ$5:BQ203,0))),0),"")</f>
        <v/>
      </c>
    </row>
    <row r="205" customFormat="false" ht="15" hidden="false" customHeight="false" outlineLevel="0" collapsed="false">
      <c r="A205" s="66" t="str">
        <f aca="false">IF(B205="","",ROW()-5)</f>
        <v/>
      </c>
      <c r="B205" s="67"/>
      <c r="C205" s="68" t="str">
        <f aca="false">IF(B205="","",CHOOSE(WEEKDAY(B205,2),"Mon","Tue","Wed","Thu","Fri","Sat","Sun"))</f>
        <v/>
      </c>
      <c r="D205" s="66" t="str">
        <f aca="false">IF(B205="","",WEEKNUM(B205,2))</f>
        <v/>
      </c>
      <c r="E205" s="69"/>
      <c r="F205" s="69"/>
      <c r="G205" s="70"/>
      <c r="H205" s="70"/>
      <c r="I205" s="69"/>
      <c r="J205" s="69"/>
      <c r="K205" s="69"/>
      <c r="L205" s="71"/>
      <c r="M205" s="69"/>
      <c r="N205" s="69"/>
      <c r="O205" s="69"/>
      <c r="P205" s="71"/>
      <c r="Q205" s="69"/>
      <c r="R205" s="69"/>
      <c r="S205" s="69"/>
      <c r="T205" s="69"/>
      <c r="U205" s="69"/>
      <c r="V205" s="69"/>
      <c r="W205" s="69"/>
      <c r="X205" s="66" t="str">
        <f aca="false">IF(B205="","",COUNTIF(Q205:W205,"Yes"))</f>
        <v/>
      </c>
      <c r="Y205" s="68" t="str">
        <f aca="false">IF(B205="","",IF(X205&gt;=Settings!$C$16,"A+",IF(X205&gt;=Settings!$C$17,"A",IF(X205&gt;=Settings!$C$18,"B","C"))))</f>
        <v/>
      </c>
      <c r="Z205" s="72"/>
      <c r="AA205" s="72"/>
      <c r="AB205" s="72"/>
      <c r="AC205" s="72"/>
      <c r="AD205" s="72"/>
      <c r="AE205" s="72"/>
      <c r="AF205" s="73"/>
      <c r="AG205" s="74"/>
      <c r="AH205" s="75"/>
      <c r="AI205" s="76" t="str">
        <f aca="false">IF(B205="","",ROUND(IF(AG205="",Settings!$C$5,AG205)*AW205,2))</f>
        <v/>
      </c>
      <c r="AJ205" s="77" t="str">
        <f aca="false">IF(OR(B205="",AB205="",AC205="",AD205=""),"",IFERROR(ROUND(ABS(AD205-AB205)/ABS(AB205-AC205),2),""))</f>
        <v/>
      </c>
      <c r="AK205" s="78" t="str">
        <f aca="false">IF(OR(B205="",AB205="",AC205="",AE205=""),"",IFERROR(ROUND(IF(J205="Short",AB205-AE205,AE205-AB205)/ABS(AB205-AC205),2),""))</f>
        <v/>
      </c>
      <c r="AL205" s="68" t="str">
        <f aca="false">IF(AK205="","",IF(ABS(AK205)&lt;=Settings!$C$6,"BE",IF(AK205&gt;0,"Win","Loss")))</f>
        <v/>
      </c>
      <c r="AM205" s="79" t="str">
        <f aca="false">IF(OR(AK205="",AI205=""),"",ROUND(AK205*AI205-N(AH205),2))</f>
        <v/>
      </c>
      <c r="AN205" s="76" t="str">
        <f aca="false">IF(AM205="","",ROUND(BK205+SUMIFS(AM$6:AM205,BJ$6:BJ205,BJ205),2))</f>
        <v/>
      </c>
      <c r="AO205" s="78" t="str">
        <f aca="false">IF(AK205="","",ROUND(SUMIFS(AK$6:AK205,BJ$6:BJ205,BJ205),2))</f>
        <v/>
      </c>
      <c r="AP205" s="80" t="str">
        <f aca="false">IF(OR(AK205="",BL205=""),"",IFERROR(ROUND(IF(J205="Short",AB205-AE205,AE205-AB205)/BL205,1),""))</f>
        <v/>
      </c>
      <c r="AQ205" s="66" t="str">
        <f aca="false">IF(OR(G205="",H205=""),"",ROUND(MOD(H205-G205,1)*1440,0))</f>
        <v/>
      </c>
      <c r="AR205" s="68" t="str">
        <f aca="false">IF(AQ205="","",IF(AQ205&lt;15,"Under 15m",IF(AQ205&lt;60,"15-60m",IF(AQ205&lt;240,"1-4 hours","4+ hours"))))</f>
        <v/>
      </c>
      <c r="AS205" s="66" t="str">
        <f aca="false">IF(G205="","",HOUR(G205))</f>
        <v/>
      </c>
      <c r="AT205" s="80" t="str">
        <f aca="false">IF(OR(Z205="",AB205="",BL205=""),"",IFERROR(ROUND(IF(J205="Short",Z205-AB205,AB205-Z205)/BL205,1),""))</f>
        <v/>
      </c>
      <c r="AU205" s="68" t="str">
        <f aca="false">IF(OR(AA205="",AC205=""),"",IF(AA205=AC205,"No","Yes"))</f>
        <v/>
      </c>
      <c r="AV205" s="81" t="str">
        <f aca="false">IF(OR(B205="",BL205="",BM205="",AB205="",AC205=""),"",IFERROR(ROUND(AI205/(ABS(AB205-AC205)/BL205*BM205),2),""))</f>
        <v/>
      </c>
      <c r="AW205" s="76" t="str">
        <f aca="false">IF(B205="","",ROUND(BK205+SUMIFS(AM$5:AM204,BJ$5:BJ204,BJ205),2))</f>
        <v/>
      </c>
      <c r="AX205" s="66" t="str">
        <f aca="false">IF(B205="","",COUNTIFS(B$6:B205,B205,BJ$6:BJ205,BJ205))</f>
        <v/>
      </c>
      <c r="AY205" s="79" t="str">
        <f aca="false">IF(B205="","",ROUND(SUMIFS(AM$5:AM204,B$5:B204,B205,BJ$5:BJ204,BJ205),2))</f>
        <v/>
      </c>
      <c r="AZ205" s="79" t="str">
        <f aca="false">IF(AM205="","",ROUND(AY205+AM205,2))</f>
        <v/>
      </c>
      <c r="BA205" s="79" t="str">
        <f aca="false">IF(B205="","",ROUND(SUMIFS(AM$5:AM204,B$5:B204,"&gt;="&amp;(B205-WEEKDAY(B205,2)+1),B$5:B204,"&lt;="&amp;B205,BJ$5:BJ204,BJ205),2))</f>
        <v/>
      </c>
      <c r="BB205" s="68" t="str">
        <f aca="false">IF(B205="","",IF(AND(AF205&lt;&gt;"",AV205&lt;&gt;"",N(AF205)&gt;N(AV205)*(1+Settings!$C$13)),"Oversized",IF(AX205&gt;Settings!$C$10,"Overtraded",IF(AY205&lt;=-Settings!$C$11*(AW205-AY205),"Daily loss hit",IF(BA205&lt;=-Settings!$C$12*(AW205-BA205),"Weekly loss hit","OK")))))</f>
        <v/>
      </c>
      <c r="BC205" s="69"/>
      <c r="BD205" s="69"/>
      <c r="BE205" s="69"/>
      <c r="BF205" s="73"/>
      <c r="BG205" s="73"/>
      <c r="BH205" s="71"/>
      <c r="BI205" s="71"/>
      <c r="BJ205" s="68" t="str">
        <f aca="false">IF(B205="","",IF(E205="",Settings!$F$5,E205))</f>
        <v/>
      </c>
      <c r="BK205" s="76" t="str">
        <f aca="false">IF(B205="","",IFERROR(INDEX(Settings!$G$5:$G$10,MATCH(BJ205,Settings!$F$5:$F$10,0)),Settings!$G$5))</f>
        <v/>
      </c>
      <c r="BL205" s="82" t="str">
        <f aca="false">IF(I205="","",IFERROR(1/(1/INDEX(Lists!$C$6:$C$17,MATCH(I205,Lists!$B$6:$B$17,0))),""))</f>
        <v/>
      </c>
      <c r="BM205" s="81" t="str">
        <f aca="false">IF(I205="","",IFERROR(1/(1/INDEX(Lists!$D$6:$D$17,MATCH(I205,Lists!$B$6:$B$17,0))),""))</f>
        <v/>
      </c>
      <c r="BN205" s="76" t="str">
        <f aca="false">IF(AN205="","",MAX(BK205,_xlfn.MAXIFS(AN$6:AN205,BJ$6:BJ205,BJ205)))</f>
        <v/>
      </c>
      <c r="BO205" s="83" t="str">
        <f aca="false">IF(AN205="","",(AN205-BN205)/BN205)</f>
        <v/>
      </c>
      <c r="BP205" s="66" t="n">
        <f aca="false">IF(OR(B205="",AL205=""),0,IF(OR(Settings!$C$28="All Accounts",BJ205=Settings!$C$28),1,0))</f>
        <v>0</v>
      </c>
      <c r="BQ205" s="66" t="str">
        <f aca="false">IF(BP205=1,SUM(BP$6:BP205),"")</f>
        <v/>
      </c>
      <c r="BR205" s="76" t="str">
        <f aca="false">IF(BP205=1,ROUND(Settings!$C$29+SUMIFS(AM$6:AM205,BP$6:BP205,1),2),"")</f>
        <v/>
      </c>
      <c r="BS205" s="76" t="str">
        <f aca="false">IF(BP205=1,MAX(Settings!$C$29,MAX(BR$6:BR205)),"")</f>
        <v/>
      </c>
      <c r="BT205" s="83" t="str">
        <f aca="false">IF(BP205=1,(BR205-BS205)/BS205,"")</f>
        <v/>
      </c>
      <c r="BU205" s="66" t="str">
        <f aca="false">IF(BP205=1,IF(AL205="Win",1+IF(BQ205=1,0,INDEX(BU$5:BU204,MATCH(BQ205-1,BQ$5:BQ204,0))),0),"")</f>
        <v/>
      </c>
      <c r="BV205" s="66" t="str">
        <f aca="false">IF(BP205=1,IF(AL205="Loss",1+IF(BQ205=1,0,INDEX(BV$5:BV204,MATCH(BQ205-1,BQ$5:BQ204,0))),0),"")</f>
        <v/>
      </c>
    </row>
    <row r="206" customFormat="false" ht="15" hidden="false" customHeight="false" outlineLevel="0" collapsed="false">
      <c r="A206" s="66" t="str">
        <f aca="false">IF(B206="","",ROW()-5)</f>
        <v/>
      </c>
      <c r="B206" s="67"/>
      <c r="C206" s="68" t="str">
        <f aca="false">IF(B206="","",CHOOSE(WEEKDAY(B206,2),"Mon","Tue","Wed","Thu","Fri","Sat","Sun"))</f>
        <v/>
      </c>
      <c r="D206" s="66" t="str">
        <f aca="false">IF(B206="","",WEEKNUM(B206,2))</f>
        <v/>
      </c>
      <c r="E206" s="69"/>
      <c r="F206" s="69"/>
      <c r="G206" s="70"/>
      <c r="H206" s="70"/>
      <c r="I206" s="69"/>
      <c r="J206" s="69"/>
      <c r="K206" s="69"/>
      <c r="L206" s="71"/>
      <c r="M206" s="69"/>
      <c r="N206" s="69"/>
      <c r="O206" s="69"/>
      <c r="P206" s="71"/>
      <c r="Q206" s="69"/>
      <c r="R206" s="69"/>
      <c r="S206" s="69"/>
      <c r="T206" s="69"/>
      <c r="U206" s="69"/>
      <c r="V206" s="69"/>
      <c r="W206" s="69"/>
      <c r="X206" s="66" t="str">
        <f aca="false">IF(B206="","",COUNTIF(Q206:W206,"Yes"))</f>
        <v/>
      </c>
      <c r="Y206" s="68" t="str">
        <f aca="false">IF(B206="","",IF(X206&gt;=Settings!$C$16,"A+",IF(X206&gt;=Settings!$C$17,"A",IF(X206&gt;=Settings!$C$18,"B","C"))))</f>
        <v/>
      </c>
      <c r="Z206" s="72"/>
      <c r="AA206" s="72"/>
      <c r="AB206" s="72"/>
      <c r="AC206" s="72"/>
      <c r="AD206" s="72"/>
      <c r="AE206" s="72"/>
      <c r="AF206" s="73"/>
      <c r="AG206" s="74"/>
      <c r="AH206" s="75"/>
      <c r="AI206" s="76" t="str">
        <f aca="false">IF(B206="","",ROUND(IF(AG206="",Settings!$C$5,AG206)*AW206,2))</f>
        <v/>
      </c>
      <c r="AJ206" s="77" t="str">
        <f aca="false">IF(OR(B206="",AB206="",AC206="",AD206=""),"",IFERROR(ROUND(ABS(AD206-AB206)/ABS(AB206-AC206),2),""))</f>
        <v/>
      </c>
      <c r="AK206" s="78" t="str">
        <f aca="false">IF(OR(B206="",AB206="",AC206="",AE206=""),"",IFERROR(ROUND(IF(J206="Short",AB206-AE206,AE206-AB206)/ABS(AB206-AC206),2),""))</f>
        <v/>
      </c>
      <c r="AL206" s="68" t="str">
        <f aca="false">IF(AK206="","",IF(ABS(AK206)&lt;=Settings!$C$6,"BE",IF(AK206&gt;0,"Win","Loss")))</f>
        <v/>
      </c>
      <c r="AM206" s="79" t="str">
        <f aca="false">IF(OR(AK206="",AI206=""),"",ROUND(AK206*AI206-N(AH206),2))</f>
        <v/>
      </c>
      <c r="AN206" s="76" t="str">
        <f aca="false">IF(AM206="","",ROUND(BK206+SUMIFS(AM$6:AM206,BJ$6:BJ206,BJ206),2))</f>
        <v/>
      </c>
      <c r="AO206" s="78" t="str">
        <f aca="false">IF(AK206="","",ROUND(SUMIFS(AK$6:AK206,BJ$6:BJ206,BJ206),2))</f>
        <v/>
      </c>
      <c r="AP206" s="80" t="str">
        <f aca="false">IF(OR(AK206="",BL206=""),"",IFERROR(ROUND(IF(J206="Short",AB206-AE206,AE206-AB206)/BL206,1),""))</f>
        <v/>
      </c>
      <c r="AQ206" s="66" t="str">
        <f aca="false">IF(OR(G206="",H206=""),"",ROUND(MOD(H206-G206,1)*1440,0))</f>
        <v/>
      </c>
      <c r="AR206" s="68" t="str">
        <f aca="false">IF(AQ206="","",IF(AQ206&lt;15,"Under 15m",IF(AQ206&lt;60,"15-60m",IF(AQ206&lt;240,"1-4 hours","4+ hours"))))</f>
        <v/>
      </c>
      <c r="AS206" s="66" t="str">
        <f aca="false">IF(G206="","",HOUR(G206))</f>
        <v/>
      </c>
      <c r="AT206" s="80" t="str">
        <f aca="false">IF(OR(Z206="",AB206="",BL206=""),"",IFERROR(ROUND(IF(J206="Short",Z206-AB206,AB206-Z206)/BL206,1),""))</f>
        <v/>
      </c>
      <c r="AU206" s="68" t="str">
        <f aca="false">IF(OR(AA206="",AC206=""),"",IF(AA206=AC206,"No","Yes"))</f>
        <v/>
      </c>
      <c r="AV206" s="81" t="str">
        <f aca="false">IF(OR(B206="",BL206="",BM206="",AB206="",AC206=""),"",IFERROR(ROUND(AI206/(ABS(AB206-AC206)/BL206*BM206),2),""))</f>
        <v/>
      </c>
      <c r="AW206" s="76" t="str">
        <f aca="false">IF(B206="","",ROUND(BK206+SUMIFS(AM$5:AM205,BJ$5:BJ205,BJ206),2))</f>
        <v/>
      </c>
      <c r="AX206" s="66" t="str">
        <f aca="false">IF(B206="","",COUNTIFS(B$6:B206,B206,BJ$6:BJ206,BJ206))</f>
        <v/>
      </c>
      <c r="AY206" s="79" t="str">
        <f aca="false">IF(B206="","",ROUND(SUMIFS(AM$5:AM205,B$5:B205,B206,BJ$5:BJ205,BJ206),2))</f>
        <v/>
      </c>
      <c r="AZ206" s="79" t="str">
        <f aca="false">IF(AM206="","",ROUND(AY206+AM206,2))</f>
        <v/>
      </c>
      <c r="BA206" s="79" t="str">
        <f aca="false">IF(B206="","",ROUND(SUMIFS(AM$5:AM205,B$5:B205,"&gt;="&amp;(B206-WEEKDAY(B206,2)+1),B$5:B205,"&lt;="&amp;B206,BJ$5:BJ205,BJ206),2))</f>
        <v/>
      </c>
      <c r="BB206" s="68" t="str">
        <f aca="false">IF(B206="","",IF(AND(AF206&lt;&gt;"",AV206&lt;&gt;"",N(AF206)&gt;N(AV206)*(1+Settings!$C$13)),"Oversized",IF(AX206&gt;Settings!$C$10,"Overtraded",IF(AY206&lt;=-Settings!$C$11*(AW206-AY206),"Daily loss hit",IF(BA206&lt;=-Settings!$C$12*(AW206-BA206),"Weekly loss hit","OK")))))</f>
        <v/>
      </c>
      <c r="BC206" s="69"/>
      <c r="BD206" s="69"/>
      <c r="BE206" s="69"/>
      <c r="BF206" s="73"/>
      <c r="BG206" s="73"/>
      <c r="BH206" s="71"/>
      <c r="BI206" s="71"/>
      <c r="BJ206" s="68" t="str">
        <f aca="false">IF(B206="","",IF(E206="",Settings!$F$5,E206))</f>
        <v/>
      </c>
      <c r="BK206" s="76" t="str">
        <f aca="false">IF(B206="","",IFERROR(INDEX(Settings!$G$5:$G$10,MATCH(BJ206,Settings!$F$5:$F$10,0)),Settings!$G$5))</f>
        <v/>
      </c>
      <c r="BL206" s="82" t="str">
        <f aca="false">IF(I206="","",IFERROR(1/(1/INDEX(Lists!$C$6:$C$17,MATCH(I206,Lists!$B$6:$B$17,0))),""))</f>
        <v/>
      </c>
      <c r="BM206" s="81" t="str">
        <f aca="false">IF(I206="","",IFERROR(1/(1/INDEX(Lists!$D$6:$D$17,MATCH(I206,Lists!$B$6:$B$17,0))),""))</f>
        <v/>
      </c>
      <c r="BN206" s="76" t="str">
        <f aca="false">IF(AN206="","",MAX(BK206,_xlfn.MAXIFS(AN$6:AN206,BJ$6:BJ206,BJ206)))</f>
        <v/>
      </c>
      <c r="BO206" s="83" t="str">
        <f aca="false">IF(AN206="","",(AN206-BN206)/BN206)</f>
        <v/>
      </c>
      <c r="BP206" s="66" t="n">
        <f aca="false">IF(OR(B206="",AL206=""),0,IF(OR(Settings!$C$28="All Accounts",BJ206=Settings!$C$28),1,0))</f>
        <v>0</v>
      </c>
      <c r="BQ206" s="66" t="str">
        <f aca="false">IF(BP206=1,SUM(BP$6:BP206),"")</f>
        <v/>
      </c>
      <c r="BR206" s="76" t="str">
        <f aca="false">IF(BP206=1,ROUND(Settings!$C$29+SUMIFS(AM$6:AM206,BP$6:BP206,1),2),"")</f>
        <v/>
      </c>
      <c r="BS206" s="76" t="str">
        <f aca="false">IF(BP206=1,MAX(Settings!$C$29,MAX(BR$6:BR206)),"")</f>
        <v/>
      </c>
      <c r="BT206" s="83" t="str">
        <f aca="false">IF(BP206=1,(BR206-BS206)/BS206,"")</f>
        <v/>
      </c>
      <c r="BU206" s="66" t="str">
        <f aca="false">IF(BP206=1,IF(AL206="Win",1+IF(BQ206=1,0,INDEX(BU$5:BU205,MATCH(BQ206-1,BQ$5:BQ205,0))),0),"")</f>
        <v/>
      </c>
      <c r="BV206" s="66" t="str">
        <f aca="false">IF(BP206=1,IF(AL206="Loss",1+IF(BQ206=1,0,INDEX(BV$5:BV205,MATCH(BQ206-1,BQ$5:BQ205,0))),0),"")</f>
        <v/>
      </c>
    </row>
    <row r="207" customFormat="false" ht="15" hidden="false" customHeight="false" outlineLevel="0" collapsed="false">
      <c r="A207" s="66" t="str">
        <f aca="false">IF(B207="","",ROW()-5)</f>
        <v/>
      </c>
      <c r="B207" s="67"/>
      <c r="C207" s="68" t="str">
        <f aca="false">IF(B207="","",CHOOSE(WEEKDAY(B207,2),"Mon","Tue","Wed","Thu","Fri","Sat","Sun"))</f>
        <v/>
      </c>
      <c r="D207" s="66" t="str">
        <f aca="false">IF(B207="","",WEEKNUM(B207,2))</f>
        <v/>
      </c>
      <c r="E207" s="69"/>
      <c r="F207" s="69"/>
      <c r="G207" s="70"/>
      <c r="H207" s="70"/>
      <c r="I207" s="69"/>
      <c r="J207" s="69"/>
      <c r="K207" s="69"/>
      <c r="L207" s="71"/>
      <c r="M207" s="69"/>
      <c r="N207" s="69"/>
      <c r="O207" s="69"/>
      <c r="P207" s="71"/>
      <c r="Q207" s="69"/>
      <c r="R207" s="69"/>
      <c r="S207" s="69"/>
      <c r="T207" s="69"/>
      <c r="U207" s="69"/>
      <c r="V207" s="69"/>
      <c r="W207" s="69"/>
      <c r="X207" s="66" t="str">
        <f aca="false">IF(B207="","",COUNTIF(Q207:W207,"Yes"))</f>
        <v/>
      </c>
      <c r="Y207" s="68" t="str">
        <f aca="false">IF(B207="","",IF(X207&gt;=Settings!$C$16,"A+",IF(X207&gt;=Settings!$C$17,"A",IF(X207&gt;=Settings!$C$18,"B","C"))))</f>
        <v/>
      </c>
      <c r="Z207" s="72"/>
      <c r="AA207" s="72"/>
      <c r="AB207" s="72"/>
      <c r="AC207" s="72"/>
      <c r="AD207" s="72"/>
      <c r="AE207" s="72"/>
      <c r="AF207" s="73"/>
      <c r="AG207" s="74"/>
      <c r="AH207" s="75"/>
      <c r="AI207" s="76" t="str">
        <f aca="false">IF(B207="","",ROUND(IF(AG207="",Settings!$C$5,AG207)*AW207,2))</f>
        <v/>
      </c>
      <c r="AJ207" s="77" t="str">
        <f aca="false">IF(OR(B207="",AB207="",AC207="",AD207=""),"",IFERROR(ROUND(ABS(AD207-AB207)/ABS(AB207-AC207),2),""))</f>
        <v/>
      </c>
      <c r="AK207" s="78" t="str">
        <f aca="false">IF(OR(B207="",AB207="",AC207="",AE207=""),"",IFERROR(ROUND(IF(J207="Short",AB207-AE207,AE207-AB207)/ABS(AB207-AC207),2),""))</f>
        <v/>
      </c>
      <c r="AL207" s="68" t="str">
        <f aca="false">IF(AK207="","",IF(ABS(AK207)&lt;=Settings!$C$6,"BE",IF(AK207&gt;0,"Win","Loss")))</f>
        <v/>
      </c>
      <c r="AM207" s="79" t="str">
        <f aca="false">IF(OR(AK207="",AI207=""),"",ROUND(AK207*AI207-N(AH207),2))</f>
        <v/>
      </c>
      <c r="AN207" s="76" t="str">
        <f aca="false">IF(AM207="","",ROUND(BK207+SUMIFS(AM$6:AM207,BJ$6:BJ207,BJ207),2))</f>
        <v/>
      </c>
      <c r="AO207" s="78" t="str">
        <f aca="false">IF(AK207="","",ROUND(SUMIFS(AK$6:AK207,BJ$6:BJ207,BJ207),2))</f>
        <v/>
      </c>
      <c r="AP207" s="80" t="str">
        <f aca="false">IF(OR(AK207="",BL207=""),"",IFERROR(ROUND(IF(J207="Short",AB207-AE207,AE207-AB207)/BL207,1),""))</f>
        <v/>
      </c>
      <c r="AQ207" s="66" t="str">
        <f aca="false">IF(OR(G207="",H207=""),"",ROUND(MOD(H207-G207,1)*1440,0))</f>
        <v/>
      </c>
      <c r="AR207" s="68" t="str">
        <f aca="false">IF(AQ207="","",IF(AQ207&lt;15,"Under 15m",IF(AQ207&lt;60,"15-60m",IF(AQ207&lt;240,"1-4 hours","4+ hours"))))</f>
        <v/>
      </c>
      <c r="AS207" s="66" t="str">
        <f aca="false">IF(G207="","",HOUR(G207))</f>
        <v/>
      </c>
      <c r="AT207" s="80" t="str">
        <f aca="false">IF(OR(Z207="",AB207="",BL207=""),"",IFERROR(ROUND(IF(J207="Short",Z207-AB207,AB207-Z207)/BL207,1),""))</f>
        <v/>
      </c>
      <c r="AU207" s="68" t="str">
        <f aca="false">IF(OR(AA207="",AC207=""),"",IF(AA207=AC207,"No","Yes"))</f>
        <v/>
      </c>
      <c r="AV207" s="81" t="str">
        <f aca="false">IF(OR(B207="",BL207="",BM207="",AB207="",AC207=""),"",IFERROR(ROUND(AI207/(ABS(AB207-AC207)/BL207*BM207),2),""))</f>
        <v/>
      </c>
      <c r="AW207" s="76" t="str">
        <f aca="false">IF(B207="","",ROUND(BK207+SUMIFS(AM$5:AM206,BJ$5:BJ206,BJ207),2))</f>
        <v/>
      </c>
      <c r="AX207" s="66" t="str">
        <f aca="false">IF(B207="","",COUNTIFS(B$6:B207,B207,BJ$6:BJ207,BJ207))</f>
        <v/>
      </c>
      <c r="AY207" s="79" t="str">
        <f aca="false">IF(B207="","",ROUND(SUMIFS(AM$5:AM206,B$5:B206,B207,BJ$5:BJ206,BJ207),2))</f>
        <v/>
      </c>
      <c r="AZ207" s="79" t="str">
        <f aca="false">IF(AM207="","",ROUND(AY207+AM207,2))</f>
        <v/>
      </c>
      <c r="BA207" s="79" t="str">
        <f aca="false">IF(B207="","",ROUND(SUMIFS(AM$5:AM206,B$5:B206,"&gt;="&amp;(B207-WEEKDAY(B207,2)+1),B$5:B206,"&lt;="&amp;B207,BJ$5:BJ206,BJ207),2))</f>
        <v/>
      </c>
      <c r="BB207" s="68" t="str">
        <f aca="false">IF(B207="","",IF(AND(AF207&lt;&gt;"",AV207&lt;&gt;"",N(AF207)&gt;N(AV207)*(1+Settings!$C$13)),"Oversized",IF(AX207&gt;Settings!$C$10,"Overtraded",IF(AY207&lt;=-Settings!$C$11*(AW207-AY207),"Daily loss hit",IF(BA207&lt;=-Settings!$C$12*(AW207-BA207),"Weekly loss hit","OK")))))</f>
        <v/>
      </c>
      <c r="BC207" s="69"/>
      <c r="BD207" s="69"/>
      <c r="BE207" s="69"/>
      <c r="BF207" s="73"/>
      <c r="BG207" s="73"/>
      <c r="BH207" s="71"/>
      <c r="BI207" s="71"/>
      <c r="BJ207" s="68" t="str">
        <f aca="false">IF(B207="","",IF(E207="",Settings!$F$5,E207))</f>
        <v/>
      </c>
      <c r="BK207" s="76" t="str">
        <f aca="false">IF(B207="","",IFERROR(INDEX(Settings!$G$5:$G$10,MATCH(BJ207,Settings!$F$5:$F$10,0)),Settings!$G$5))</f>
        <v/>
      </c>
      <c r="BL207" s="82" t="str">
        <f aca="false">IF(I207="","",IFERROR(1/(1/INDEX(Lists!$C$6:$C$17,MATCH(I207,Lists!$B$6:$B$17,0))),""))</f>
        <v/>
      </c>
      <c r="BM207" s="81" t="str">
        <f aca="false">IF(I207="","",IFERROR(1/(1/INDEX(Lists!$D$6:$D$17,MATCH(I207,Lists!$B$6:$B$17,0))),""))</f>
        <v/>
      </c>
      <c r="BN207" s="76" t="str">
        <f aca="false">IF(AN207="","",MAX(BK207,_xlfn.MAXIFS(AN$6:AN207,BJ$6:BJ207,BJ207)))</f>
        <v/>
      </c>
      <c r="BO207" s="83" t="str">
        <f aca="false">IF(AN207="","",(AN207-BN207)/BN207)</f>
        <v/>
      </c>
      <c r="BP207" s="66" t="n">
        <f aca="false">IF(OR(B207="",AL207=""),0,IF(OR(Settings!$C$28="All Accounts",BJ207=Settings!$C$28),1,0))</f>
        <v>0</v>
      </c>
      <c r="BQ207" s="66" t="str">
        <f aca="false">IF(BP207=1,SUM(BP$6:BP207),"")</f>
        <v/>
      </c>
      <c r="BR207" s="76" t="str">
        <f aca="false">IF(BP207=1,ROUND(Settings!$C$29+SUMIFS(AM$6:AM207,BP$6:BP207,1),2),"")</f>
        <v/>
      </c>
      <c r="BS207" s="76" t="str">
        <f aca="false">IF(BP207=1,MAX(Settings!$C$29,MAX(BR$6:BR207)),"")</f>
        <v/>
      </c>
      <c r="BT207" s="83" t="str">
        <f aca="false">IF(BP207=1,(BR207-BS207)/BS207,"")</f>
        <v/>
      </c>
      <c r="BU207" s="66" t="str">
        <f aca="false">IF(BP207=1,IF(AL207="Win",1+IF(BQ207=1,0,INDEX(BU$5:BU206,MATCH(BQ207-1,BQ$5:BQ206,0))),0),"")</f>
        <v/>
      </c>
      <c r="BV207" s="66" t="str">
        <f aca="false">IF(BP207=1,IF(AL207="Loss",1+IF(BQ207=1,0,INDEX(BV$5:BV206,MATCH(BQ207-1,BQ$5:BQ206,0))),0),"")</f>
        <v/>
      </c>
    </row>
    <row r="208" customFormat="false" ht="15" hidden="false" customHeight="false" outlineLevel="0" collapsed="false">
      <c r="A208" s="66" t="str">
        <f aca="false">IF(B208="","",ROW()-5)</f>
        <v/>
      </c>
      <c r="B208" s="67"/>
      <c r="C208" s="68" t="str">
        <f aca="false">IF(B208="","",CHOOSE(WEEKDAY(B208,2),"Mon","Tue","Wed","Thu","Fri","Sat","Sun"))</f>
        <v/>
      </c>
      <c r="D208" s="66" t="str">
        <f aca="false">IF(B208="","",WEEKNUM(B208,2))</f>
        <v/>
      </c>
      <c r="E208" s="69"/>
      <c r="F208" s="69"/>
      <c r="G208" s="70"/>
      <c r="H208" s="70"/>
      <c r="I208" s="69"/>
      <c r="J208" s="69"/>
      <c r="K208" s="69"/>
      <c r="L208" s="71"/>
      <c r="M208" s="69"/>
      <c r="N208" s="69"/>
      <c r="O208" s="69"/>
      <c r="P208" s="71"/>
      <c r="Q208" s="69"/>
      <c r="R208" s="69"/>
      <c r="S208" s="69"/>
      <c r="T208" s="69"/>
      <c r="U208" s="69"/>
      <c r="V208" s="69"/>
      <c r="W208" s="69"/>
      <c r="X208" s="66" t="str">
        <f aca="false">IF(B208="","",COUNTIF(Q208:W208,"Yes"))</f>
        <v/>
      </c>
      <c r="Y208" s="68" t="str">
        <f aca="false">IF(B208="","",IF(X208&gt;=Settings!$C$16,"A+",IF(X208&gt;=Settings!$C$17,"A",IF(X208&gt;=Settings!$C$18,"B","C"))))</f>
        <v/>
      </c>
      <c r="Z208" s="72"/>
      <c r="AA208" s="72"/>
      <c r="AB208" s="72"/>
      <c r="AC208" s="72"/>
      <c r="AD208" s="72"/>
      <c r="AE208" s="72"/>
      <c r="AF208" s="73"/>
      <c r="AG208" s="74"/>
      <c r="AH208" s="75"/>
      <c r="AI208" s="76" t="str">
        <f aca="false">IF(B208="","",ROUND(IF(AG208="",Settings!$C$5,AG208)*AW208,2))</f>
        <v/>
      </c>
      <c r="AJ208" s="77" t="str">
        <f aca="false">IF(OR(B208="",AB208="",AC208="",AD208=""),"",IFERROR(ROUND(ABS(AD208-AB208)/ABS(AB208-AC208),2),""))</f>
        <v/>
      </c>
      <c r="AK208" s="78" t="str">
        <f aca="false">IF(OR(B208="",AB208="",AC208="",AE208=""),"",IFERROR(ROUND(IF(J208="Short",AB208-AE208,AE208-AB208)/ABS(AB208-AC208),2),""))</f>
        <v/>
      </c>
      <c r="AL208" s="68" t="str">
        <f aca="false">IF(AK208="","",IF(ABS(AK208)&lt;=Settings!$C$6,"BE",IF(AK208&gt;0,"Win","Loss")))</f>
        <v/>
      </c>
      <c r="AM208" s="79" t="str">
        <f aca="false">IF(OR(AK208="",AI208=""),"",ROUND(AK208*AI208-N(AH208),2))</f>
        <v/>
      </c>
      <c r="AN208" s="76" t="str">
        <f aca="false">IF(AM208="","",ROUND(BK208+SUMIFS(AM$6:AM208,BJ$6:BJ208,BJ208),2))</f>
        <v/>
      </c>
      <c r="AO208" s="78" t="str">
        <f aca="false">IF(AK208="","",ROUND(SUMIFS(AK$6:AK208,BJ$6:BJ208,BJ208),2))</f>
        <v/>
      </c>
      <c r="AP208" s="80" t="str">
        <f aca="false">IF(OR(AK208="",BL208=""),"",IFERROR(ROUND(IF(J208="Short",AB208-AE208,AE208-AB208)/BL208,1),""))</f>
        <v/>
      </c>
      <c r="AQ208" s="66" t="str">
        <f aca="false">IF(OR(G208="",H208=""),"",ROUND(MOD(H208-G208,1)*1440,0))</f>
        <v/>
      </c>
      <c r="AR208" s="68" t="str">
        <f aca="false">IF(AQ208="","",IF(AQ208&lt;15,"Under 15m",IF(AQ208&lt;60,"15-60m",IF(AQ208&lt;240,"1-4 hours","4+ hours"))))</f>
        <v/>
      </c>
      <c r="AS208" s="66" t="str">
        <f aca="false">IF(G208="","",HOUR(G208))</f>
        <v/>
      </c>
      <c r="AT208" s="80" t="str">
        <f aca="false">IF(OR(Z208="",AB208="",BL208=""),"",IFERROR(ROUND(IF(J208="Short",Z208-AB208,AB208-Z208)/BL208,1),""))</f>
        <v/>
      </c>
      <c r="AU208" s="68" t="str">
        <f aca="false">IF(OR(AA208="",AC208=""),"",IF(AA208=AC208,"No","Yes"))</f>
        <v/>
      </c>
      <c r="AV208" s="81" t="str">
        <f aca="false">IF(OR(B208="",BL208="",BM208="",AB208="",AC208=""),"",IFERROR(ROUND(AI208/(ABS(AB208-AC208)/BL208*BM208),2),""))</f>
        <v/>
      </c>
      <c r="AW208" s="76" t="str">
        <f aca="false">IF(B208="","",ROUND(BK208+SUMIFS(AM$5:AM207,BJ$5:BJ207,BJ208),2))</f>
        <v/>
      </c>
      <c r="AX208" s="66" t="str">
        <f aca="false">IF(B208="","",COUNTIFS(B$6:B208,B208,BJ$6:BJ208,BJ208))</f>
        <v/>
      </c>
      <c r="AY208" s="79" t="str">
        <f aca="false">IF(B208="","",ROUND(SUMIFS(AM$5:AM207,B$5:B207,B208,BJ$5:BJ207,BJ208),2))</f>
        <v/>
      </c>
      <c r="AZ208" s="79" t="str">
        <f aca="false">IF(AM208="","",ROUND(AY208+AM208,2))</f>
        <v/>
      </c>
      <c r="BA208" s="79" t="str">
        <f aca="false">IF(B208="","",ROUND(SUMIFS(AM$5:AM207,B$5:B207,"&gt;="&amp;(B208-WEEKDAY(B208,2)+1),B$5:B207,"&lt;="&amp;B208,BJ$5:BJ207,BJ208),2))</f>
        <v/>
      </c>
      <c r="BB208" s="68" t="str">
        <f aca="false">IF(B208="","",IF(AND(AF208&lt;&gt;"",AV208&lt;&gt;"",N(AF208)&gt;N(AV208)*(1+Settings!$C$13)),"Oversized",IF(AX208&gt;Settings!$C$10,"Overtraded",IF(AY208&lt;=-Settings!$C$11*(AW208-AY208),"Daily loss hit",IF(BA208&lt;=-Settings!$C$12*(AW208-BA208),"Weekly loss hit","OK")))))</f>
        <v/>
      </c>
      <c r="BC208" s="69"/>
      <c r="BD208" s="69"/>
      <c r="BE208" s="69"/>
      <c r="BF208" s="73"/>
      <c r="BG208" s="73"/>
      <c r="BH208" s="71"/>
      <c r="BI208" s="71"/>
      <c r="BJ208" s="68" t="str">
        <f aca="false">IF(B208="","",IF(E208="",Settings!$F$5,E208))</f>
        <v/>
      </c>
      <c r="BK208" s="76" t="str">
        <f aca="false">IF(B208="","",IFERROR(INDEX(Settings!$G$5:$G$10,MATCH(BJ208,Settings!$F$5:$F$10,0)),Settings!$G$5))</f>
        <v/>
      </c>
      <c r="BL208" s="82" t="str">
        <f aca="false">IF(I208="","",IFERROR(1/(1/INDEX(Lists!$C$6:$C$17,MATCH(I208,Lists!$B$6:$B$17,0))),""))</f>
        <v/>
      </c>
      <c r="BM208" s="81" t="str">
        <f aca="false">IF(I208="","",IFERROR(1/(1/INDEX(Lists!$D$6:$D$17,MATCH(I208,Lists!$B$6:$B$17,0))),""))</f>
        <v/>
      </c>
      <c r="BN208" s="76" t="str">
        <f aca="false">IF(AN208="","",MAX(BK208,_xlfn.MAXIFS(AN$6:AN208,BJ$6:BJ208,BJ208)))</f>
        <v/>
      </c>
      <c r="BO208" s="83" t="str">
        <f aca="false">IF(AN208="","",(AN208-BN208)/BN208)</f>
        <v/>
      </c>
      <c r="BP208" s="66" t="n">
        <f aca="false">IF(OR(B208="",AL208=""),0,IF(OR(Settings!$C$28="All Accounts",BJ208=Settings!$C$28),1,0))</f>
        <v>0</v>
      </c>
      <c r="BQ208" s="66" t="str">
        <f aca="false">IF(BP208=1,SUM(BP$6:BP208),"")</f>
        <v/>
      </c>
      <c r="BR208" s="76" t="str">
        <f aca="false">IF(BP208=1,ROUND(Settings!$C$29+SUMIFS(AM$6:AM208,BP$6:BP208,1),2),"")</f>
        <v/>
      </c>
      <c r="BS208" s="76" t="str">
        <f aca="false">IF(BP208=1,MAX(Settings!$C$29,MAX(BR$6:BR208)),"")</f>
        <v/>
      </c>
      <c r="BT208" s="83" t="str">
        <f aca="false">IF(BP208=1,(BR208-BS208)/BS208,"")</f>
        <v/>
      </c>
      <c r="BU208" s="66" t="str">
        <f aca="false">IF(BP208=1,IF(AL208="Win",1+IF(BQ208=1,0,INDEX(BU$5:BU207,MATCH(BQ208-1,BQ$5:BQ207,0))),0),"")</f>
        <v/>
      </c>
      <c r="BV208" s="66" t="str">
        <f aca="false">IF(BP208=1,IF(AL208="Loss",1+IF(BQ208=1,0,INDEX(BV$5:BV207,MATCH(BQ208-1,BQ$5:BQ207,0))),0),"")</f>
        <v/>
      </c>
    </row>
    <row r="209" customFormat="false" ht="15" hidden="false" customHeight="false" outlineLevel="0" collapsed="false">
      <c r="A209" s="66" t="str">
        <f aca="false">IF(B209="","",ROW()-5)</f>
        <v/>
      </c>
      <c r="B209" s="67"/>
      <c r="C209" s="68" t="str">
        <f aca="false">IF(B209="","",CHOOSE(WEEKDAY(B209,2),"Mon","Tue","Wed","Thu","Fri","Sat","Sun"))</f>
        <v/>
      </c>
      <c r="D209" s="66" t="str">
        <f aca="false">IF(B209="","",WEEKNUM(B209,2))</f>
        <v/>
      </c>
      <c r="E209" s="69"/>
      <c r="F209" s="69"/>
      <c r="G209" s="70"/>
      <c r="H209" s="70"/>
      <c r="I209" s="69"/>
      <c r="J209" s="69"/>
      <c r="K209" s="69"/>
      <c r="L209" s="71"/>
      <c r="M209" s="69"/>
      <c r="N209" s="69"/>
      <c r="O209" s="69"/>
      <c r="P209" s="71"/>
      <c r="Q209" s="69"/>
      <c r="R209" s="69"/>
      <c r="S209" s="69"/>
      <c r="T209" s="69"/>
      <c r="U209" s="69"/>
      <c r="V209" s="69"/>
      <c r="W209" s="69"/>
      <c r="X209" s="66" t="str">
        <f aca="false">IF(B209="","",COUNTIF(Q209:W209,"Yes"))</f>
        <v/>
      </c>
      <c r="Y209" s="68" t="str">
        <f aca="false">IF(B209="","",IF(X209&gt;=Settings!$C$16,"A+",IF(X209&gt;=Settings!$C$17,"A",IF(X209&gt;=Settings!$C$18,"B","C"))))</f>
        <v/>
      </c>
      <c r="Z209" s="72"/>
      <c r="AA209" s="72"/>
      <c r="AB209" s="72"/>
      <c r="AC209" s="72"/>
      <c r="AD209" s="72"/>
      <c r="AE209" s="72"/>
      <c r="AF209" s="73"/>
      <c r="AG209" s="74"/>
      <c r="AH209" s="75"/>
      <c r="AI209" s="76" t="str">
        <f aca="false">IF(B209="","",ROUND(IF(AG209="",Settings!$C$5,AG209)*AW209,2))</f>
        <v/>
      </c>
      <c r="AJ209" s="77" t="str">
        <f aca="false">IF(OR(B209="",AB209="",AC209="",AD209=""),"",IFERROR(ROUND(ABS(AD209-AB209)/ABS(AB209-AC209),2),""))</f>
        <v/>
      </c>
      <c r="AK209" s="78" t="str">
        <f aca="false">IF(OR(B209="",AB209="",AC209="",AE209=""),"",IFERROR(ROUND(IF(J209="Short",AB209-AE209,AE209-AB209)/ABS(AB209-AC209),2),""))</f>
        <v/>
      </c>
      <c r="AL209" s="68" t="str">
        <f aca="false">IF(AK209="","",IF(ABS(AK209)&lt;=Settings!$C$6,"BE",IF(AK209&gt;0,"Win","Loss")))</f>
        <v/>
      </c>
      <c r="AM209" s="79" t="str">
        <f aca="false">IF(OR(AK209="",AI209=""),"",ROUND(AK209*AI209-N(AH209),2))</f>
        <v/>
      </c>
      <c r="AN209" s="76" t="str">
        <f aca="false">IF(AM209="","",ROUND(BK209+SUMIFS(AM$6:AM209,BJ$6:BJ209,BJ209),2))</f>
        <v/>
      </c>
      <c r="AO209" s="78" t="str">
        <f aca="false">IF(AK209="","",ROUND(SUMIFS(AK$6:AK209,BJ$6:BJ209,BJ209),2))</f>
        <v/>
      </c>
      <c r="AP209" s="80" t="str">
        <f aca="false">IF(OR(AK209="",BL209=""),"",IFERROR(ROUND(IF(J209="Short",AB209-AE209,AE209-AB209)/BL209,1),""))</f>
        <v/>
      </c>
      <c r="AQ209" s="66" t="str">
        <f aca="false">IF(OR(G209="",H209=""),"",ROUND(MOD(H209-G209,1)*1440,0))</f>
        <v/>
      </c>
      <c r="AR209" s="68" t="str">
        <f aca="false">IF(AQ209="","",IF(AQ209&lt;15,"Under 15m",IF(AQ209&lt;60,"15-60m",IF(AQ209&lt;240,"1-4 hours","4+ hours"))))</f>
        <v/>
      </c>
      <c r="AS209" s="66" t="str">
        <f aca="false">IF(G209="","",HOUR(G209))</f>
        <v/>
      </c>
      <c r="AT209" s="80" t="str">
        <f aca="false">IF(OR(Z209="",AB209="",BL209=""),"",IFERROR(ROUND(IF(J209="Short",Z209-AB209,AB209-Z209)/BL209,1),""))</f>
        <v/>
      </c>
      <c r="AU209" s="68" t="str">
        <f aca="false">IF(OR(AA209="",AC209=""),"",IF(AA209=AC209,"No","Yes"))</f>
        <v/>
      </c>
      <c r="AV209" s="81" t="str">
        <f aca="false">IF(OR(B209="",BL209="",BM209="",AB209="",AC209=""),"",IFERROR(ROUND(AI209/(ABS(AB209-AC209)/BL209*BM209),2),""))</f>
        <v/>
      </c>
      <c r="AW209" s="76" t="str">
        <f aca="false">IF(B209="","",ROUND(BK209+SUMIFS(AM$5:AM208,BJ$5:BJ208,BJ209),2))</f>
        <v/>
      </c>
      <c r="AX209" s="66" t="str">
        <f aca="false">IF(B209="","",COUNTIFS(B$6:B209,B209,BJ$6:BJ209,BJ209))</f>
        <v/>
      </c>
      <c r="AY209" s="79" t="str">
        <f aca="false">IF(B209="","",ROUND(SUMIFS(AM$5:AM208,B$5:B208,B209,BJ$5:BJ208,BJ209),2))</f>
        <v/>
      </c>
      <c r="AZ209" s="79" t="str">
        <f aca="false">IF(AM209="","",ROUND(AY209+AM209,2))</f>
        <v/>
      </c>
      <c r="BA209" s="79" t="str">
        <f aca="false">IF(B209="","",ROUND(SUMIFS(AM$5:AM208,B$5:B208,"&gt;="&amp;(B209-WEEKDAY(B209,2)+1),B$5:B208,"&lt;="&amp;B209,BJ$5:BJ208,BJ209),2))</f>
        <v/>
      </c>
      <c r="BB209" s="68" t="str">
        <f aca="false">IF(B209="","",IF(AND(AF209&lt;&gt;"",AV209&lt;&gt;"",N(AF209)&gt;N(AV209)*(1+Settings!$C$13)),"Oversized",IF(AX209&gt;Settings!$C$10,"Overtraded",IF(AY209&lt;=-Settings!$C$11*(AW209-AY209),"Daily loss hit",IF(BA209&lt;=-Settings!$C$12*(AW209-BA209),"Weekly loss hit","OK")))))</f>
        <v/>
      </c>
      <c r="BC209" s="69"/>
      <c r="BD209" s="69"/>
      <c r="BE209" s="69"/>
      <c r="BF209" s="73"/>
      <c r="BG209" s="73"/>
      <c r="BH209" s="71"/>
      <c r="BI209" s="71"/>
      <c r="BJ209" s="68" t="str">
        <f aca="false">IF(B209="","",IF(E209="",Settings!$F$5,E209))</f>
        <v/>
      </c>
      <c r="BK209" s="76" t="str">
        <f aca="false">IF(B209="","",IFERROR(INDEX(Settings!$G$5:$G$10,MATCH(BJ209,Settings!$F$5:$F$10,0)),Settings!$G$5))</f>
        <v/>
      </c>
      <c r="BL209" s="82" t="str">
        <f aca="false">IF(I209="","",IFERROR(1/(1/INDEX(Lists!$C$6:$C$17,MATCH(I209,Lists!$B$6:$B$17,0))),""))</f>
        <v/>
      </c>
      <c r="BM209" s="81" t="str">
        <f aca="false">IF(I209="","",IFERROR(1/(1/INDEX(Lists!$D$6:$D$17,MATCH(I209,Lists!$B$6:$B$17,0))),""))</f>
        <v/>
      </c>
      <c r="BN209" s="76" t="str">
        <f aca="false">IF(AN209="","",MAX(BK209,_xlfn.MAXIFS(AN$6:AN209,BJ$6:BJ209,BJ209)))</f>
        <v/>
      </c>
      <c r="BO209" s="83" t="str">
        <f aca="false">IF(AN209="","",(AN209-BN209)/BN209)</f>
        <v/>
      </c>
      <c r="BP209" s="66" t="n">
        <f aca="false">IF(OR(B209="",AL209=""),0,IF(OR(Settings!$C$28="All Accounts",BJ209=Settings!$C$28),1,0))</f>
        <v>0</v>
      </c>
      <c r="BQ209" s="66" t="str">
        <f aca="false">IF(BP209=1,SUM(BP$6:BP209),"")</f>
        <v/>
      </c>
      <c r="BR209" s="76" t="str">
        <f aca="false">IF(BP209=1,ROUND(Settings!$C$29+SUMIFS(AM$6:AM209,BP$6:BP209,1),2),"")</f>
        <v/>
      </c>
      <c r="BS209" s="76" t="str">
        <f aca="false">IF(BP209=1,MAX(Settings!$C$29,MAX(BR$6:BR209)),"")</f>
        <v/>
      </c>
      <c r="BT209" s="83" t="str">
        <f aca="false">IF(BP209=1,(BR209-BS209)/BS209,"")</f>
        <v/>
      </c>
      <c r="BU209" s="66" t="str">
        <f aca="false">IF(BP209=1,IF(AL209="Win",1+IF(BQ209=1,0,INDEX(BU$5:BU208,MATCH(BQ209-1,BQ$5:BQ208,0))),0),"")</f>
        <v/>
      </c>
      <c r="BV209" s="66" t="str">
        <f aca="false">IF(BP209=1,IF(AL209="Loss",1+IF(BQ209=1,0,INDEX(BV$5:BV208,MATCH(BQ209-1,BQ$5:BQ208,0))),0),"")</f>
        <v/>
      </c>
    </row>
    <row r="210" customFormat="false" ht="15" hidden="false" customHeight="false" outlineLevel="0" collapsed="false">
      <c r="A210" s="66" t="str">
        <f aca="false">IF(B210="","",ROW()-5)</f>
        <v/>
      </c>
      <c r="B210" s="67"/>
      <c r="C210" s="68" t="str">
        <f aca="false">IF(B210="","",CHOOSE(WEEKDAY(B210,2),"Mon","Tue","Wed","Thu","Fri","Sat","Sun"))</f>
        <v/>
      </c>
      <c r="D210" s="66" t="str">
        <f aca="false">IF(B210="","",WEEKNUM(B210,2))</f>
        <v/>
      </c>
      <c r="E210" s="69"/>
      <c r="F210" s="69"/>
      <c r="G210" s="70"/>
      <c r="H210" s="70"/>
      <c r="I210" s="69"/>
      <c r="J210" s="69"/>
      <c r="K210" s="69"/>
      <c r="L210" s="71"/>
      <c r="M210" s="69"/>
      <c r="N210" s="69"/>
      <c r="O210" s="69"/>
      <c r="P210" s="71"/>
      <c r="Q210" s="69"/>
      <c r="R210" s="69"/>
      <c r="S210" s="69"/>
      <c r="T210" s="69"/>
      <c r="U210" s="69"/>
      <c r="V210" s="69"/>
      <c r="W210" s="69"/>
      <c r="X210" s="66" t="str">
        <f aca="false">IF(B210="","",COUNTIF(Q210:W210,"Yes"))</f>
        <v/>
      </c>
      <c r="Y210" s="68" t="str">
        <f aca="false">IF(B210="","",IF(X210&gt;=Settings!$C$16,"A+",IF(X210&gt;=Settings!$C$17,"A",IF(X210&gt;=Settings!$C$18,"B","C"))))</f>
        <v/>
      </c>
      <c r="Z210" s="72"/>
      <c r="AA210" s="72"/>
      <c r="AB210" s="72"/>
      <c r="AC210" s="72"/>
      <c r="AD210" s="72"/>
      <c r="AE210" s="72"/>
      <c r="AF210" s="73"/>
      <c r="AG210" s="74"/>
      <c r="AH210" s="75"/>
      <c r="AI210" s="76" t="str">
        <f aca="false">IF(B210="","",ROUND(IF(AG210="",Settings!$C$5,AG210)*AW210,2))</f>
        <v/>
      </c>
      <c r="AJ210" s="77" t="str">
        <f aca="false">IF(OR(B210="",AB210="",AC210="",AD210=""),"",IFERROR(ROUND(ABS(AD210-AB210)/ABS(AB210-AC210),2),""))</f>
        <v/>
      </c>
      <c r="AK210" s="78" t="str">
        <f aca="false">IF(OR(B210="",AB210="",AC210="",AE210=""),"",IFERROR(ROUND(IF(J210="Short",AB210-AE210,AE210-AB210)/ABS(AB210-AC210),2),""))</f>
        <v/>
      </c>
      <c r="AL210" s="68" t="str">
        <f aca="false">IF(AK210="","",IF(ABS(AK210)&lt;=Settings!$C$6,"BE",IF(AK210&gt;0,"Win","Loss")))</f>
        <v/>
      </c>
      <c r="AM210" s="79" t="str">
        <f aca="false">IF(OR(AK210="",AI210=""),"",ROUND(AK210*AI210-N(AH210),2))</f>
        <v/>
      </c>
      <c r="AN210" s="76" t="str">
        <f aca="false">IF(AM210="","",ROUND(BK210+SUMIFS(AM$6:AM210,BJ$6:BJ210,BJ210),2))</f>
        <v/>
      </c>
      <c r="AO210" s="78" t="str">
        <f aca="false">IF(AK210="","",ROUND(SUMIFS(AK$6:AK210,BJ$6:BJ210,BJ210),2))</f>
        <v/>
      </c>
      <c r="AP210" s="80" t="str">
        <f aca="false">IF(OR(AK210="",BL210=""),"",IFERROR(ROUND(IF(J210="Short",AB210-AE210,AE210-AB210)/BL210,1),""))</f>
        <v/>
      </c>
      <c r="AQ210" s="66" t="str">
        <f aca="false">IF(OR(G210="",H210=""),"",ROUND(MOD(H210-G210,1)*1440,0))</f>
        <v/>
      </c>
      <c r="AR210" s="68" t="str">
        <f aca="false">IF(AQ210="","",IF(AQ210&lt;15,"Under 15m",IF(AQ210&lt;60,"15-60m",IF(AQ210&lt;240,"1-4 hours","4+ hours"))))</f>
        <v/>
      </c>
      <c r="AS210" s="66" t="str">
        <f aca="false">IF(G210="","",HOUR(G210))</f>
        <v/>
      </c>
      <c r="AT210" s="80" t="str">
        <f aca="false">IF(OR(Z210="",AB210="",BL210=""),"",IFERROR(ROUND(IF(J210="Short",Z210-AB210,AB210-Z210)/BL210,1),""))</f>
        <v/>
      </c>
      <c r="AU210" s="68" t="str">
        <f aca="false">IF(OR(AA210="",AC210=""),"",IF(AA210=AC210,"No","Yes"))</f>
        <v/>
      </c>
      <c r="AV210" s="81" t="str">
        <f aca="false">IF(OR(B210="",BL210="",BM210="",AB210="",AC210=""),"",IFERROR(ROUND(AI210/(ABS(AB210-AC210)/BL210*BM210),2),""))</f>
        <v/>
      </c>
      <c r="AW210" s="76" t="str">
        <f aca="false">IF(B210="","",ROUND(BK210+SUMIFS(AM$5:AM209,BJ$5:BJ209,BJ210),2))</f>
        <v/>
      </c>
      <c r="AX210" s="66" t="str">
        <f aca="false">IF(B210="","",COUNTIFS(B$6:B210,B210,BJ$6:BJ210,BJ210))</f>
        <v/>
      </c>
      <c r="AY210" s="79" t="str">
        <f aca="false">IF(B210="","",ROUND(SUMIFS(AM$5:AM209,B$5:B209,B210,BJ$5:BJ209,BJ210),2))</f>
        <v/>
      </c>
      <c r="AZ210" s="79" t="str">
        <f aca="false">IF(AM210="","",ROUND(AY210+AM210,2))</f>
        <v/>
      </c>
      <c r="BA210" s="79" t="str">
        <f aca="false">IF(B210="","",ROUND(SUMIFS(AM$5:AM209,B$5:B209,"&gt;="&amp;(B210-WEEKDAY(B210,2)+1),B$5:B209,"&lt;="&amp;B210,BJ$5:BJ209,BJ210),2))</f>
        <v/>
      </c>
      <c r="BB210" s="68" t="str">
        <f aca="false">IF(B210="","",IF(AND(AF210&lt;&gt;"",AV210&lt;&gt;"",N(AF210)&gt;N(AV210)*(1+Settings!$C$13)),"Oversized",IF(AX210&gt;Settings!$C$10,"Overtraded",IF(AY210&lt;=-Settings!$C$11*(AW210-AY210),"Daily loss hit",IF(BA210&lt;=-Settings!$C$12*(AW210-BA210),"Weekly loss hit","OK")))))</f>
        <v/>
      </c>
      <c r="BC210" s="69"/>
      <c r="BD210" s="69"/>
      <c r="BE210" s="69"/>
      <c r="BF210" s="73"/>
      <c r="BG210" s="73"/>
      <c r="BH210" s="71"/>
      <c r="BI210" s="71"/>
      <c r="BJ210" s="68" t="str">
        <f aca="false">IF(B210="","",IF(E210="",Settings!$F$5,E210))</f>
        <v/>
      </c>
      <c r="BK210" s="76" t="str">
        <f aca="false">IF(B210="","",IFERROR(INDEX(Settings!$G$5:$G$10,MATCH(BJ210,Settings!$F$5:$F$10,0)),Settings!$G$5))</f>
        <v/>
      </c>
      <c r="BL210" s="82" t="str">
        <f aca="false">IF(I210="","",IFERROR(1/(1/INDEX(Lists!$C$6:$C$17,MATCH(I210,Lists!$B$6:$B$17,0))),""))</f>
        <v/>
      </c>
      <c r="BM210" s="81" t="str">
        <f aca="false">IF(I210="","",IFERROR(1/(1/INDEX(Lists!$D$6:$D$17,MATCH(I210,Lists!$B$6:$B$17,0))),""))</f>
        <v/>
      </c>
      <c r="BN210" s="76" t="str">
        <f aca="false">IF(AN210="","",MAX(BK210,_xlfn.MAXIFS(AN$6:AN210,BJ$6:BJ210,BJ210)))</f>
        <v/>
      </c>
      <c r="BO210" s="83" t="str">
        <f aca="false">IF(AN210="","",(AN210-BN210)/BN210)</f>
        <v/>
      </c>
      <c r="BP210" s="66" t="n">
        <f aca="false">IF(OR(B210="",AL210=""),0,IF(OR(Settings!$C$28="All Accounts",BJ210=Settings!$C$28),1,0))</f>
        <v>0</v>
      </c>
      <c r="BQ210" s="66" t="str">
        <f aca="false">IF(BP210=1,SUM(BP$6:BP210),"")</f>
        <v/>
      </c>
      <c r="BR210" s="76" t="str">
        <f aca="false">IF(BP210=1,ROUND(Settings!$C$29+SUMIFS(AM$6:AM210,BP$6:BP210,1),2),"")</f>
        <v/>
      </c>
      <c r="BS210" s="76" t="str">
        <f aca="false">IF(BP210=1,MAX(Settings!$C$29,MAX(BR$6:BR210)),"")</f>
        <v/>
      </c>
      <c r="BT210" s="83" t="str">
        <f aca="false">IF(BP210=1,(BR210-BS210)/BS210,"")</f>
        <v/>
      </c>
      <c r="BU210" s="66" t="str">
        <f aca="false">IF(BP210=1,IF(AL210="Win",1+IF(BQ210=1,0,INDEX(BU$5:BU209,MATCH(BQ210-1,BQ$5:BQ209,0))),0),"")</f>
        <v/>
      </c>
      <c r="BV210" s="66" t="str">
        <f aca="false">IF(BP210=1,IF(AL210="Loss",1+IF(BQ210=1,0,INDEX(BV$5:BV209,MATCH(BQ210-1,BQ$5:BQ209,0))),0),"")</f>
        <v/>
      </c>
    </row>
    <row r="211" customFormat="false" ht="15" hidden="false" customHeight="false" outlineLevel="0" collapsed="false">
      <c r="A211" s="66" t="str">
        <f aca="false">IF(B211="","",ROW()-5)</f>
        <v/>
      </c>
      <c r="B211" s="67"/>
      <c r="C211" s="68" t="str">
        <f aca="false">IF(B211="","",CHOOSE(WEEKDAY(B211,2),"Mon","Tue","Wed","Thu","Fri","Sat","Sun"))</f>
        <v/>
      </c>
      <c r="D211" s="66" t="str">
        <f aca="false">IF(B211="","",WEEKNUM(B211,2))</f>
        <v/>
      </c>
      <c r="E211" s="69"/>
      <c r="F211" s="69"/>
      <c r="G211" s="70"/>
      <c r="H211" s="70"/>
      <c r="I211" s="69"/>
      <c r="J211" s="69"/>
      <c r="K211" s="69"/>
      <c r="L211" s="71"/>
      <c r="M211" s="69"/>
      <c r="N211" s="69"/>
      <c r="O211" s="69"/>
      <c r="P211" s="71"/>
      <c r="Q211" s="69"/>
      <c r="R211" s="69"/>
      <c r="S211" s="69"/>
      <c r="T211" s="69"/>
      <c r="U211" s="69"/>
      <c r="V211" s="69"/>
      <c r="W211" s="69"/>
      <c r="X211" s="66" t="str">
        <f aca="false">IF(B211="","",COUNTIF(Q211:W211,"Yes"))</f>
        <v/>
      </c>
      <c r="Y211" s="68" t="str">
        <f aca="false">IF(B211="","",IF(X211&gt;=Settings!$C$16,"A+",IF(X211&gt;=Settings!$C$17,"A",IF(X211&gt;=Settings!$C$18,"B","C"))))</f>
        <v/>
      </c>
      <c r="Z211" s="72"/>
      <c r="AA211" s="72"/>
      <c r="AB211" s="72"/>
      <c r="AC211" s="72"/>
      <c r="AD211" s="72"/>
      <c r="AE211" s="72"/>
      <c r="AF211" s="73"/>
      <c r="AG211" s="74"/>
      <c r="AH211" s="75"/>
      <c r="AI211" s="76" t="str">
        <f aca="false">IF(B211="","",ROUND(IF(AG211="",Settings!$C$5,AG211)*AW211,2))</f>
        <v/>
      </c>
      <c r="AJ211" s="77" t="str">
        <f aca="false">IF(OR(B211="",AB211="",AC211="",AD211=""),"",IFERROR(ROUND(ABS(AD211-AB211)/ABS(AB211-AC211),2),""))</f>
        <v/>
      </c>
      <c r="AK211" s="78" t="str">
        <f aca="false">IF(OR(B211="",AB211="",AC211="",AE211=""),"",IFERROR(ROUND(IF(J211="Short",AB211-AE211,AE211-AB211)/ABS(AB211-AC211),2),""))</f>
        <v/>
      </c>
      <c r="AL211" s="68" t="str">
        <f aca="false">IF(AK211="","",IF(ABS(AK211)&lt;=Settings!$C$6,"BE",IF(AK211&gt;0,"Win","Loss")))</f>
        <v/>
      </c>
      <c r="AM211" s="79" t="str">
        <f aca="false">IF(OR(AK211="",AI211=""),"",ROUND(AK211*AI211-N(AH211),2))</f>
        <v/>
      </c>
      <c r="AN211" s="76" t="str">
        <f aca="false">IF(AM211="","",ROUND(BK211+SUMIFS(AM$6:AM211,BJ$6:BJ211,BJ211),2))</f>
        <v/>
      </c>
      <c r="AO211" s="78" t="str">
        <f aca="false">IF(AK211="","",ROUND(SUMIFS(AK$6:AK211,BJ$6:BJ211,BJ211),2))</f>
        <v/>
      </c>
      <c r="AP211" s="80" t="str">
        <f aca="false">IF(OR(AK211="",BL211=""),"",IFERROR(ROUND(IF(J211="Short",AB211-AE211,AE211-AB211)/BL211,1),""))</f>
        <v/>
      </c>
      <c r="AQ211" s="66" t="str">
        <f aca="false">IF(OR(G211="",H211=""),"",ROUND(MOD(H211-G211,1)*1440,0))</f>
        <v/>
      </c>
      <c r="AR211" s="68" t="str">
        <f aca="false">IF(AQ211="","",IF(AQ211&lt;15,"Under 15m",IF(AQ211&lt;60,"15-60m",IF(AQ211&lt;240,"1-4 hours","4+ hours"))))</f>
        <v/>
      </c>
      <c r="AS211" s="66" t="str">
        <f aca="false">IF(G211="","",HOUR(G211))</f>
        <v/>
      </c>
      <c r="AT211" s="80" t="str">
        <f aca="false">IF(OR(Z211="",AB211="",BL211=""),"",IFERROR(ROUND(IF(J211="Short",Z211-AB211,AB211-Z211)/BL211,1),""))</f>
        <v/>
      </c>
      <c r="AU211" s="68" t="str">
        <f aca="false">IF(OR(AA211="",AC211=""),"",IF(AA211=AC211,"No","Yes"))</f>
        <v/>
      </c>
      <c r="AV211" s="81" t="str">
        <f aca="false">IF(OR(B211="",BL211="",BM211="",AB211="",AC211=""),"",IFERROR(ROUND(AI211/(ABS(AB211-AC211)/BL211*BM211),2),""))</f>
        <v/>
      </c>
      <c r="AW211" s="76" t="str">
        <f aca="false">IF(B211="","",ROUND(BK211+SUMIFS(AM$5:AM210,BJ$5:BJ210,BJ211),2))</f>
        <v/>
      </c>
      <c r="AX211" s="66" t="str">
        <f aca="false">IF(B211="","",COUNTIFS(B$6:B211,B211,BJ$6:BJ211,BJ211))</f>
        <v/>
      </c>
      <c r="AY211" s="79" t="str">
        <f aca="false">IF(B211="","",ROUND(SUMIFS(AM$5:AM210,B$5:B210,B211,BJ$5:BJ210,BJ211),2))</f>
        <v/>
      </c>
      <c r="AZ211" s="79" t="str">
        <f aca="false">IF(AM211="","",ROUND(AY211+AM211,2))</f>
        <v/>
      </c>
      <c r="BA211" s="79" t="str">
        <f aca="false">IF(B211="","",ROUND(SUMIFS(AM$5:AM210,B$5:B210,"&gt;="&amp;(B211-WEEKDAY(B211,2)+1),B$5:B210,"&lt;="&amp;B211,BJ$5:BJ210,BJ211),2))</f>
        <v/>
      </c>
      <c r="BB211" s="68" t="str">
        <f aca="false">IF(B211="","",IF(AND(AF211&lt;&gt;"",AV211&lt;&gt;"",N(AF211)&gt;N(AV211)*(1+Settings!$C$13)),"Oversized",IF(AX211&gt;Settings!$C$10,"Overtraded",IF(AY211&lt;=-Settings!$C$11*(AW211-AY211),"Daily loss hit",IF(BA211&lt;=-Settings!$C$12*(AW211-BA211),"Weekly loss hit","OK")))))</f>
        <v/>
      </c>
      <c r="BC211" s="69"/>
      <c r="BD211" s="69"/>
      <c r="BE211" s="69"/>
      <c r="BF211" s="73"/>
      <c r="BG211" s="73"/>
      <c r="BH211" s="71"/>
      <c r="BI211" s="71"/>
      <c r="BJ211" s="68" t="str">
        <f aca="false">IF(B211="","",IF(E211="",Settings!$F$5,E211))</f>
        <v/>
      </c>
      <c r="BK211" s="76" t="str">
        <f aca="false">IF(B211="","",IFERROR(INDEX(Settings!$G$5:$G$10,MATCH(BJ211,Settings!$F$5:$F$10,0)),Settings!$G$5))</f>
        <v/>
      </c>
      <c r="BL211" s="82" t="str">
        <f aca="false">IF(I211="","",IFERROR(1/(1/INDEX(Lists!$C$6:$C$17,MATCH(I211,Lists!$B$6:$B$17,0))),""))</f>
        <v/>
      </c>
      <c r="BM211" s="81" t="str">
        <f aca="false">IF(I211="","",IFERROR(1/(1/INDEX(Lists!$D$6:$D$17,MATCH(I211,Lists!$B$6:$B$17,0))),""))</f>
        <v/>
      </c>
      <c r="BN211" s="76" t="str">
        <f aca="false">IF(AN211="","",MAX(BK211,_xlfn.MAXIFS(AN$6:AN211,BJ$6:BJ211,BJ211)))</f>
        <v/>
      </c>
      <c r="BO211" s="83" t="str">
        <f aca="false">IF(AN211="","",(AN211-BN211)/BN211)</f>
        <v/>
      </c>
      <c r="BP211" s="66" t="n">
        <f aca="false">IF(OR(B211="",AL211=""),0,IF(OR(Settings!$C$28="All Accounts",BJ211=Settings!$C$28),1,0))</f>
        <v>0</v>
      </c>
      <c r="BQ211" s="66" t="str">
        <f aca="false">IF(BP211=1,SUM(BP$6:BP211),"")</f>
        <v/>
      </c>
      <c r="BR211" s="76" t="str">
        <f aca="false">IF(BP211=1,ROUND(Settings!$C$29+SUMIFS(AM$6:AM211,BP$6:BP211,1),2),"")</f>
        <v/>
      </c>
      <c r="BS211" s="76" t="str">
        <f aca="false">IF(BP211=1,MAX(Settings!$C$29,MAX(BR$6:BR211)),"")</f>
        <v/>
      </c>
      <c r="BT211" s="83" t="str">
        <f aca="false">IF(BP211=1,(BR211-BS211)/BS211,"")</f>
        <v/>
      </c>
      <c r="BU211" s="66" t="str">
        <f aca="false">IF(BP211=1,IF(AL211="Win",1+IF(BQ211=1,0,INDEX(BU$5:BU210,MATCH(BQ211-1,BQ$5:BQ210,0))),0),"")</f>
        <v/>
      </c>
      <c r="BV211" s="66" t="str">
        <f aca="false">IF(BP211=1,IF(AL211="Loss",1+IF(BQ211=1,0,INDEX(BV$5:BV210,MATCH(BQ211-1,BQ$5:BQ210,0))),0),"")</f>
        <v/>
      </c>
    </row>
    <row r="212" customFormat="false" ht="15" hidden="false" customHeight="false" outlineLevel="0" collapsed="false">
      <c r="A212" s="66" t="str">
        <f aca="false">IF(B212="","",ROW()-5)</f>
        <v/>
      </c>
      <c r="B212" s="67"/>
      <c r="C212" s="68" t="str">
        <f aca="false">IF(B212="","",CHOOSE(WEEKDAY(B212,2),"Mon","Tue","Wed","Thu","Fri","Sat","Sun"))</f>
        <v/>
      </c>
      <c r="D212" s="66" t="str">
        <f aca="false">IF(B212="","",WEEKNUM(B212,2))</f>
        <v/>
      </c>
      <c r="E212" s="69"/>
      <c r="F212" s="69"/>
      <c r="G212" s="70"/>
      <c r="H212" s="70"/>
      <c r="I212" s="69"/>
      <c r="J212" s="69"/>
      <c r="K212" s="69"/>
      <c r="L212" s="71"/>
      <c r="M212" s="69"/>
      <c r="N212" s="69"/>
      <c r="O212" s="69"/>
      <c r="P212" s="71"/>
      <c r="Q212" s="69"/>
      <c r="R212" s="69"/>
      <c r="S212" s="69"/>
      <c r="T212" s="69"/>
      <c r="U212" s="69"/>
      <c r="V212" s="69"/>
      <c r="W212" s="69"/>
      <c r="X212" s="66" t="str">
        <f aca="false">IF(B212="","",COUNTIF(Q212:W212,"Yes"))</f>
        <v/>
      </c>
      <c r="Y212" s="68" t="str">
        <f aca="false">IF(B212="","",IF(X212&gt;=Settings!$C$16,"A+",IF(X212&gt;=Settings!$C$17,"A",IF(X212&gt;=Settings!$C$18,"B","C"))))</f>
        <v/>
      </c>
      <c r="Z212" s="72"/>
      <c r="AA212" s="72"/>
      <c r="AB212" s="72"/>
      <c r="AC212" s="72"/>
      <c r="AD212" s="72"/>
      <c r="AE212" s="72"/>
      <c r="AF212" s="73"/>
      <c r="AG212" s="74"/>
      <c r="AH212" s="75"/>
      <c r="AI212" s="76" t="str">
        <f aca="false">IF(B212="","",ROUND(IF(AG212="",Settings!$C$5,AG212)*AW212,2))</f>
        <v/>
      </c>
      <c r="AJ212" s="77" t="str">
        <f aca="false">IF(OR(B212="",AB212="",AC212="",AD212=""),"",IFERROR(ROUND(ABS(AD212-AB212)/ABS(AB212-AC212),2),""))</f>
        <v/>
      </c>
      <c r="AK212" s="78" t="str">
        <f aca="false">IF(OR(B212="",AB212="",AC212="",AE212=""),"",IFERROR(ROUND(IF(J212="Short",AB212-AE212,AE212-AB212)/ABS(AB212-AC212),2),""))</f>
        <v/>
      </c>
      <c r="AL212" s="68" t="str">
        <f aca="false">IF(AK212="","",IF(ABS(AK212)&lt;=Settings!$C$6,"BE",IF(AK212&gt;0,"Win","Loss")))</f>
        <v/>
      </c>
      <c r="AM212" s="79" t="str">
        <f aca="false">IF(OR(AK212="",AI212=""),"",ROUND(AK212*AI212-N(AH212),2))</f>
        <v/>
      </c>
      <c r="AN212" s="76" t="str">
        <f aca="false">IF(AM212="","",ROUND(BK212+SUMIFS(AM$6:AM212,BJ$6:BJ212,BJ212),2))</f>
        <v/>
      </c>
      <c r="AO212" s="78" t="str">
        <f aca="false">IF(AK212="","",ROUND(SUMIFS(AK$6:AK212,BJ$6:BJ212,BJ212),2))</f>
        <v/>
      </c>
      <c r="AP212" s="80" t="str">
        <f aca="false">IF(OR(AK212="",BL212=""),"",IFERROR(ROUND(IF(J212="Short",AB212-AE212,AE212-AB212)/BL212,1),""))</f>
        <v/>
      </c>
      <c r="AQ212" s="66" t="str">
        <f aca="false">IF(OR(G212="",H212=""),"",ROUND(MOD(H212-G212,1)*1440,0))</f>
        <v/>
      </c>
      <c r="AR212" s="68" t="str">
        <f aca="false">IF(AQ212="","",IF(AQ212&lt;15,"Under 15m",IF(AQ212&lt;60,"15-60m",IF(AQ212&lt;240,"1-4 hours","4+ hours"))))</f>
        <v/>
      </c>
      <c r="AS212" s="66" t="str">
        <f aca="false">IF(G212="","",HOUR(G212))</f>
        <v/>
      </c>
      <c r="AT212" s="80" t="str">
        <f aca="false">IF(OR(Z212="",AB212="",BL212=""),"",IFERROR(ROUND(IF(J212="Short",Z212-AB212,AB212-Z212)/BL212,1),""))</f>
        <v/>
      </c>
      <c r="AU212" s="68" t="str">
        <f aca="false">IF(OR(AA212="",AC212=""),"",IF(AA212=AC212,"No","Yes"))</f>
        <v/>
      </c>
      <c r="AV212" s="81" t="str">
        <f aca="false">IF(OR(B212="",BL212="",BM212="",AB212="",AC212=""),"",IFERROR(ROUND(AI212/(ABS(AB212-AC212)/BL212*BM212),2),""))</f>
        <v/>
      </c>
      <c r="AW212" s="76" t="str">
        <f aca="false">IF(B212="","",ROUND(BK212+SUMIFS(AM$5:AM211,BJ$5:BJ211,BJ212),2))</f>
        <v/>
      </c>
      <c r="AX212" s="66" t="str">
        <f aca="false">IF(B212="","",COUNTIFS(B$6:B212,B212,BJ$6:BJ212,BJ212))</f>
        <v/>
      </c>
      <c r="AY212" s="79" t="str">
        <f aca="false">IF(B212="","",ROUND(SUMIFS(AM$5:AM211,B$5:B211,B212,BJ$5:BJ211,BJ212),2))</f>
        <v/>
      </c>
      <c r="AZ212" s="79" t="str">
        <f aca="false">IF(AM212="","",ROUND(AY212+AM212,2))</f>
        <v/>
      </c>
      <c r="BA212" s="79" t="str">
        <f aca="false">IF(B212="","",ROUND(SUMIFS(AM$5:AM211,B$5:B211,"&gt;="&amp;(B212-WEEKDAY(B212,2)+1),B$5:B211,"&lt;="&amp;B212,BJ$5:BJ211,BJ212),2))</f>
        <v/>
      </c>
      <c r="BB212" s="68" t="str">
        <f aca="false">IF(B212="","",IF(AND(AF212&lt;&gt;"",AV212&lt;&gt;"",N(AF212)&gt;N(AV212)*(1+Settings!$C$13)),"Oversized",IF(AX212&gt;Settings!$C$10,"Overtraded",IF(AY212&lt;=-Settings!$C$11*(AW212-AY212),"Daily loss hit",IF(BA212&lt;=-Settings!$C$12*(AW212-BA212),"Weekly loss hit","OK")))))</f>
        <v/>
      </c>
      <c r="BC212" s="69"/>
      <c r="BD212" s="69"/>
      <c r="BE212" s="69"/>
      <c r="BF212" s="73"/>
      <c r="BG212" s="73"/>
      <c r="BH212" s="71"/>
      <c r="BI212" s="71"/>
      <c r="BJ212" s="68" t="str">
        <f aca="false">IF(B212="","",IF(E212="",Settings!$F$5,E212))</f>
        <v/>
      </c>
      <c r="BK212" s="76" t="str">
        <f aca="false">IF(B212="","",IFERROR(INDEX(Settings!$G$5:$G$10,MATCH(BJ212,Settings!$F$5:$F$10,0)),Settings!$G$5))</f>
        <v/>
      </c>
      <c r="BL212" s="82" t="str">
        <f aca="false">IF(I212="","",IFERROR(1/(1/INDEX(Lists!$C$6:$C$17,MATCH(I212,Lists!$B$6:$B$17,0))),""))</f>
        <v/>
      </c>
      <c r="BM212" s="81" t="str">
        <f aca="false">IF(I212="","",IFERROR(1/(1/INDEX(Lists!$D$6:$D$17,MATCH(I212,Lists!$B$6:$B$17,0))),""))</f>
        <v/>
      </c>
      <c r="BN212" s="76" t="str">
        <f aca="false">IF(AN212="","",MAX(BK212,_xlfn.MAXIFS(AN$6:AN212,BJ$6:BJ212,BJ212)))</f>
        <v/>
      </c>
      <c r="BO212" s="83" t="str">
        <f aca="false">IF(AN212="","",(AN212-BN212)/BN212)</f>
        <v/>
      </c>
      <c r="BP212" s="66" t="n">
        <f aca="false">IF(OR(B212="",AL212=""),0,IF(OR(Settings!$C$28="All Accounts",BJ212=Settings!$C$28),1,0))</f>
        <v>0</v>
      </c>
      <c r="BQ212" s="66" t="str">
        <f aca="false">IF(BP212=1,SUM(BP$6:BP212),"")</f>
        <v/>
      </c>
      <c r="BR212" s="76" t="str">
        <f aca="false">IF(BP212=1,ROUND(Settings!$C$29+SUMIFS(AM$6:AM212,BP$6:BP212,1),2),"")</f>
        <v/>
      </c>
      <c r="BS212" s="76" t="str">
        <f aca="false">IF(BP212=1,MAX(Settings!$C$29,MAX(BR$6:BR212)),"")</f>
        <v/>
      </c>
      <c r="BT212" s="83" t="str">
        <f aca="false">IF(BP212=1,(BR212-BS212)/BS212,"")</f>
        <v/>
      </c>
      <c r="BU212" s="66" t="str">
        <f aca="false">IF(BP212=1,IF(AL212="Win",1+IF(BQ212=1,0,INDEX(BU$5:BU211,MATCH(BQ212-1,BQ$5:BQ211,0))),0),"")</f>
        <v/>
      </c>
      <c r="BV212" s="66" t="str">
        <f aca="false">IF(BP212=1,IF(AL212="Loss",1+IF(BQ212=1,0,INDEX(BV$5:BV211,MATCH(BQ212-1,BQ$5:BQ211,0))),0),"")</f>
        <v/>
      </c>
    </row>
    <row r="213" customFormat="false" ht="15" hidden="false" customHeight="false" outlineLevel="0" collapsed="false">
      <c r="A213" s="66" t="str">
        <f aca="false">IF(B213="","",ROW()-5)</f>
        <v/>
      </c>
      <c r="B213" s="67"/>
      <c r="C213" s="68" t="str">
        <f aca="false">IF(B213="","",CHOOSE(WEEKDAY(B213,2),"Mon","Tue","Wed","Thu","Fri","Sat","Sun"))</f>
        <v/>
      </c>
      <c r="D213" s="66" t="str">
        <f aca="false">IF(B213="","",WEEKNUM(B213,2))</f>
        <v/>
      </c>
      <c r="E213" s="69"/>
      <c r="F213" s="69"/>
      <c r="G213" s="70"/>
      <c r="H213" s="70"/>
      <c r="I213" s="69"/>
      <c r="J213" s="69"/>
      <c r="K213" s="69"/>
      <c r="L213" s="71"/>
      <c r="M213" s="69"/>
      <c r="N213" s="69"/>
      <c r="O213" s="69"/>
      <c r="P213" s="71"/>
      <c r="Q213" s="69"/>
      <c r="R213" s="69"/>
      <c r="S213" s="69"/>
      <c r="T213" s="69"/>
      <c r="U213" s="69"/>
      <c r="V213" s="69"/>
      <c r="W213" s="69"/>
      <c r="X213" s="66" t="str">
        <f aca="false">IF(B213="","",COUNTIF(Q213:W213,"Yes"))</f>
        <v/>
      </c>
      <c r="Y213" s="68" t="str">
        <f aca="false">IF(B213="","",IF(X213&gt;=Settings!$C$16,"A+",IF(X213&gt;=Settings!$C$17,"A",IF(X213&gt;=Settings!$C$18,"B","C"))))</f>
        <v/>
      </c>
      <c r="Z213" s="72"/>
      <c r="AA213" s="72"/>
      <c r="AB213" s="72"/>
      <c r="AC213" s="72"/>
      <c r="AD213" s="72"/>
      <c r="AE213" s="72"/>
      <c r="AF213" s="73"/>
      <c r="AG213" s="74"/>
      <c r="AH213" s="75"/>
      <c r="AI213" s="76" t="str">
        <f aca="false">IF(B213="","",ROUND(IF(AG213="",Settings!$C$5,AG213)*AW213,2))</f>
        <v/>
      </c>
      <c r="AJ213" s="77" t="str">
        <f aca="false">IF(OR(B213="",AB213="",AC213="",AD213=""),"",IFERROR(ROUND(ABS(AD213-AB213)/ABS(AB213-AC213),2),""))</f>
        <v/>
      </c>
      <c r="AK213" s="78" t="str">
        <f aca="false">IF(OR(B213="",AB213="",AC213="",AE213=""),"",IFERROR(ROUND(IF(J213="Short",AB213-AE213,AE213-AB213)/ABS(AB213-AC213),2),""))</f>
        <v/>
      </c>
      <c r="AL213" s="68" t="str">
        <f aca="false">IF(AK213="","",IF(ABS(AK213)&lt;=Settings!$C$6,"BE",IF(AK213&gt;0,"Win","Loss")))</f>
        <v/>
      </c>
      <c r="AM213" s="79" t="str">
        <f aca="false">IF(OR(AK213="",AI213=""),"",ROUND(AK213*AI213-N(AH213),2))</f>
        <v/>
      </c>
      <c r="AN213" s="76" t="str">
        <f aca="false">IF(AM213="","",ROUND(BK213+SUMIFS(AM$6:AM213,BJ$6:BJ213,BJ213),2))</f>
        <v/>
      </c>
      <c r="AO213" s="78" t="str">
        <f aca="false">IF(AK213="","",ROUND(SUMIFS(AK$6:AK213,BJ$6:BJ213,BJ213),2))</f>
        <v/>
      </c>
      <c r="AP213" s="80" t="str">
        <f aca="false">IF(OR(AK213="",BL213=""),"",IFERROR(ROUND(IF(J213="Short",AB213-AE213,AE213-AB213)/BL213,1),""))</f>
        <v/>
      </c>
      <c r="AQ213" s="66" t="str">
        <f aca="false">IF(OR(G213="",H213=""),"",ROUND(MOD(H213-G213,1)*1440,0))</f>
        <v/>
      </c>
      <c r="AR213" s="68" t="str">
        <f aca="false">IF(AQ213="","",IF(AQ213&lt;15,"Under 15m",IF(AQ213&lt;60,"15-60m",IF(AQ213&lt;240,"1-4 hours","4+ hours"))))</f>
        <v/>
      </c>
      <c r="AS213" s="66" t="str">
        <f aca="false">IF(G213="","",HOUR(G213))</f>
        <v/>
      </c>
      <c r="AT213" s="80" t="str">
        <f aca="false">IF(OR(Z213="",AB213="",BL213=""),"",IFERROR(ROUND(IF(J213="Short",Z213-AB213,AB213-Z213)/BL213,1),""))</f>
        <v/>
      </c>
      <c r="AU213" s="68" t="str">
        <f aca="false">IF(OR(AA213="",AC213=""),"",IF(AA213=AC213,"No","Yes"))</f>
        <v/>
      </c>
      <c r="AV213" s="81" t="str">
        <f aca="false">IF(OR(B213="",BL213="",BM213="",AB213="",AC213=""),"",IFERROR(ROUND(AI213/(ABS(AB213-AC213)/BL213*BM213),2),""))</f>
        <v/>
      </c>
      <c r="AW213" s="76" t="str">
        <f aca="false">IF(B213="","",ROUND(BK213+SUMIFS(AM$5:AM212,BJ$5:BJ212,BJ213),2))</f>
        <v/>
      </c>
      <c r="AX213" s="66" t="str">
        <f aca="false">IF(B213="","",COUNTIFS(B$6:B213,B213,BJ$6:BJ213,BJ213))</f>
        <v/>
      </c>
      <c r="AY213" s="79" t="str">
        <f aca="false">IF(B213="","",ROUND(SUMIFS(AM$5:AM212,B$5:B212,B213,BJ$5:BJ212,BJ213),2))</f>
        <v/>
      </c>
      <c r="AZ213" s="79" t="str">
        <f aca="false">IF(AM213="","",ROUND(AY213+AM213,2))</f>
        <v/>
      </c>
      <c r="BA213" s="79" t="str">
        <f aca="false">IF(B213="","",ROUND(SUMIFS(AM$5:AM212,B$5:B212,"&gt;="&amp;(B213-WEEKDAY(B213,2)+1),B$5:B212,"&lt;="&amp;B213,BJ$5:BJ212,BJ213),2))</f>
        <v/>
      </c>
      <c r="BB213" s="68" t="str">
        <f aca="false">IF(B213="","",IF(AND(AF213&lt;&gt;"",AV213&lt;&gt;"",N(AF213)&gt;N(AV213)*(1+Settings!$C$13)),"Oversized",IF(AX213&gt;Settings!$C$10,"Overtraded",IF(AY213&lt;=-Settings!$C$11*(AW213-AY213),"Daily loss hit",IF(BA213&lt;=-Settings!$C$12*(AW213-BA213),"Weekly loss hit","OK")))))</f>
        <v/>
      </c>
      <c r="BC213" s="69"/>
      <c r="BD213" s="69"/>
      <c r="BE213" s="69"/>
      <c r="BF213" s="73"/>
      <c r="BG213" s="73"/>
      <c r="BH213" s="71"/>
      <c r="BI213" s="71"/>
      <c r="BJ213" s="68" t="str">
        <f aca="false">IF(B213="","",IF(E213="",Settings!$F$5,E213))</f>
        <v/>
      </c>
      <c r="BK213" s="76" t="str">
        <f aca="false">IF(B213="","",IFERROR(INDEX(Settings!$G$5:$G$10,MATCH(BJ213,Settings!$F$5:$F$10,0)),Settings!$G$5))</f>
        <v/>
      </c>
      <c r="BL213" s="82" t="str">
        <f aca="false">IF(I213="","",IFERROR(1/(1/INDEX(Lists!$C$6:$C$17,MATCH(I213,Lists!$B$6:$B$17,0))),""))</f>
        <v/>
      </c>
      <c r="BM213" s="81" t="str">
        <f aca="false">IF(I213="","",IFERROR(1/(1/INDEX(Lists!$D$6:$D$17,MATCH(I213,Lists!$B$6:$B$17,0))),""))</f>
        <v/>
      </c>
      <c r="BN213" s="76" t="str">
        <f aca="false">IF(AN213="","",MAX(BK213,_xlfn.MAXIFS(AN$6:AN213,BJ$6:BJ213,BJ213)))</f>
        <v/>
      </c>
      <c r="BO213" s="83" t="str">
        <f aca="false">IF(AN213="","",(AN213-BN213)/BN213)</f>
        <v/>
      </c>
      <c r="BP213" s="66" t="n">
        <f aca="false">IF(OR(B213="",AL213=""),0,IF(OR(Settings!$C$28="All Accounts",BJ213=Settings!$C$28),1,0))</f>
        <v>0</v>
      </c>
      <c r="BQ213" s="66" t="str">
        <f aca="false">IF(BP213=1,SUM(BP$6:BP213),"")</f>
        <v/>
      </c>
      <c r="BR213" s="76" t="str">
        <f aca="false">IF(BP213=1,ROUND(Settings!$C$29+SUMIFS(AM$6:AM213,BP$6:BP213,1),2),"")</f>
        <v/>
      </c>
      <c r="BS213" s="76" t="str">
        <f aca="false">IF(BP213=1,MAX(Settings!$C$29,MAX(BR$6:BR213)),"")</f>
        <v/>
      </c>
      <c r="BT213" s="83" t="str">
        <f aca="false">IF(BP213=1,(BR213-BS213)/BS213,"")</f>
        <v/>
      </c>
      <c r="BU213" s="66" t="str">
        <f aca="false">IF(BP213=1,IF(AL213="Win",1+IF(BQ213=1,0,INDEX(BU$5:BU212,MATCH(BQ213-1,BQ$5:BQ212,0))),0),"")</f>
        <v/>
      </c>
      <c r="BV213" s="66" t="str">
        <f aca="false">IF(BP213=1,IF(AL213="Loss",1+IF(BQ213=1,0,INDEX(BV$5:BV212,MATCH(BQ213-1,BQ$5:BQ212,0))),0),"")</f>
        <v/>
      </c>
    </row>
    <row r="214" customFormat="false" ht="15" hidden="false" customHeight="false" outlineLevel="0" collapsed="false">
      <c r="A214" s="66" t="str">
        <f aca="false">IF(B214="","",ROW()-5)</f>
        <v/>
      </c>
      <c r="B214" s="67"/>
      <c r="C214" s="68" t="str">
        <f aca="false">IF(B214="","",CHOOSE(WEEKDAY(B214,2),"Mon","Tue","Wed","Thu","Fri","Sat","Sun"))</f>
        <v/>
      </c>
      <c r="D214" s="66" t="str">
        <f aca="false">IF(B214="","",WEEKNUM(B214,2))</f>
        <v/>
      </c>
      <c r="E214" s="69"/>
      <c r="F214" s="69"/>
      <c r="G214" s="70"/>
      <c r="H214" s="70"/>
      <c r="I214" s="69"/>
      <c r="J214" s="69"/>
      <c r="K214" s="69"/>
      <c r="L214" s="71"/>
      <c r="M214" s="69"/>
      <c r="N214" s="69"/>
      <c r="O214" s="69"/>
      <c r="P214" s="71"/>
      <c r="Q214" s="69"/>
      <c r="R214" s="69"/>
      <c r="S214" s="69"/>
      <c r="T214" s="69"/>
      <c r="U214" s="69"/>
      <c r="V214" s="69"/>
      <c r="W214" s="69"/>
      <c r="X214" s="66" t="str">
        <f aca="false">IF(B214="","",COUNTIF(Q214:W214,"Yes"))</f>
        <v/>
      </c>
      <c r="Y214" s="68" t="str">
        <f aca="false">IF(B214="","",IF(X214&gt;=Settings!$C$16,"A+",IF(X214&gt;=Settings!$C$17,"A",IF(X214&gt;=Settings!$C$18,"B","C"))))</f>
        <v/>
      </c>
      <c r="Z214" s="72"/>
      <c r="AA214" s="72"/>
      <c r="AB214" s="72"/>
      <c r="AC214" s="72"/>
      <c r="AD214" s="72"/>
      <c r="AE214" s="72"/>
      <c r="AF214" s="73"/>
      <c r="AG214" s="74"/>
      <c r="AH214" s="75"/>
      <c r="AI214" s="76" t="str">
        <f aca="false">IF(B214="","",ROUND(IF(AG214="",Settings!$C$5,AG214)*AW214,2))</f>
        <v/>
      </c>
      <c r="AJ214" s="77" t="str">
        <f aca="false">IF(OR(B214="",AB214="",AC214="",AD214=""),"",IFERROR(ROUND(ABS(AD214-AB214)/ABS(AB214-AC214),2),""))</f>
        <v/>
      </c>
      <c r="AK214" s="78" t="str">
        <f aca="false">IF(OR(B214="",AB214="",AC214="",AE214=""),"",IFERROR(ROUND(IF(J214="Short",AB214-AE214,AE214-AB214)/ABS(AB214-AC214),2),""))</f>
        <v/>
      </c>
      <c r="AL214" s="68" t="str">
        <f aca="false">IF(AK214="","",IF(ABS(AK214)&lt;=Settings!$C$6,"BE",IF(AK214&gt;0,"Win","Loss")))</f>
        <v/>
      </c>
      <c r="AM214" s="79" t="str">
        <f aca="false">IF(OR(AK214="",AI214=""),"",ROUND(AK214*AI214-N(AH214),2))</f>
        <v/>
      </c>
      <c r="AN214" s="76" t="str">
        <f aca="false">IF(AM214="","",ROUND(BK214+SUMIFS(AM$6:AM214,BJ$6:BJ214,BJ214),2))</f>
        <v/>
      </c>
      <c r="AO214" s="78" t="str">
        <f aca="false">IF(AK214="","",ROUND(SUMIFS(AK$6:AK214,BJ$6:BJ214,BJ214),2))</f>
        <v/>
      </c>
      <c r="AP214" s="80" t="str">
        <f aca="false">IF(OR(AK214="",BL214=""),"",IFERROR(ROUND(IF(J214="Short",AB214-AE214,AE214-AB214)/BL214,1),""))</f>
        <v/>
      </c>
      <c r="AQ214" s="66" t="str">
        <f aca="false">IF(OR(G214="",H214=""),"",ROUND(MOD(H214-G214,1)*1440,0))</f>
        <v/>
      </c>
      <c r="AR214" s="68" t="str">
        <f aca="false">IF(AQ214="","",IF(AQ214&lt;15,"Under 15m",IF(AQ214&lt;60,"15-60m",IF(AQ214&lt;240,"1-4 hours","4+ hours"))))</f>
        <v/>
      </c>
      <c r="AS214" s="66" t="str">
        <f aca="false">IF(G214="","",HOUR(G214))</f>
        <v/>
      </c>
      <c r="AT214" s="80" t="str">
        <f aca="false">IF(OR(Z214="",AB214="",BL214=""),"",IFERROR(ROUND(IF(J214="Short",Z214-AB214,AB214-Z214)/BL214,1),""))</f>
        <v/>
      </c>
      <c r="AU214" s="68" t="str">
        <f aca="false">IF(OR(AA214="",AC214=""),"",IF(AA214=AC214,"No","Yes"))</f>
        <v/>
      </c>
      <c r="AV214" s="81" t="str">
        <f aca="false">IF(OR(B214="",BL214="",BM214="",AB214="",AC214=""),"",IFERROR(ROUND(AI214/(ABS(AB214-AC214)/BL214*BM214),2),""))</f>
        <v/>
      </c>
      <c r="AW214" s="76" t="str">
        <f aca="false">IF(B214="","",ROUND(BK214+SUMIFS(AM$5:AM213,BJ$5:BJ213,BJ214),2))</f>
        <v/>
      </c>
      <c r="AX214" s="66" t="str">
        <f aca="false">IF(B214="","",COUNTIFS(B$6:B214,B214,BJ$6:BJ214,BJ214))</f>
        <v/>
      </c>
      <c r="AY214" s="79" t="str">
        <f aca="false">IF(B214="","",ROUND(SUMIFS(AM$5:AM213,B$5:B213,B214,BJ$5:BJ213,BJ214),2))</f>
        <v/>
      </c>
      <c r="AZ214" s="79" t="str">
        <f aca="false">IF(AM214="","",ROUND(AY214+AM214,2))</f>
        <v/>
      </c>
      <c r="BA214" s="79" t="str">
        <f aca="false">IF(B214="","",ROUND(SUMIFS(AM$5:AM213,B$5:B213,"&gt;="&amp;(B214-WEEKDAY(B214,2)+1),B$5:B213,"&lt;="&amp;B214,BJ$5:BJ213,BJ214),2))</f>
        <v/>
      </c>
      <c r="BB214" s="68" t="str">
        <f aca="false">IF(B214="","",IF(AND(AF214&lt;&gt;"",AV214&lt;&gt;"",N(AF214)&gt;N(AV214)*(1+Settings!$C$13)),"Oversized",IF(AX214&gt;Settings!$C$10,"Overtraded",IF(AY214&lt;=-Settings!$C$11*(AW214-AY214),"Daily loss hit",IF(BA214&lt;=-Settings!$C$12*(AW214-BA214),"Weekly loss hit","OK")))))</f>
        <v/>
      </c>
      <c r="BC214" s="69"/>
      <c r="BD214" s="69"/>
      <c r="BE214" s="69"/>
      <c r="BF214" s="73"/>
      <c r="BG214" s="73"/>
      <c r="BH214" s="71"/>
      <c r="BI214" s="71"/>
      <c r="BJ214" s="68" t="str">
        <f aca="false">IF(B214="","",IF(E214="",Settings!$F$5,E214))</f>
        <v/>
      </c>
      <c r="BK214" s="76" t="str">
        <f aca="false">IF(B214="","",IFERROR(INDEX(Settings!$G$5:$G$10,MATCH(BJ214,Settings!$F$5:$F$10,0)),Settings!$G$5))</f>
        <v/>
      </c>
      <c r="BL214" s="82" t="str">
        <f aca="false">IF(I214="","",IFERROR(1/(1/INDEX(Lists!$C$6:$C$17,MATCH(I214,Lists!$B$6:$B$17,0))),""))</f>
        <v/>
      </c>
      <c r="BM214" s="81" t="str">
        <f aca="false">IF(I214="","",IFERROR(1/(1/INDEX(Lists!$D$6:$D$17,MATCH(I214,Lists!$B$6:$B$17,0))),""))</f>
        <v/>
      </c>
      <c r="BN214" s="76" t="str">
        <f aca="false">IF(AN214="","",MAX(BK214,_xlfn.MAXIFS(AN$6:AN214,BJ$6:BJ214,BJ214)))</f>
        <v/>
      </c>
      <c r="BO214" s="83" t="str">
        <f aca="false">IF(AN214="","",(AN214-BN214)/BN214)</f>
        <v/>
      </c>
      <c r="BP214" s="66" t="n">
        <f aca="false">IF(OR(B214="",AL214=""),0,IF(OR(Settings!$C$28="All Accounts",BJ214=Settings!$C$28),1,0))</f>
        <v>0</v>
      </c>
      <c r="BQ214" s="66" t="str">
        <f aca="false">IF(BP214=1,SUM(BP$6:BP214),"")</f>
        <v/>
      </c>
      <c r="BR214" s="76" t="str">
        <f aca="false">IF(BP214=1,ROUND(Settings!$C$29+SUMIFS(AM$6:AM214,BP$6:BP214,1),2),"")</f>
        <v/>
      </c>
      <c r="BS214" s="76" t="str">
        <f aca="false">IF(BP214=1,MAX(Settings!$C$29,MAX(BR$6:BR214)),"")</f>
        <v/>
      </c>
      <c r="BT214" s="83" t="str">
        <f aca="false">IF(BP214=1,(BR214-BS214)/BS214,"")</f>
        <v/>
      </c>
      <c r="BU214" s="66" t="str">
        <f aca="false">IF(BP214=1,IF(AL214="Win",1+IF(BQ214=1,0,INDEX(BU$5:BU213,MATCH(BQ214-1,BQ$5:BQ213,0))),0),"")</f>
        <v/>
      </c>
      <c r="BV214" s="66" t="str">
        <f aca="false">IF(BP214=1,IF(AL214="Loss",1+IF(BQ214=1,0,INDEX(BV$5:BV213,MATCH(BQ214-1,BQ$5:BQ213,0))),0),"")</f>
        <v/>
      </c>
    </row>
    <row r="215" customFormat="false" ht="15" hidden="false" customHeight="false" outlineLevel="0" collapsed="false">
      <c r="A215" s="66" t="str">
        <f aca="false">IF(B215="","",ROW()-5)</f>
        <v/>
      </c>
      <c r="B215" s="67"/>
      <c r="C215" s="68" t="str">
        <f aca="false">IF(B215="","",CHOOSE(WEEKDAY(B215,2),"Mon","Tue","Wed","Thu","Fri","Sat","Sun"))</f>
        <v/>
      </c>
      <c r="D215" s="66" t="str">
        <f aca="false">IF(B215="","",WEEKNUM(B215,2))</f>
        <v/>
      </c>
      <c r="E215" s="69"/>
      <c r="F215" s="69"/>
      <c r="G215" s="70"/>
      <c r="H215" s="70"/>
      <c r="I215" s="69"/>
      <c r="J215" s="69"/>
      <c r="K215" s="69"/>
      <c r="L215" s="71"/>
      <c r="M215" s="69"/>
      <c r="N215" s="69"/>
      <c r="O215" s="69"/>
      <c r="P215" s="71"/>
      <c r="Q215" s="69"/>
      <c r="R215" s="69"/>
      <c r="S215" s="69"/>
      <c r="T215" s="69"/>
      <c r="U215" s="69"/>
      <c r="V215" s="69"/>
      <c r="W215" s="69"/>
      <c r="X215" s="66" t="str">
        <f aca="false">IF(B215="","",COUNTIF(Q215:W215,"Yes"))</f>
        <v/>
      </c>
      <c r="Y215" s="68" t="str">
        <f aca="false">IF(B215="","",IF(X215&gt;=Settings!$C$16,"A+",IF(X215&gt;=Settings!$C$17,"A",IF(X215&gt;=Settings!$C$18,"B","C"))))</f>
        <v/>
      </c>
      <c r="Z215" s="72"/>
      <c r="AA215" s="72"/>
      <c r="AB215" s="72"/>
      <c r="AC215" s="72"/>
      <c r="AD215" s="72"/>
      <c r="AE215" s="72"/>
      <c r="AF215" s="73"/>
      <c r="AG215" s="74"/>
      <c r="AH215" s="75"/>
      <c r="AI215" s="76" t="str">
        <f aca="false">IF(B215="","",ROUND(IF(AG215="",Settings!$C$5,AG215)*AW215,2))</f>
        <v/>
      </c>
      <c r="AJ215" s="77" t="str">
        <f aca="false">IF(OR(B215="",AB215="",AC215="",AD215=""),"",IFERROR(ROUND(ABS(AD215-AB215)/ABS(AB215-AC215),2),""))</f>
        <v/>
      </c>
      <c r="AK215" s="78" t="str">
        <f aca="false">IF(OR(B215="",AB215="",AC215="",AE215=""),"",IFERROR(ROUND(IF(J215="Short",AB215-AE215,AE215-AB215)/ABS(AB215-AC215),2),""))</f>
        <v/>
      </c>
      <c r="AL215" s="68" t="str">
        <f aca="false">IF(AK215="","",IF(ABS(AK215)&lt;=Settings!$C$6,"BE",IF(AK215&gt;0,"Win","Loss")))</f>
        <v/>
      </c>
      <c r="AM215" s="79" t="str">
        <f aca="false">IF(OR(AK215="",AI215=""),"",ROUND(AK215*AI215-N(AH215),2))</f>
        <v/>
      </c>
      <c r="AN215" s="76" t="str">
        <f aca="false">IF(AM215="","",ROUND(BK215+SUMIFS(AM$6:AM215,BJ$6:BJ215,BJ215),2))</f>
        <v/>
      </c>
      <c r="AO215" s="78" t="str">
        <f aca="false">IF(AK215="","",ROUND(SUMIFS(AK$6:AK215,BJ$6:BJ215,BJ215),2))</f>
        <v/>
      </c>
      <c r="AP215" s="80" t="str">
        <f aca="false">IF(OR(AK215="",BL215=""),"",IFERROR(ROUND(IF(J215="Short",AB215-AE215,AE215-AB215)/BL215,1),""))</f>
        <v/>
      </c>
      <c r="AQ215" s="66" t="str">
        <f aca="false">IF(OR(G215="",H215=""),"",ROUND(MOD(H215-G215,1)*1440,0))</f>
        <v/>
      </c>
      <c r="AR215" s="68" t="str">
        <f aca="false">IF(AQ215="","",IF(AQ215&lt;15,"Under 15m",IF(AQ215&lt;60,"15-60m",IF(AQ215&lt;240,"1-4 hours","4+ hours"))))</f>
        <v/>
      </c>
      <c r="AS215" s="66" t="str">
        <f aca="false">IF(G215="","",HOUR(G215))</f>
        <v/>
      </c>
      <c r="AT215" s="80" t="str">
        <f aca="false">IF(OR(Z215="",AB215="",BL215=""),"",IFERROR(ROUND(IF(J215="Short",Z215-AB215,AB215-Z215)/BL215,1),""))</f>
        <v/>
      </c>
      <c r="AU215" s="68" t="str">
        <f aca="false">IF(OR(AA215="",AC215=""),"",IF(AA215=AC215,"No","Yes"))</f>
        <v/>
      </c>
      <c r="AV215" s="81" t="str">
        <f aca="false">IF(OR(B215="",BL215="",BM215="",AB215="",AC215=""),"",IFERROR(ROUND(AI215/(ABS(AB215-AC215)/BL215*BM215),2),""))</f>
        <v/>
      </c>
      <c r="AW215" s="76" t="str">
        <f aca="false">IF(B215="","",ROUND(BK215+SUMIFS(AM$5:AM214,BJ$5:BJ214,BJ215),2))</f>
        <v/>
      </c>
      <c r="AX215" s="66" t="str">
        <f aca="false">IF(B215="","",COUNTIFS(B$6:B215,B215,BJ$6:BJ215,BJ215))</f>
        <v/>
      </c>
      <c r="AY215" s="79" t="str">
        <f aca="false">IF(B215="","",ROUND(SUMIFS(AM$5:AM214,B$5:B214,B215,BJ$5:BJ214,BJ215),2))</f>
        <v/>
      </c>
      <c r="AZ215" s="79" t="str">
        <f aca="false">IF(AM215="","",ROUND(AY215+AM215,2))</f>
        <v/>
      </c>
      <c r="BA215" s="79" t="str">
        <f aca="false">IF(B215="","",ROUND(SUMIFS(AM$5:AM214,B$5:B214,"&gt;="&amp;(B215-WEEKDAY(B215,2)+1),B$5:B214,"&lt;="&amp;B215,BJ$5:BJ214,BJ215),2))</f>
        <v/>
      </c>
      <c r="BB215" s="68" t="str">
        <f aca="false">IF(B215="","",IF(AND(AF215&lt;&gt;"",AV215&lt;&gt;"",N(AF215)&gt;N(AV215)*(1+Settings!$C$13)),"Oversized",IF(AX215&gt;Settings!$C$10,"Overtraded",IF(AY215&lt;=-Settings!$C$11*(AW215-AY215),"Daily loss hit",IF(BA215&lt;=-Settings!$C$12*(AW215-BA215),"Weekly loss hit","OK")))))</f>
        <v/>
      </c>
      <c r="BC215" s="69"/>
      <c r="BD215" s="69"/>
      <c r="BE215" s="69"/>
      <c r="BF215" s="73"/>
      <c r="BG215" s="73"/>
      <c r="BH215" s="71"/>
      <c r="BI215" s="71"/>
      <c r="BJ215" s="68" t="str">
        <f aca="false">IF(B215="","",IF(E215="",Settings!$F$5,E215))</f>
        <v/>
      </c>
      <c r="BK215" s="76" t="str">
        <f aca="false">IF(B215="","",IFERROR(INDEX(Settings!$G$5:$G$10,MATCH(BJ215,Settings!$F$5:$F$10,0)),Settings!$G$5))</f>
        <v/>
      </c>
      <c r="BL215" s="82" t="str">
        <f aca="false">IF(I215="","",IFERROR(1/(1/INDEX(Lists!$C$6:$C$17,MATCH(I215,Lists!$B$6:$B$17,0))),""))</f>
        <v/>
      </c>
      <c r="BM215" s="81" t="str">
        <f aca="false">IF(I215="","",IFERROR(1/(1/INDEX(Lists!$D$6:$D$17,MATCH(I215,Lists!$B$6:$B$17,0))),""))</f>
        <v/>
      </c>
      <c r="BN215" s="76" t="str">
        <f aca="false">IF(AN215="","",MAX(BK215,_xlfn.MAXIFS(AN$6:AN215,BJ$6:BJ215,BJ215)))</f>
        <v/>
      </c>
      <c r="BO215" s="83" t="str">
        <f aca="false">IF(AN215="","",(AN215-BN215)/BN215)</f>
        <v/>
      </c>
      <c r="BP215" s="66" t="n">
        <f aca="false">IF(OR(B215="",AL215=""),0,IF(OR(Settings!$C$28="All Accounts",BJ215=Settings!$C$28),1,0))</f>
        <v>0</v>
      </c>
      <c r="BQ215" s="66" t="str">
        <f aca="false">IF(BP215=1,SUM(BP$6:BP215),"")</f>
        <v/>
      </c>
      <c r="BR215" s="76" t="str">
        <f aca="false">IF(BP215=1,ROUND(Settings!$C$29+SUMIFS(AM$6:AM215,BP$6:BP215,1),2),"")</f>
        <v/>
      </c>
      <c r="BS215" s="76" t="str">
        <f aca="false">IF(BP215=1,MAX(Settings!$C$29,MAX(BR$6:BR215)),"")</f>
        <v/>
      </c>
      <c r="BT215" s="83" t="str">
        <f aca="false">IF(BP215=1,(BR215-BS215)/BS215,"")</f>
        <v/>
      </c>
      <c r="BU215" s="66" t="str">
        <f aca="false">IF(BP215=1,IF(AL215="Win",1+IF(BQ215=1,0,INDEX(BU$5:BU214,MATCH(BQ215-1,BQ$5:BQ214,0))),0),"")</f>
        <v/>
      </c>
      <c r="BV215" s="66" t="str">
        <f aca="false">IF(BP215=1,IF(AL215="Loss",1+IF(BQ215=1,0,INDEX(BV$5:BV214,MATCH(BQ215-1,BQ$5:BQ214,0))),0),"")</f>
        <v/>
      </c>
    </row>
    <row r="216" customFormat="false" ht="15" hidden="false" customHeight="false" outlineLevel="0" collapsed="false">
      <c r="A216" s="66" t="str">
        <f aca="false">IF(B216="","",ROW()-5)</f>
        <v/>
      </c>
      <c r="B216" s="67"/>
      <c r="C216" s="68" t="str">
        <f aca="false">IF(B216="","",CHOOSE(WEEKDAY(B216,2),"Mon","Tue","Wed","Thu","Fri","Sat","Sun"))</f>
        <v/>
      </c>
      <c r="D216" s="66" t="str">
        <f aca="false">IF(B216="","",WEEKNUM(B216,2))</f>
        <v/>
      </c>
      <c r="E216" s="69"/>
      <c r="F216" s="69"/>
      <c r="G216" s="70"/>
      <c r="H216" s="70"/>
      <c r="I216" s="69"/>
      <c r="J216" s="69"/>
      <c r="K216" s="69"/>
      <c r="L216" s="71"/>
      <c r="M216" s="69"/>
      <c r="N216" s="69"/>
      <c r="O216" s="69"/>
      <c r="P216" s="71"/>
      <c r="Q216" s="69"/>
      <c r="R216" s="69"/>
      <c r="S216" s="69"/>
      <c r="T216" s="69"/>
      <c r="U216" s="69"/>
      <c r="V216" s="69"/>
      <c r="W216" s="69"/>
      <c r="X216" s="66" t="str">
        <f aca="false">IF(B216="","",COUNTIF(Q216:W216,"Yes"))</f>
        <v/>
      </c>
      <c r="Y216" s="68" t="str">
        <f aca="false">IF(B216="","",IF(X216&gt;=Settings!$C$16,"A+",IF(X216&gt;=Settings!$C$17,"A",IF(X216&gt;=Settings!$C$18,"B","C"))))</f>
        <v/>
      </c>
      <c r="Z216" s="72"/>
      <c r="AA216" s="72"/>
      <c r="AB216" s="72"/>
      <c r="AC216" s="72"/>
      <c r="AD216" s="72"/>
      <c r="AE216" s="72"/>
      <c r="AF216" s="73"/>
      <c r="AG216" s="74"/>
      <c r="AH216" s="75"/>
      <c r="AI216" s="76" t="str">
        <f aca="false">IF(B216="","",ROUND(IF(AG216="",Settings!$C$5,AG216)*AW216,2))</f>
        <v/>
      </c>
      <c r="AJ216" s="77" t="str">
        <f aca="false">IF(OR(B216="",AB216="",AC216="",AD216=""),"",IFERROR(ROUND(ABS(AD216-AB216)/ABS(AB216-AC216),2),""))</f>
        <v/>
      </c>
      <c r="AK216" s="78" t="str">
        <f aca="false">IF(OR(B216="",AB216="",AC216="",AE216=""),"",IFERROR(ROUND(IF(J216="Short",AB216-AE216,AE216-AB216)/ABS(AB216-AC216),2),""))</f>
        <v/>
      </c>
      <c r="AL216" s="68" t="str">
        <f aca="false">IF(AK216="","",IF(ABS(AK216)&lt;=Settings!$C$6,"BE",IF(AK216&gt;0,"Win","Loss")))</f>
        <v/>
      </c>
      <c r="AM216" s="79" t="str">
        <f aca="false">IF(OR(AK216="",AI216=""),"",ROUND(AK216*AI216-N(AH216),2))</f>
        <v/>
      </c>
      <c r="AN216" s="76" t="str">
        <f aca="false">IF(AM216="","",ROUND(BK216+SUMIFS(AM$6:AM216,BJ$6:BJ216,BJ216),2))</f>
        <v/>
      </c>
      <c r="AO216" s="78" t="str">
        <f aca="false">IF(AK216="","",ROUND(SUMIFS(AK$6:AK216,BJ$6:BJ216,BJ216),2))</f>
        <v/>
      </c>
      <c r="AP216" s="80" t="str">
        <f aca="false">IF(OR(AK216="",BL216=""),"",IFERROR(ROUND(IF(J216="Short",AB216-AE216,AE216-AB216)/BL216,1),""))</f>
        <v/>
      </c>
      <c r="AQ216" s="66" t="str">
        <f aca="false">IF(OR(G216="",H216=""),"",ROUND(MOD(H216-G216,1)*1440,0))</f>
        <v/>
      </c>
      <c r="AR216" s="68" t="str">
        <f aca="false">IF(AQ216="","",IF(AQ216&lt;15,"Under 15m",IF(AQ216&lt;60,"15-60m",IF(AQ216&lt;240,"1-4 hours","4+ hours"))))</f>
        <v/>
      </c>
      <c r="AS216" s="66" t="str">
        <f aca="false">IF(G216="","",HOUR(G216))</f>
        <v/>
      </c>
      <c r="AT216" s="80" t="str">
        <f aca="false">IF(OR(Z216="",AB216="",BL216=""),"",IFERROR(ROUND(IF(J216="Short",Z216-AB216,AB216-Z216)/BL216,1),""))</f>
        <v/>
      </c>
      <c r="AU216" s="68" t="str">
        <f aca="false">IF(OR(AA216="",AC216=""),"",IF(AA216=AC216,"No","Yes"))</f>
        <v/>
      </c>
      <c r="AV216" s="81" t="str">
        <f aca="false">IF(OR(B216="",BL216="",BM216="",AB216="",AC216=""),"",IFERROR(ROUND(AI216/(ABS(AB216-AC216)/BL216*BM216),2),""))</f>
        <v/>
      </c>
      <c r="AW216" s="76" t="str">
        <f aca="false">IF(B216="","",ROUND(BK216+SUMIFS(AM$5:AM215,BJ$5:BJ215,BJ216),2))</f>
        <v/>
      </c>
      <c r="AX216" s="66" t="str">
        <f aca="false">IF(B216="","",COUNTIFS(B$6:B216,B216,BJ$6:BJ216,BJ216))</f>
        <v/>
      </c>
      <c r="AY216" s="79" t="str">
        <f aca="false">IF(B216="","",ROUND(SUMIFS(AM$5:AM215,B$5:B215,B216,BJ$5:BJ215,BJ216),2))</f>
        <v/>
      </c>
      <c r="AZ216" s="79" t="str">
        <f aca="false">IF(AM216="","",ROUND(AY216+AM216,2))</f>
        <v/>
      </c>
      <c r="BA216" s="79" t="str">
        <f aca="false">IF(B216="","",ROUND(SUMIFS(AM$5:AM215,B$5:B215,"&gt;="&amp;(B216-WEEKDAY(B216,2)+1),B$5:B215,"&lt;="&amp;B216,BJ$5:BJ215,BJ216),2))</f>
        <v/>
      </c>
      <c r="BB216" s="68" t="str">
        <f aca="false">IF(B216="","",IF(AND(AF216&lt;&gt;"",AV216&lt;&gt;"",N(AF216)&gt;N(AV216)*(1+Settings!$C$13)),"Oversized",IF(AX216&gt;Settings!$C$10,"Overtraded",IF(AY216&lt;=-Settings!$C$11*(AW216-AY216),"Daily loss hit",IF(BA216&lt;=-Settings!$C$12*(AW216-BA216),"Weekly loss hit","OK")))))</f>
        <v/>
      </c>
      <c r="BC216" s="69"/>
      <c r="BD216" s="69"/>
      <c r="BE216" s="69"/>
      <c r="BF216" s="73"/>
      <c r="BG216" s="73"/>
      <c r="BH216" s="71"/>
      <c r="BI216" s="71"/>
      <c r="BJ216" s="68" t="str">
        <f aca="false">IF(B216="","",IF(E216="",Settings!$F$5,E216))</f>
        <v/>
      </c>
      <c r="BK216" s="76" t="str">
        <f aca="false">IF(B216="","",IFERROR(INDEX(Settings!$G$5:$G$10,MATCH(BJ216,Settings!$F$5:$F$10,0)),Settings!$G$5))</f>
        <v/>
      </c>
      <c r="BL216" s="82" t="str">
        <f aca="false">IF(I216="","",IFERROR(1/(1/INDEX(Lists!$C$6:$C$17,MATCH(I216,Lists!$B$6:$B$17,0))),""))</f>
        <v/>
      </c>
      <c r="BM216" s="81" t="str">
        <f aca="false">IF(I216="","",IFERROR(1/(1/INDEX(Lists!$D$6:$D$17,MATCH(I216,Lists!$B$6:$B$17,0))),""))</f>
        <v/>
      </c>
      <c r="BN216" s="76" t="str">
        <f aca="false">IF(AN216="","",MAX(BK216,_xlfn.MAXIFS(AN$6:AN216,BJ$6:BJ216,BJ216)))</f>
        <v/>
      </c>
      <c r="BO216" s="83" t="str">
        <f aca="false">IF(AN216="","",(AN216-BN216)/BN216)</f>
        <v/>
      </c>
      <c r="BP216" s="66" t="n">
        <f aca="false">IF(OR(B216="",AL216=""),0,IF(OR(Settings!$C$28="All Accounts",BJ216=Settings!$C$28),1,0))</f>
        <v>0</v>
      </c>
      <c r="BQ216" s="66" t="str">
        <f aca="false">IF(BP216=1,SUM(BP$6:BP216),"")</f>
        <v/>
      </c>
      <c r="BR216" s="76" t="str">
        <f aca="false">IF(BP216=1,ROUND(Settings!$C$29+SUMIFS(AM$6:AM216,BP$6:BP216,1),2),"")</f>
        <v/>
      </c>
      <c r="BS216" s="76" t="str">
        <f aca="false">IF(BP216=1,MAX(Settings!$C$29,MAX(BR$6:BR216)),"")</f>
        <v/>
      </c>
      <c r="BT216" s="83" t="str">
        <f aca="false">IF(BP216=1,(BR216-BS216)/BS216,"")</f>
        <v/>
      </c>
      <c r="BU216" s="66" t="str">
        <f aca="false">IF(BP216=1,IF(AL216="Win",1+IF(BQ216=1,0,INDEX(BU$5:BU215,MATCH(BQ216-1,BQ$5:BQ215,0))),0),"")</f>
        <v/>
      </c>
      <c r="BV216" s="66" t="str">
        <f aca="false">IF(BP216=1,IF(AL216="Loss",1+IF(BQ216=1,0,INDEX(BV$5:BV215,MATCH(BQ216-1,BQ$5:BQ215,0))),0),"")</f>
        <v/>
      </c>
    </row>
    <row r="217" customFormat="false" ht="15" hidden="false" customHeight="false" outlineLevel="0" collapsed="false">
      <c r="A217" s="66" t="str">
        <f aca="false">IF(B217="","",ROW()-5)</f>
        <v/>
      </c>
      <c r="B217" s="67"/>
      <c r="C217" s="68" t="str">
        <f aca="false">IF(B217="","",CHOOSE(WEEKDAY(B217,2),"Mon","Tue","Wed","Thu","Fri","Sat","Sun"))</f>
        <v/>
      </c>
      <c r="D217" s="66" t="str">
        <f aca="false">IF(B217="","",WEEKNUM(B217,2))</f>
        <v/>
      </c>
      <c r="E217" s="69"/>
      <c r="F217" s="69"/>
      <c r="G217" s="70"/>
      <c r="H217" s="70"/>
      <c r="I217" s="69"/>
      <c r="J217" s="69"/>
      <c r="K217" s="69"/>
      <c r="L217" s="71"/>
      <c r="M217" s="69"/>
      <c r="N217" s="69"/>
      <c r="O217" s="69"/>
      <c r="P217" s="71"/>
      <c r="Q217" s="69"/>
      <c r="R217" s="69"/>
      <c r="S217" s="69"/>
      <c r="T217" s="69"/>
      <c r="U217" s="69"/>
      <c r="V217" s="69"/>
      <c r="W217" s="69"/>
      <c r="X217" s="66" t="str">
        <f aca="false">IF(B217="","",COUNTIF(Q217:W217,"Yes"))</f>
        <v/>
      </c>
      <c r="Y217" s="68" t="str">
        <f aca="false">IF(B217="","",IF(X217&gt;=Settings!$C$16,"A+",IF(X217&gt;=Settings!$C$17,"A",IF(X217&gt;=Settings!$C$18,"B","C"))))</f>
        <v/>
      </c>
      <c r="Z217" s="72"/>
      <c r="AA217" s="72"/>
      <c r="AB217" s="72"/>
      <c r="AC217" s="72"/>
      <c r="AD217" s="72"/>
      <c r="AE217" s="72"/>
      <c r="AF217" s="73"/>
      <c r="AG217" s="74"/>
      <c r="AH217" s="75"/>
      <c r="AI217" s="76" t="str">
        <f aca="false">IF(B217="","",ROUND(IF(AG217="",Settings!$C$5,AG217)*AW217,2))</f>
        <v/>
      </c>
      <c r="AJ217" s="77" t="str">
        <f aca="false">IF(OR(B217="",AB217="",AC217="",AD217=""),"",IFERROR(ROUND(ABS(AD217-AB217)/ABS(AB217-AC217),2),""))</f>
        <v/>
      </c>
      <c r="AK217" s="78" t="str">
        <f aca="false">IF(OR(B217="",AB217="",AC217="",AE217=""),"",IFERROR(ROUND(IF(J217="Short",AB217-AE217,AE217-AB217)/ABS(AB217-AC217),2),""))</f>
        <v/>
      </c>
      <c r="AL217" s="68" t="str">
        <f aca="false">IF(AK217="","",IF(ABS(AK217)&lt;=Settings!$C$6,"BE",IF(AK217&gt;0,"Win","Loss")))</f>
        <v/>
      </c>
      <c r="AM217" s="79" t="str">
        <f aca="false">IF(OR(AK217="",AI217=""),"",ROUND(AK217*AI217-N(AH217),2))</f>
        <v/>
      </c>
      <c r="AN217" s="76" t="str">
        <f aca="false">IF(AM217="","",ROUND(BK217+SUMIFS(AM$6:AM217,BJ$6:BJ217,BJ217),2))</f>
        <v/>
      </c>
      <c r="AO217" s="78" t="str">
        <f aca="false">IF(AK217="","",ROUND(SUMIFS(AK$6:AK217,BJ$6:BJ217,BJ217),2))</f>
        <v/>
      </c>
      <c r="AP217" s="80" t="str">
        <f aca="false">IF(OR(AK217="",BL217=""),"",IFERROR(ROUND(IF(J217="Short",AB217-AE217,AE217-AB217)/BL217,1),""))</f>
        <v/>
      </c>
      <c r="AQ217" s="66" t="str">
        <f aca="false">IF(OR(G217="",H217=""),"",ROUND(MOD(H217-G217,1)*1440,0))</f>
        <v/>
      </c>
      <c r="AR217" s="68" t="str">
        <f aca="false">IF(AQ217="","",IF(AQ217&lt;15,"Under 15m",IF(AQ217&lt;60,"15-60m",IF(AQ217&lt;240,"1-4 hours","4+ hours"))))</f>
        <v/>
      </c>
      <c r="AS217" s="66" t="str">
        <f aca="false">IF(G217="","",HOUR(G217))</f>
        <v/>
      </c>
      <c r="AT217" s="80" t="str">
        <f aca="false">IF(OR(Z217="",AB217="",BL217=""),"",IFERROR(ROUND(IF(J217="Short",Z217-AB217,AB217-Z217)/BL217,1),""))</f>
        <v/>
      </c>
      <c r="AU217" s="68" t="str">
        <f aca="false">IF(OR(AA217="",AC217=""),"",IF(AA217=AC217,"No","Yes"))</f>
        <v/>
      </c>
      <c r="AV217" s="81" t="str">
        <f aca="false">IF(OR(B217="",BL217="",BM217="",AB217="",AC217=""),"",IFERROR(ROUND(AI217/(ABS(AB217-AC217)/BL217*BM217),2),""))</f>
        <v/>
      </c>
      <c r="AW217" s="76" t="str">
        <f aca="false">IF(B217="","",ROUND(BK217+SUMIFS(AM$5:AM216,BJ$5:BJ216,BJ217),2))</f>
        <v/>
      </c>
      <c r="AX217" s="66" t="str">
        <f aca="false">IF(B217="","",COUNTIFS(B$6:B217,B217,BJ$6:BJ217,BJ217))</f>
        <v/>
      </c>
      <c r="AY217" s="79" t="str">
        <f aca="false">IF(B217="","",ROUND(SUMIFS(AM$5:AM216,B$5:B216,B217,BJ$5:BJ216,BJ217),2))</f>
        <v/>
      </c>
      <c r="AZ217" s="79" t="str">
        <f aca="false">IF(AM217="","",ROUND(AY217+AM217,2))</f>
        <v/>
      </c>
      <c r="BA217" s="79" t="str">
        <f aca="false">IF(B217="","",ROUND(SUMIFS(AM$5:AM216,B$5:B216,"&gt;="&amp;(B217-WEEKDAY(B217,2)+1),B$5:B216,"&lt;="&amp;B217,BJ$5:BJ216,BJ217),2))</f>
        <v/>
      </c>
      <c r="BB217" s="68" t="str">
        <f aca="false">IF(B217="","",IF(AND(AF217&lt;&gt;"",AV217&lt;&gt;"",N(AF217)&gt;N(AV217)*(1+Settings!$C$13)),"Oversized",IF(AX217&gt;Settings!$C$10,"Overtraded",IF(AY217&lt;=-Settings!$C$11*(AW217-AY217),"Daily loss hit",IF(BA217&lt;=-Settings!$C$12*(AW217-BA217),"Weekly loss hit","OK")))))</f>
        <v/>
      </c>
      <c r="BC217" s="69"/>
      <c r="BD217" s="69"/>
      <c r="BE217" s="69"/>
      <c r="BF217" s="73"/>
      <c r="BG217" s="73"/>
      <c r="BH217" s="71"/>
      <c r="BI217" s="71"/>
      <c r="BJ217" s="68" t="str">
        <f aca="false">IF(B217="","",IF(E217="",Settings!$F$5,E217))</f>
        <v/>
      </c>
      <c r="BK217" s="76" t="str">
        <f aca="false">IF(B217="","",IFERROR(INDEX(Settings!$G$5:$G$10,MATCH(BJ217,Settings!$F$5:$F$10,0)),Settings!$G$5))</f>
        <v/>
      </c>
      <c r="BL217" s="82" t="str">
        <f aca="false">IF(I217="","",IFERROR(1/(1/INDEX(Lists!$C$6:$C$17,MATCH(I217,Lists!$B$6:$B$17,0))),""))</f>
        <v/>
      </c>
      <c r="BM217" s="81" t="str">
        <f aca="false">IF(I217="","",IFERROR(1/(1/INDEX(Lists!$D$6:$D$17,MATCH(I217,Lists!$B$6:$B$17,0))),""))</f>
        <v/>
      </c>
      <c r="BN217" s="76" t="str">
        <f aca="false">IF(AN217="","",MAX(BK217,_xlfn.MAXIFS(AN$6:AN217,BJ$6:BJ217,BJ217)))</f>
        <v/>
      </c>
      <c r="BO217" s="83" t="str">
        <f aca="false">IF(AN217="","",(AN217-BN217)/BN217)</f>
        <v/>
      </c>
      <c r="BP217" s="66" t="n">
        <f aca="false">IF(OR(B217="",AL217=""),0,IF(OR(Settings!$C$28="All Accounts",BJ217=Settings!$C$28),1,0))</f>
        <v>0</v>
      </c>
      <c r="BQ217" s="66" t="str">
        <f aca="false">IF(BP217=1,SUM(BP$6:BP217),"")</f>
        <v/>
      </c>
      <c r="BR217" s="76" t="str">
        <f aca="false">IF(BP217=1,ROUND(Settings!$C$29+SUMIFS(AM$6:AM217,BP$6:BP217,1),2),"")</f>
        <v/>
      </c>
      <c r="BS217" s="76" t="str">
        <f aca="false">IF(BP217=1,MAX(Settings!$C$29,MAX(BR$6:BR217)),"")</f>
        <v/>
      </c>
      <c r="BT217" s="83" t="str">
        <f aca="false">IF(BP217=1,(BR217-BS217)/BS217,"")</f>
        <v/>
      </c>
      <c r="BU217" s="66" t="str">
        <f aca="false">IF(BP217=1,IF(AL217="Win",1+IF(BQ217=1,0,INDEX(BU$5:BU216,MATCH(BQ217-1,BQ$5:BQ216,0))),0),"")</f>
        <v/>
      </c>
      <c r="BV217" s="66" t="str">
        <f aca="false">IF(BP217=1,IF(AL217="Loss",1+IF(BQ217=1,0,INDEX(BV$5:BV216,MATCH(BQ217-1,BQ$5:BQ216,0))),0),"")</f>
        <v/>
      </c>
    </row>
    <row r="218" customFormat="false" ht="15" hidden="false" customHeight="false" outlineLevel="0" collapsed="false">
      <c r="A218" s="66" t="str">
        <f aca="false">IF(B218="","",ROW()-5)</f>
        <v/>
      </c>
      <c r="B218" s="67"/>
      <c r="C218" s="68" t="str">
        <f aca="false">IF(B218="","",CHOOSE(WEEKDAY(B218,2),"Mon","Tue","Wed","Thu","Fri","Sat","Sun"))</f>
        <v/>
      </c>
      <c r="D218" s="66" t="str">
        <f aca="false">IF(B218="","",WEEKNUM(B218,2))</f>
        <v/>
      </c>
      <c r="E218" s="69"/>
      <c r="F218" s="69"/>
      <c r="G218" s="70"/>
      <c r="H218" s="70"/>
      <c r="I218" s="69"/>
      <c r="J218" s="69"/>
      <c r="K218" s="69"/>
      <c r="L218" s="71"/>
      <c r="M218" s="69"/>
      <c r="N218" s="69"/>
      <c r="O218" s="69"/>
      <c r="P218" s="71"/>
      <c r="Q218" s="69"/>
      <c r="R218" s="69"/>
      <c r="S218" s="69"/>
      <c r="T218" s="69"/>
      <c r="U218" s="69"/>
      <c r="V218" s="69"/>
      <c r="W218" s="69"/>
      <c r="X218" s="66" t="str">
        <f aca="false">IF(B218="","",COUNTIF(Q218:W218,"Yes"))</f>
        <v/>
      </c>
      <c r="Y218" s="68" t="str">
        <f aca="false">IF(B218="","",IF(X218&gt;=Settings!$C$16,"A+",IF(X218&gt;=Settings!$C$17,"A",IF(X218&gt;=Settings!$C$18,"B","C"))))</f>
        <v/>
      </c>
      <c r="Z218" s="72"/>
      <c r="AA218" s="72"/>
      <c r="AB218" s="72"/>
      <c r="AC218" s="72"/>
      <c r="AD218" s="72"/>
      <c r="AE218" s="72"/>
      <c r="AF218" s="73"/>
      <c r="AG218" s="74"/>
      <c r="AH218" s="75"/>
      <c r="AI218" s="76" t="str">
        <f aca="false">IF(B218="","",ROUND(IF(AG218="",Settings!$C$5,AG218)*AW218,2))</f>
        <v/>
      </c>
      <c r="AJ218" s="77" t="str">
        <f aca="false">IF(OR(B218="",AB218="",AC218="",AD218=""),"",IFERROR(ROUND(ABS(AD218-AB218)/ABS(AB218-AC218),2),""))</f>
        <v/>
      </c>
      <c r="AK218" s="78" t="str">
        <f aca="false">IF(OR(B218="",AB218="",AC218="",AE218=""),"",IFERROR(ROUND(IF(J218="Short",AB218-AE218,AE218-AB218)/ABS(AB218-AC218),2),""))</f>
        <v/>
      </c>
      <c r="AL218" s="68" t="str">
        <f aca="false">IF(AK218="","",IF(ABS(AK218)&lt;=Settings!$C$6,"BE",IF(AK218&gt;0,"Win","Loss")))</f>
        <v/>
      </c>
      <c r="AM218" s="79" t="str">
        <f aca="false">IF(OR(AK218="",AI218=""),"",ROUND(AK218*AI218-N(AH218),2))</f>
        <v/>
      </c>
      <c r="AN218" s="76" t="str">
        <f aca="false">IF(AM218="","",ROUND(BK218+SUMIFS(AM$6:AM218,BJ$6:BJ218,BJ218),2))</f>
        <v/>
      </c>
      <c r="AO218" s="78" t="str">
        <f aca="false">IF(AK218="","",ROUND(SUMIFS(AK$6:AK218,BJ$6:BJ218,BJ218),2))</f>
        <v/>
      </c>
      <c r="AP218" s="80" t="str">
        <f aca="false">IF(OR(AK218="",BL218=""),"",IFERROR(ROUND(IF(J218="Short",AB218-AE218,AE218-AB218)/BL218,1),""))</f>
        <v/>
      </c>
      <c r="AQ218" s="66" t="str">
        <f aca="false">IF(OR(G218="",H218=""),"",ROUND(MOD(H218-G218,1)*1440,0))</f>
        <v/>
      </c>
      <c r="AR218" s="68" t="str">
        <f aca="false">IF(AQ218="","",IF(AQ218&lt;15,"Under 15m",IF(AQ218&lt;60,"15-60m",IF(AQ218&lt;240,"1-4 hours","4+ hours"))))</f>
        <v/>
      </c>
      <c r="AS218" s="66" t="str">
        <f aca="false">IF(G218="","",HOUR(G218))</f>
        <v/>
      </c>
      <c r="AT218" s="80" t="str">
        <f aca="false">IF(OR(Z218="",AB218="",BL218=""),"",IFERROR(ROUND(IF(J218="Short",Z218-AB218,AB218-Z218)/BL218,1),""))</f>
        <v/>
      </c>
      <c r="AU218" s="68" t="str">
        <f aca="false">IF(OR(AA218="",AC218=""),"",IF(AA218=AC218,"No","Yes"))</f>
        <v/>
      </c>
      <c r="AV218" s="81" t="str">
        <f aca="false">IF(OR(B218="",BL218="",BM218="",AB218="",AC218=""),"",IFERROR(ROUND(AI218/(ABS(AB218-AC218)/BL218*BM218),2),""))</f>
        <v/>
      </c>
      <c r="AW218" s="76" t="str">
        <f aca="false">IF(B218="","",ROUND(BK218+SUMIFS(AM$5:AM217,BJ$5:BJ217,BJ218),2))</f>
        <v/>
      </c>
      <c r="AX218" s="66" t="str">
        <f aca="false">IF(B218="","",COUNTIFS(B$6:B218,B218,BJ$6:BJ218,BJ218))</f>
        <v/>
      </c>
      <c r="AY218" s="79" t="str">
        <f aca="false">IF(B218="","",ROUND(SUMIFS(AM$5:AM217,B$5:B217,B218,BJ$5:BJ217,BJ218),2))</f>
        <v/>
      </c>
      <c r="AZ218" s="79" t="str">
        <f aca="false">IF(AM218="","",ROUND(AY218+AM218,2))</f>
        <v/>
      </c>
      <c r="BA218" s="79" t="str">
        <f aca="false">IF(B218="","",ROUND(SUMIFS(AM$5:AM217,B$5:B217,"&gt;="&amp;(B218-WEEKDAY(B218,2)+1),B$5:B217,"&lt;="&amp;B218,BJ$5:BJ217,BJ218),2))</f>
        <v/>
      </c>
      <c r="BB218" s="68" t="str">
        <f aca="false">IF(B218="","",IF(AND(AF218&lt;&gt;"",AV218&lt;&gt;"",N(AF218)&gt;N(AV218)*(1+Settings!$C$13)),"Oversized",IF(AX218&gt;Settings!$C$10,"Overtraded",IF(AY218&lt;=-Settings!$C$11*(AW218-AY218),"Daily loss hit",IF(BA218&lt;=-Settings!$C$12*(AW218-BA218),"Weekly loss hit","OK")))))</f>
        <v/>
      </c>
      <c r="BC218" s="69"/>
      <c r="BD218" s="69"/>
      <c r="BE218" s="69"/>
      <c r="BF218" s="73"/>
      <c r="BG218" s="73"/>
      <c r="BH218" s="71"/>
      <c r="BI218" s="71"/>
      <c r="BJ218" s="68" t="str">
        <f aca="false">IF(B218="","",IF(E218="",Settings!$F$5,E218))</f>
        <v/>
      </c>
      <c r="BK218" s="76" t="str">
        <f aca="false">IF(B218="","",IFERROR(INDEX(Settings!$G$5:$G$10,MATCH(BJ218,Settings!$F$5:$F$10,0)),Settings!$G$5))</f>
        <v/>
      </c>
      <c r="BL218" s="82" t="str">
        <f aca="false">IF(I218="","",IFERROR(1/(1/INDEX(Lists!$C$6:$C$17,MATCH(I218,Lists!$B$6:$B$17,0))),""))</f>
        <v/>
      </c>
      <c r="BM218" s="81" t="str">
        <f aca="false">IF(I218="","",IFERROR(1/(1/INDEX(Lists!$D$6:$D$17,MATCH(I218,Lists!$B$6:$B$17,0))),""))</f>
        <v/>
      </c>
      <c r="BN218" s="76" t="str">
        <f aca="false">IF(AN218="","",MAX(BK218,_xlfn.MAXIFS(AN$6:AN218,BJ$6:BJ218,BJ218)))</f>
        <v/>
      </c>
      <c r="BO218" s="83" t="str">
        <f aca="false">IF(AN218="","",(AN218-BN218)/BN218)</f>
        <v/>
      </c>
      <c r="BP218" s="66" t="n">
        <f aca="false">IF(OR(B218="",AL218=""),0,IF(OR(Settings!$C$28="All Accounts",BJ218=Settings!$C$28),1,0))</f>
        <v>0</v>
      </c>
      <c r="BQ218" s="66" t="str">
        <f aca="false">IF(BP218=1,SUM(BP$6:BP218),"")</f>
        <v/>
      </c>
      <c r="BR218" s="76" t="str">
        <f aca="false">IF(BP218=1,ROUND(Settings!$C$29+SUMIFS(AM$6:AM218,BP$6:BP218,1),2),"")</f>
        <v/>
      </c>
      <c r="BS218" s="76" t="str">
        <f aca="false">IF(BP218=1,MAX(Settings!$C$29,MAX(BR$6:BR218)),"")</f>
        <v/>
      </c>
      <c r="BT218" s="83" t="str">
        <f aca="false">IF(BP218=1,(BR218-BS218)/BS218,"")</f>
        <v/>
      </c>
      <c r="BU218" s="66" t="str">
        <f aca="false">IF(BP218=1,IF(AL218="Win",1+IF(BQ218=1,0,INDEX(BU$5:BU217,MATCH(BQ218-1,BQ$5:BQ217,0))),0),"")</f>
        <v/>
      </c>
      <c r="BV218" s="66" t="str">
        <f aca="false">IF(BP218=1,IF(AL218="Loss",1+IF(BQ218=1,0,INDEX(BV$5:BV217,MATCH(BQ218-1,BQ$5:BQ217,0))),0),"")</f>
        <v/>
      </c>
    </row>
    <row r="219" customFormat="false" ht="15" hidden="false" customHeight="false" outlineLevel="0" collapsed="false">
      <c r="A219" s="66" t="str">
        <f aca="false">IF(B219="","",ROW()-5)</f>
        <v/>
      </c>
      <c r="B219" s="67"/>
      <c r="C219" s="68" t="str">
        <f aca="false">IF(B219="","",CHOOSE(WEEKDAY(B219,2),"Mon","Tue","Wed","Thu","Fri","Sat","Sun"))</f>
        <v/>
      </c>
      <c r="D219" s="66" t="str">
        <f aca="false">IF(B219="","",WEEKNUM(B219,2))</f>
        <v/>
      </c>
      <c r="E219" s="69"/>
      <c r="F219" s="69"/>
      <c r="G219" s="70"/>
      <c r="H219" s="70"/>
      <c r="I219" s="69"/>
      <c r="J219" s="69"/>
      <c r="K219" s="69"/>
      <c r="L219" s="71"/>
      <c r="M219" s="69"/>
      <c r="N219" s="69"/>
      <c r="O219" s="69"/>
      <c r="P219" s="71"/>
      <c r="Q219" s="69"/>
      <c r="R219" s="69"/>
      <c r="S219" s="69"/>
      <c r="T219" s="69"/>
      <c r="U219" s="69"/>
      <c r="V219" s="69"/>
      <c r="W219" s="69"/>
      <c r="X219" s="66" t="str">
        <f aca="false">IF(B219="","",COUNTIF(Q219:W219,"Yes"))</f>
        <v/>
      </c>
      <c r="Y219" s="68" t="str">
        <f aca="false">IF(B219="","",IF(X219&gt;=Settings!$C$16,"A+",IF(X219&gt;=Settings!$C$17,"A",IF(X219&gt;=Settings!$C$18,"B","C"))))</f>
        <v/>
      </c>
      <c r="Z219" s="72"/>
      <c r="AA219" s="72"/>
      <c r="AB219" s="72"/>
      <c r="AC219" s="72"/>
      <c r="AD219" s="72"/>
      <c r="AE219" s="72"/>
      <c r="AF219" s="73"/>
      <c r="AG219" s="74"/>
      <c r="AH219" s="75"/>
      <c r="AI219" s="76" t="str">
        <f aca="false">IF(B219="","",ROUND(IF(AG219="",Settings!$C$5,AG219)*AW219,2))</f>
        <v/>
      </c>
      <c r="AJ219" s="77" t="str">
        <f aca="false">IF(OR(B219="",AB219="",AC219="",AD219=""),"",IFERROR(ROUND(ABS(AD219-AB219)/ABS(AB219-AC219),2),""))</f>
        <v/>
      </c>
      <c r="AK219" s="78" t="str">
        <f aca="false">IF(OR(B219="",AB219="",AC219="",AE219=""),"",IFERROR(ROUND(IF(J219="Short",AB219-AE219,AE219-AB219)/ABS(AB219-AC219),2),""))</f>
        <v/>
      </c>
      <c r="AL219" s="68" t="str">
        <f aca="false">IF(AK219="","",IF(ABS(AK219)&lt;=Settings!$C$6,"BE",IF(AK219&gt;0,"Win","Loss")))</f>
        <v/>
      </c>
      <c r="AM219" s="79" t="str">
        <f aca="false">IF(OR(AK219="",AI219=""),"",ROUND(AK219*AI219-N(AH219),2))</f>
        <v/>
      </c>
      <c r="AN219" s="76" t="str">
        <f aca="false">IF(AM219="","",ROUND(BK219+SUMIFS(AM$6:AM219,BJ$6:BJ219,BJ219),2))</f>
        <v/>
      </c>
      <c r="AO219" s="78" t="str">
        <f aca="false">IF(AK219="","",ROUND(SUMIFS(AK$6:AK219,BJ$6:BJ219,BJ219),2))</f>
        <v/>
      </c>
      <c r="AP219" s="80" t="str">
        <f aca="false">IF(OR(AK219="",BL219=""),"",IFERROR(ROUND(IF(J219="Short",AB219-AE219,AE219-AB219)/BL219,1),""))</f>
        <v/>
      </c>
      <c r="AQ219" s="66" t="str">
        <f aca="false">IF(OR(G219="",H219=""),"",ROUND(MOD(H219-G219,1)*1440,0))</f>
        <v/>
      </c>
      <c r="AR219" s="68" t="str">
        <f aca="false">IF(AQ219="","",IF(AQ219&lt;15,"Under 15m",IF(AQ219&lt;60,"15-60m",IF(AQ219&lt;240,"1-4 hours","4+ hours"))))</f>
        <v/>
      </c>
      <c r="AS219" s="66" t="str">
        <f aca="false">IF(G219="","",HOUR(G219))</f>
        <v/>
      </c>
      <c r="AT219" s="80" t="str">
        <f aca="false">IF(OR(Z219="",AB219="",BL219=""),"",IFERROR(ROUND(IF(J219="Short",Z219-AB219,AB219-Z219)/BL219,1),""))</f>
        <v/>
      </c>
      <c r="AU219" s="68" t="str">
        <f aca="false">IF(OR(AA219="",AC219=""),"",IF(AA219=AC219,"No","Yes"))</f>
        <v/>
      </c>
      <c r="AV219" s="81" t="str">
        <f aca="false">IF(OR(B219="",BL219="",BM219="",AB219="",AC219=""),"",IFERROR(ROUND(AI219/(ABS(AB219-AC219)/BL219*BM219),2),""))</f>
        <v/>
      </c>
      <c r="AW219" s="76" t="str">
        <f aca="false">IF(B219="","",ROUND(BK219+SUMIFS(AM$5:AM218,BJ$5:BJ218,BJ219),2))</f>
        <v/>
      </c>
      <c r="AX219" s="66" t="str">
        <f aca="false">IF(B219="","",COUNTIFS(B$6:B219,B219,BJ$6:BJ219,BJ219))</f>
        <v/>
      </c>
      <c r="AY219" s="79" t="str">
        <f aca="false">IF(B219="","",ROUND(SUMIFS(AM$5:AM218,B$5:B218,B219,BJ$5:BJ218,BJ219),2))</f>
        <v/>
      </c>
      <c r="AZ219" s="79" t="str">
        <f aca="false">IF(AM219="","",ROUND(AY219+AM219,2))</f>
        <v/>
      </c>
      <c r="BA219" s="79" t="str">
        <f aca="false">IF(B219="","",ROUND(SUMIFS(AM$5:AM218,B$5:B218,"&gt;="&amp;(B219-WEEKDAY(B219,2)+1),B$5:B218,"&lt;="&amp;B219,BJ$5:BJ218,BJ219),2))</f>
        <v/>
      </c>
      <c r="BB219" s="68" t="str">
        <f aca="false">IF(B219="","",IF(AND(AF219&lt;&gt;"",AV219&lt;&gt;"",N(AF219)&gt;N(AV219)*(1+Settings!$C$13)),"Oversized",IF(AX219&gt;Settings!$C$10,"Overtraded",IF(AY219&lt;=-Settings!$C$11*(AW219-AY219),"Daily loss hit",IF(BA219&lt;=-Settings!$C$12*(AW219-BA219),"Weekly loss hit","OK")))))</f>
        <v/>
      </c>
      <c r="BC219" s="69"/>
      <c r="BD219" s="69"/>
      <c r="BE219" s="69"/>
      <c r="BF219" s="73"/>
      <c r="BG219" s="73"/>
      <c r="BH219" s="71"/>
      <c r="BI219" s="71"/>
      <c r="BJ219" s="68" t="str">
        <f aca="false">IF(B219="","",IF(E219="",Settings!$F$5,E219))</f>
        <v/>
      </c>
      <c r="BK219" s="76" t="str">
        <f aca="false">IF(B219="","",IFERROR(INDEX(Settings!$G$5:$G$10,MATCH(BJ219,Settings!$F$5:$F$10,0)),Settings!$G$5))</f>
        <v/>
      </c>
      <c r="BL219" s="82" t="str">
        <f aca="false">IF(I219="","",IFERROR(1/(1/INDEX(Lists!$C$6:$C$17,MATCH(I219,Lists!$B$6:$B$17,0))),""))</f>
        <v/>
      </c>
      <c r="BM219" s="81" t="str">
        <f aca="false">IF(I219="","",IFERROR(1/(1/INDEX(Lists!$D$6:$D$17,MATCH(I219,Lists!$B$6:$B$17,0))),""))</f>
        <v/>
      </c>
      <c r="BN219" s="76" t="str">
        <f aca="false">IF(AN219="","",MAX(BK219,_xlfn.MAXIFS(AN$6:AN219,BJ$6:BJ219,BJ219)))</f>
        <v/>
      </c>
      <c r="BO219" s="83" t="str">
        <f aca="false">IF(AN219="","",(AN219-BN219)/BN219)</f>
        <v/>
      </c>
      <c r="BP219" s="66" t="n">
        <f aca="false">IF(OR(B219="",AL219=""),0,IF(OR(Settings!$C$28="All Accounts",BJ219=Settings!$C$28),1,0))</f>
        <v>0</v>
      </c>
      <c r="BQ219" s="66" t="str">
        <f aca="false">IF(BP219=1,SUM(BP$6:BP219),"")</f>
        <v/>
      </c>
      <c r="BR219" s="76" t="str">
        <f aca="false">IF(BP219=1,ROUND(Settings!$C$29+SUMIFS(AM$6:AM219,BP$6:BP219,1),2),"")</f>
        <v/>
      </c>
      <c r="BS219" s="76" t="str">
        <f aca="false">IF(BP219=1,MAX(Settings!$C$29,MAX(BR$6:BR219)),"")</f>
        <v/>
      </c>
      <c r="BT219" s="83" t="str">
        <f aca="false">IF(BP219=1,(BR219-BS219)/BS219,"")</f>
        <v/>
      </c>
      <c r="BU219" s="66" t="str">
        <f aca="false">IF(BP219=1,IF(AL219="Win",1+IF(BQ219=1,0,INDEX(BU$5:BU218,MATCH(BQ219-1,BQ$5:BQ218,0))),0),"")</f>
        <v/>
      </c>
      <c r="BV219" s="66" t="str">
        <f aca="false">IF(BP219=1,IF(AL219="Loss",1+IF(BQ219=1,0,INDEX(BV$5:BV218,MATCH(BQ219-1,BQ$5:BQ218,0))),0),"")</f>
        <v/>
      </c>
    </row>
    <row r="220" customFormat="false" ht="15" hidden="false" customHeight="false" outlineLevel="0" collapsed="false">
      <c r="A220" s="66" t="str">
        <f aca="false">IF(B220="","",ROW()-5)</f>
        <v/>
      </c>
      <c r="B220" s="67"/>
      <c r="C220" s="68" t="str">
        <f aca="false">IF(B220="","",CHOOSE(WEEKDAY(B220,2),"Mon","Tue","Wed","Thu","Fri","Sat","Sun"))</f>
        <v/>
      </c>
      <c r="D220" s="66" t="str">
        <f aca="false">IF(B220="","",WEEKNUM(B220,2))</f>
        <v/>
      </c>
      <c r="E220" s="69"/>
      <c r="F220" s="69"/>
      <c r="G220" s="70"/>
      <c r="H220" s="70"/>
      <c r="I220" s="69"/>
      <c r="J220" s="69"/>
      <c r="K220" s="69"/>
      <c r="L220" s="71"/>
      <c r="M220" s="69"/>
      <c r="N220" s="69"/>
      <c r="O220" s="69"/>
      <c r="P220" s="71"/>
      <c r="Q220" s="69"/>
      <c r="R220" s="69"/>
      <c r="S220" s="69"/>
      <c r="T220" s="69"/>
      <c r="U220" s="69"/>
      <c r="V220" s="69"/>
      <c r="W220" s="69"/>
      <c r="X220" s="66" t="str">
        <f aca="false">IF(B220="","",COUNTIF(Q220:W220,"Yes"))</f>
        <v/>
      </c>
      <c r="Y220" s="68" t="str">
        <f aca="false">IF(B220="","",IF(X220&gt;=Settings!$C$16,"A+",IF(X220&gt;=Settings!$C$17,"A",IF(X220&gt;=Settings!$C$18,"B","C"))))</f>
        <v/>
      </c>
      <c r="Z220" s="72"/>
      <c r="AA220" s="72"/>
      <c r="AB220" s="72"/>
      <c r="AC220" s="72"/>
      <c r="AD220" s="72"/>
      <c r="AE220" s="72"/>
      <c r="AF220" s="73"/>
      <c r="AG220" s="74"/>
      <c r="AH220" s="75"/>
      <c r="AI220" s="76" t="str">
        <f aca="false">IF(B220="","",ROUND(IF(AG220="",Settings!$C$5,AG220)*AW220,2))</f>
        <v/>
      </c>
      <c r="AJ220" s="77" t="str">
        <f aca="false">IF(OR(B220="",AB220="",AC220="",AD220=""),"",IFERROR(ROUND(ABS(AD220-AB220)/ABS(AB220-AC220),2),""))</f>
        <v/>
      </c>
      <c r="AK220" s="78" t="str">
        <f aca="false">IF(OR(B220="",AB220="",AC220="",AE220=""),"",IFERROR(ROUND(IF(J220="Short",AB220-AE220,AE220-AB220)/ABS(AB220-AC220),2),""))</f>
        <v/>
      </c>
      <c r="AL220" s="68" t="str">
        <f aca="false">IF(AK220="","",IF(ABS(AK220)&lt;=Settings!$C$6,"BE",IF(AK220&gt;0,"Win","Loss")))</f>
        <v/>
      </c>
      <c r="AM220" s="79" t="str">
        <f aca="false">IF(OR(AK220="",AI220=""),"",ROUND(AK220*AI220-N(AH220),2))</f>
        <v/>
      </c>
      <c r="AN220" s="76" t="str">
        <f aca="false">IF(AM220="","",ROUND(BK220+SUMIFS(AM$6:AM220,BJ$6:BJ220,BJ220),2))</f>
        <v/>
      </c>
      <c r="AO220" s="78" t="str">
        <f aca="false">IF(AK220="","",ROUND(SUMIFS(AK$6:AK220,BJ$6:BJ220,BJ220),2))</f>
        <v/>
      </c>
      <c r="AP220" s="80" t="str">
        <f aca="false">IF(OR(AK220="",BL220=""),"",IFERROR(ROUND(IF(J220="Short",AB220-AE220,AE220-AB220)/BL220,1),""))</f>
        <v/>
      </c>
      <c r="AQ220" s="66" t="str">
        <f aca="false">IF(OR(G220="",H220=""),"",ROUND(MOD(H220-G220,1)*1440,0))</f>
        <v/>
      </c>
      <c r="AR220" s="68" t="str">
        <f aca="false">IF(AQ220="","",IF(AQ220&lt;15,"Under 15m",IF(AQ220&lt;60,"15-60m",IF(AQ220&lt;240,"1-4 hours","4+ hours"))))</f>
        <v/>
      </c>
      <c r="AS220" s="66" t="str">
        <f aca="false">IF(G220="","",HOUR(G220))</f>
        <v/>
      </c>
      <c r="AT220" s="80" t="str">
        <f aca="false">IF(OR(Z220="",AB220="",BL220=""),"",IFERROR(ROUND(IF(J220="Short",Z220-AB220,AB220-Z220)/BL220,1),""))</f>
        <v/>
      </c>
      <c r="AU220" s="68" t="str">
        <f aca="false">IF(OR(AA220="",AC220=""),"",IF(AA220=AC220,"No","Yes"))</f>
        <v/>
      </c>
      <c r="AV220" s="81" t="str">
        <f aca="false">IF(OR(B220="",BL220="",BM220="",AB220="",AC220=""),"",IFERROR(ROUND(AI220/(ABS(AB220-AC220)/BL220*BM220),2),""))</f>
        <v/>
      </c>
      <c r="AW220" s="76" t="str">
        <f aca="false">IF(B220="","",ROUND(BK220+SUMIFS(AM$5:AM219,BJ$5:BJ219,BJ220),2))</f>
        <v/>
      </c>
      <c r="AX220" s="66" t="str">
        <f aca="false">IF(B220="","",COUNTIFS(B$6:B220,B220,BJ$6:BJ220,BJ220))</f>
        <v/>
      </c>
      <c r="AY220" s="79" t="str">
        <f aca="false">IF(B220="","",ROUND(SUMIFS(AM$5:AM219,B$5:B219,B220,BJ$5:BJ219,BJ220),2))</f>
        <v/>
      </c>
      <c r="AZ220" s="79" t="str">
        <f aca="false">IF(AM220="","",ROUND(AY220+AM220,2))</f>
        <v/>
      </c>
      <c r="BA220" s="79" t="str">
        <f aca="false">IF(B220="","",ROUND(SUMIFS(AM$5:AM219,B$5:B219,"&gt;="&amp;(B220-WEEKDAY(B220,2)+1),B$5:B219,"&lt;="&amp;B220,BJ$5:BJ219,BJ220),2))</f>
        <v/>
      </c>
      <c r="BB220" s="68" t="str">
        <f aca="false">IF(B220="","",IF(AND(AF220&lt;&gt;"",AV220&lt;&gt;"",N(AF220)&gt;N(AV220)*(1+Settings!$C$13)),"Oversized",IF(AX220&gt;Settings!$C$10,"Overtraded",IF(AY220&lt;=-Settings!$C$11*(AW220-AY220),"Daily loss hit",IF(BA220&lt;=-Settings!$C$12*(AW220-BA220),"Weekly loss hit","OK")))))</f>
        <v/>
      </c>
      <c r="BC220" s="69"/>
      <c r="BD220" s="69"/>
      <c r="BE220" s="69"/>
      <c r="BF220" s="73"/>
      <c r="BG220" s="73"/>
      <c r="BH220" s="71"/>
      <c r="BI220" s="71"/>
      <c r="BJ220" s="68" t="str">
        <f aca="false">IF(B220="","",IF(E220="",Settings!$F$5,E220))</f>
        <v/>
      </c>
      <c r="BK220" s="76" t="str">
        <f aca="false">IF(B220="","",IFERROR(INDEX(Settings!$G$5:$G$10,MATCH(BJ220,Settings!$F$5:$F$10,0)),Settings!$G$5))</f>
        <v/>
      </c>
      <c r="BL220" s="82" t="str">
        <f aca="false">IF(I220="","",IFERROR(1/(1/INDEX(Lists!$C$6:$C$17,MATCH(I220,Lists!$B$6:$B$17,0))),""))</f>
        <v/>
      </c>
      <c r="BM220" s="81" t="str">
        <f aca="false">IF(I220="","",IFERROR(1/(1/INDEX(Lists!$D$6:$D$17,MATCH(I220,Lists!$B$6:$B$17,0))),""))</f>
        <v/>
      </c>
      <c r="BN220" s="76" t="str">
        <f aca="false">IF(AN220="","",MAX(BK220,_xlfn.MAXIFS(AN$6:AN220,BJ$6:BJ220,BJ220)))</f>
        <v/>
      </c>
      <c r="BO220" s="83" t="str">
        <f aca="false">IF(AN220="","",(AN220-BN220)/BN220)</f>
        <v/>
      </c>
      <c r="BP220" s="66" t="n">
        <f aca="false">IF(OR(B220="",AL220=""),0,IF(OR(Settings!$C$28="All Accounts",BJ220=Settings!$C$28),1,0))</f>
        <v>0</v>
      </c>
      <c r="BQ220" s="66" t="str">
        <f aca="false">IF(BP220=1,SUM(BP$6:BP220),"")</f>
        <v/>
      </c>
      <c r="BR220" s="76" t="str">
        <f aca="false">IF(BP220=1,ROUND(Settings!$C$29+SUMIFS(AM$6:AM220,BP$6:BP220,1),2),"")</f>
        <v/>
      </c>
      <c r="BS220" s="76" t="str">
        <f aca="false">IF(BP220=1,MAX(Settings!$C$29,MAX(BR$6:BR220)),"")</f>
        <v/>
      </c>
      <c r="BT220" s="83" t="str">
        <f aca="false">IF(BP220=1,(BR220-BS220)/BS220,"")</f>
        <v/>
      </c>
      <c r="BU220" s="66" t="str">
        <f aca="false">IF(BP220=1,IF(AL220="Win",1+IF(BQ220=1,0,INDEX(BU$5:BU219,MATCH(BQ220-1,BQ$5:BQ219,0))),0),"")</f>
        <v/>
      </c>
      <c r="BV220" s="66" t="str">
        <f aca="false">IF(BP220=1,IF(AL220="Loss",1+IF(BQ220=1,0,INDEX(BV$5:BV219,MATCH(BQ220-1,BQ$5:BQ219,0))),0),"")</f>
        <v/>
      </c>
    </row>
    <row r="221" customFormat="false" ht="15" hidden="false" customHeight="false" outlineLevel="0" collapsed="false">
      <c r="A221" s="66" t="str">
        <f aca="false">IF(B221="","",ROW()-5)</f>
        <v/>
      </c>
      <c r="B221" s="67"/>
      <c r="C221" s="68" t="str">
        <f aca="false">IF(B221="","",CHOOSE(WEEKDAY(B221,2),"Mon","Tue","Wed","Thu","Fri","Sat","Sun"))</f>
        <v/>
      </c>
      <c r="D221" s="66" t="str">
        <f aca="false">IF(B221="","",WEEKNUM(B221,2))</f>
        <v/>
      </c>
      <c r="E221" s="69"/>
      <c r="F221" s="69"/>
      <c r="G221" s="70"/>
      <c r="H221" s="70"/>
      <c r="I221" s="69"/>
      <c r="J221" s="69"/>
      <c r="K221" s="69"/>
      <c r="L221" s="71"/>
      <c r="M221" s="69"/>
      <c r="N221" s="69"/>
      <c r="O221" s="69"/>
      <c r="P221" s="71"/>
      <c r="Q221" s="69"/>
      <c r="R221" s="69"/>
      <c r="S221" s="69"/>
      <c r="T221" s="69"/>
      <c r="U221" s="69"/>
      <c r="V221" s="69"/>
      <c r="W221" s="69"/>
      <c r="X221" s="66" t="str">
        <f aca="false">IF(B221="","",COUNTIF(Q221:W221,"Yes"))</f>
        <v/>
      </c>
      <c r="Y221" s="68" t="str">
        <f aca="false">IF(B221="","",IF(X221&gt;=Settings!$C$16,"A+",IF(X221&gt;=Settings!$C$17,"A",IF(X221&gt;=Settings!$C$18,"B","C"))))</f>
        <v/>
      </c>
      <c r="Z221" s="72"/>
      <c r="AA221" s="72"/>
      <c r="AB221" s="72"/>
      <c r="AC221" s="72"/>
      <c r="AD221" s="72"/>
      <c r="AE221" s="72"/>
      <c r="AF221" s="73"/>
      <c r="AG221" s="74"/>
      <c r="AH221" s="75"/>
      <c r="AI221" s="76" t="str">
        <f aca="false">IF(B221="","",ROUND(IF(AG221="",Settings!$C$5,AG221)*AW221,2))</f>
        <v/>
      </c>
      <c r="AJ221" s="77" t="str">
        <f aca="false">IF(OR(B221="",AB221="",AC221="",AD221=""),"",IFERROR(ROUND(ABS(AD221-AB221)/ABS(AB221-AC221),2),""))</f>
        <v/>
      </c>
      <c r="AK221" s="78" t="str">
        <f aca="false">IF(OR(B221="",AB221="",AC221="",AE221=""),"",IFERROR(ROUND(IF(J221="Short",AB221-AE221,AE221-AB221)/ABS(AB221-AC221),2),""))</f>
        <v/>
      </c>
      <c r="AL221" s="68" t="str">
        <f aca="false">IF(AK221="","",IF(ABS(AK221)&lt;=Settings!$C$6,"BE",IF(AK221&gt;0,"Win","Loss")))</f>
        <v/>
      </c>
      <c r="AM221" s="79" t="str">
        <f aca="false">IF(OR(AK221="",AI221=""),"",ROUND(AK221*AI221-N(AH221),2))</f>
        <v/>
      </c>
      <c r="AN221" s="76" t="str">
        <f aca="false">IF(AM221="","",ROUND(BK221+SUMIFS(AM$6:AM221,BJ$6:BJ221,BJ221),2))</f>
        <v/>
      </c>
      <c r="AO221" s="78" t="str">
        <f aca="false">IF(AK221="","",ROUND(SUMIFS(AK$6:AK221,BJ$6:BJ221,BJ221),2))</f>
        <v/>
      </c>
      <c r="AP221" s="80" t="str">
        <f aca="false">IF(OR(AK221="",BL221=""),"",IFERROR(ROUND(IF(J221="Short",AB221-AE221,AE221-AB221)/BL221,1),""))</f>
        <v/>
      </c>
      <c r="AQ221" s="66" t="str">
        <f aca="false">IF(OR(G221="",H221=""),"",ROUND(MOD(H221-G221,1)*1440,0))</f>
        <v/>
      </c>
      <c r="AR221" s="68" t="str">
        <f aca="false">IF(AQ221="","",IF(AQ221&lt;15,"Under 15m",IF(AQ221&lt;60,"15-60m",IF(AQ221&lt;240,"1-4 hours","4+ hours"))))</f>
        <v/>
      </c>
      <c r="AS221" s="66" t="str">
        <f aca="false">IF(G221="","",HOUR(G221))</f>
        <v/>
      </c>
      <c r="AT221" s="80" t="str">
        <f aca="false">IF(OR(Z221="",AB221="",BL221=""),"",IFERROR(ROUND(IF(J221="Short",Z221-AB221,AB221-Z221)/BL221,1),""))</f>
        <v/>
      </c>
      <c r="AU221" s="68" t="str">
        <f aca="false">IF(OR(AA221="",AC221=""),"",IF(AA221=AC221,"No","Yes"))</f>
        <v/>
      </c>
      <c r="AV221" s="81" t="str">
        <f aca="false">IF(OR(B221="",BL221="",BM221="",AB221="",AC221=""),"",IFERROR(ROUND(AI221/(ABS(AB221-AC221)/BL221*BM221),2),""))</f>
        <v/>
      </c>
      <c r="AW221" s="76" t="str">
        <f aca="false">IF(B221="","",ROUND(BK221+SUMIFS(AM$5:AM220,BJ$5:BJ220,BJ221),2))</f>
        <v/>
      </c>
      <c r="AX221" s="66" t="str">
        <f aca="false">IF(B221="","",COUNTIFS(B$6:B221,B221,BJ$6:BJ221,BJ221))</f>
        <v/>
      </c>
      <c r="AY221" s="79" t="str">
        <f aca="false">IF(B221="","",ROUND(SUMIFS(AM$5:AM220,B$5:B220,B221,BJ$5:BJ220,BJ221),2))</f>
        <v/>
      </c>
      <c r="AZ221" s="79" t="str">
        <f aca="false">IF(AM221="","",ROUND(AY221+AM221,2))</f>
        <v/>
      </c>
      <c r="BA221" s="79" t="str">
        <f aca="false">IF(B221="","",ROUND(SUMIFS(AM$5:AM220,B$5:B220,"&gt;="&amp;(B221-WEEKDAY(B221,2)+1),B$5:B220,"&lt;="&amp;B221,BJ$5:BJ220,BJ221),2))</f>
        <v/>
      </c>
      <c r="BB221" s="68" t="str">
        <f aca="false">IF(B221="","",IF(AND(AF221&lt;&gt;"",AV221&lt;&gt;"",N(AF221)&gt;N(AV221)*(1+Settings!$C$13)),"Oversized",IF(AX221&gt;Settings!$C$10,"Overtraded",IF(AY221&lt;=-Settings!$C$11*(AW221-AY221),"Daily loss hit",IF(BA221&lt;=-Settings!$C$12*(AW221-BA221),"Weekly loss hit","OK")))))</f>
        <v/>
      </c>
      <c r="BC221" s="69"/>
      <c r="BD221" s="69"/>
      <c r="BE221" s="69"/>
      <c r="BF221" s="73"/>
      <c r="BG221" s="73"/>
      <c r="BH221" s="71"/>
      <c r="BI221" s="71"/>
      <c r="BJ221" s="68" t="str">
        <f aca="false">IF(B221="","",IF(E221="",Settings!$F$5,E221))</f>
        <v/>
      </c>
      <c r="BK221" s="76" t="str">
        <f aca="false">IF(B221="","",IFERROR(INDEX(Settings!$G$5:$G$10,MATCH(BJ221,Settings!$F$5:$F$10,0)),Settings!$G$5))</f>
        <v/>
      </c>
      <c r="BL221" s="82" t="str">
        <f aca="false">IF(I221="","",IFERROR(1/(1/INDEX(Lists!$C$6:$C$17,MATCH(I221,Lists!$B$6:$B$17,0))),""))</f>
        <v/>
      </c>
      <c r="BM221" s="81" t="str">
        <f aca="false">IF(I221="","",IFERROR(1/(1/INDEX(Lists!$D$6:$D$17,MATCH(I221,Lists!$B$6:$B$17,0))),""))</f>
        <v/>
      </c>
      <c r="BN221" s="76" t="str">
        <f aca="false">IF(AN221="","",MAX(BK221,_xlfn.MAXIFS(AN$6:AN221,BJ$6:BJ221,BJ221)))</f>
        <v/>
      </c>
      <c r="BO221" s="83" t="str">
        <f aca="false">IF(AN221="","",(AN221-BN221)/BN221)</f>
        <v/>
      </c>
      <c r="BP221" s="66" t="n">
        <f aca="false">IF(OR(B221="",AL221=""),0,IF(OR(Settings!$C$28="All Accounts",BJ221=Settings!$C$28),1,0))</f>
        <v>0</v>
      </c>
      <c r="BQ221" s="66" t="str">
        <f aca="false">IF(BP221=1,SUM(BP$6:BP221),"")</f>
        <v/>
      </c>
      <c r="BR221" s="76" t="str">
        <f aca="false">IF(BP221=1,ROUND(Settings!$C$29+SUMIFS(AM$6:AM221,BP$6:BP221,1),2),"")</f>
        <v/>
      </c>
      <c r="BS221" s="76" t="str">
        <f aca="false">IF(BP221=1,MAX(Settings!$C$29,MAX(BR$6:BR221)),"")</f>
        <v/>
      </c>
      <c r="BT221" s="83" t="str">
        <f aca="false">IF(BP221=1,(BR221-BS221)/BS221,"")</f>
        <v/>
      </c>
      <c r="BU221" s="66" t="str">
        <f aca="false">IF(BP221=1,IF(AL221="Win",1+IF(BQ221=1,0,INDEX(BU$5:BU220,MATCH(BQ221-1,BQ$5:BQ220,0))),0),"")</f>
        <v/>
      </c>
      <c r="BV221" s="66" t="str">
        <f aca="false">IF(BP221=1,IF(AL221="Loss",1+IF(BQ221=1,0,INDEX(BV$5:BV220,MATCH(BQ221-1,BQ$5:BQ220,0))),0),"")</f>
        <v/>
      </c>
    </row>
    <row r="222" customFormat="false" ht="15" hidden="false" customHeight="false" outlineLevel="0" collapsed="false">
      <c r="A222" s="66" t="str">
        <f aca="false">IF(B222="","",ROW()-5)</f>
        <v/>
      </c>
      <c r="B222" s="67"/>
      <c r="C222" s="68" t="str">
        <f aca="false">IF(B222="","",CHOOSE(WEEKDAY(B222,2),"Mon","Tue","Wed","Thu","Fri","Sat","Sun"))</f>
        <v/>
      </c>
      <c r="D222" s="66" t="str">
        <f aca="false">IF(B222="","",WEEKNUM(B222,2))</f>
        <v/>
      </c>
      <c r="E222" s="69"/>
      <c r="F222" s="69"/>
      <c r="G222" s="70"/>
      <c r="H222" s="70"/>
      <c r="I222" s="69"/>
      <c r="J222" s="69"/>
      <c r="K222" s="69"/>
      <c r="L222" s="71"/>
      <c r="M222" s="69"/>
      <c r="N222" s="69"/>
      <c r="O222" s="69"/>
      <c r="P222" s="71"/>
      <c r="Q222" s="69"/>
      <c r="R222" s="69"/>
      <c r="S222" s="69"/>
      <c r="T222" s="69"/>
      <c r="U222" s="69"/>
      <c r="V222" s="69"/>
      <c r="W222" s="69"/>
      <c r="X222" s="66" t="str">
        <f aca="false">IF(B222="","",COUNTIF(Q222:W222,"Yes"))</f>
        <v/>
      </c>
      <c r="Y222" s="68" t="str">
        <f aca="false">IF(B222="","",IF(X222&gt;=Settings!$C$16,"A+",IF(X222&gt;=Settings!$C$17,"A",IF(X222&gt;=Settings!$C$18,"B","C"))))</f>
        <v/>
      </c>
      <c r="Z222" s="72"/>
      <c r="AA222" s="72"/>
      <c r="AB222" s="72"/>
      <c r="AC222" s="72"/>
      <c r="AD222" s="72"/>
      <c r="AE222" s="72"/>
      <c r="AF222" s="73"/>
      <c r="AG222" s="74"/>
      <c r="AH222" s="75"/>
      <c r="AI222" s="76" t="str">
        <f aca="false">IF(B222="","",ROUND(IF(AG222="",Settings!$C$5,AG222)*AW222,2))</f>
        <v/>
      </c>
      <c r="AJ222" s="77" t="str">
        <f aca="false">IF(OR(B222="",AB222="",AC222="",AD222=""),"",IFERROR(ROUND(ABS(AD222-AB222)/ABS(AB222-AC222),2),""))</f>
        <v/>
      </c>
      <c r="AK222" s="78" t="str">
        <f aca="false">IF(OR(B222="",AB222="",AC222="",AE222=""),"",IFERROR(ROUND(IF(J222="Short",AB222-AE222,AE222-AB222)/ABS(AB222-AC222),2),""))</f>
        <v/>
      </c>
      <c r="AL222" s="68" t="str">
        <f aca="false">IF(AK222="","",IF(ABS(AK222)&lt;=Settings!$C$6,"BE",IF(AK222&gt;0,"Win","Loss")))</f>
        <v/>
      </c>
      <c r="AM222" s="79" t="str">
        <f aca="false">IF(OR(AK222="",AI222=""),"",ROUND(AK222*AI222-N(AH222),2))</f>
        <v/>
      </c>
      <c r="AN222" s="76" t="str">
        <f aca="false">IF(AM222="","",ROUND(BK222+SUMIFS(AM$6:AM222,BJ$6:BJ222,BJ222),2))</f>
        <v/>
      </c>
      <c r="AO222" s="78" t="str">
        <f aca="false">IF(AK222="","",ROUND(SUMIFS(AK$6:AK222,BJ$6:BJ222,BJ222),2))</f>
        <v/>
      </c>
      <c r="AP222" s="80" t="str">
        <f aca="false">IF(OR(AK222="",BL222=""),"",IFERROR(ROUND(IF(J222="Short",AB222-AE222,AE222-AB222)/BL222,1),""))</f>
        <v/>
      </c>
      <c r="AQ222" s="66" t="str">
        <f aca="false">IF(OR(G222="",H222=""),"",ROUND(MOD(H222-G222,1)*1440,0))</f>
        <v/>
      </c>
      <c r="AR222" s="68" t="str">
        <f aca="false">IF(AQ222="","",IF(AQ222&lt;15,"Under 15m",IF(AQ222&lt;60,"15-60m",IF(AQ222&lt;240,"1-4 hours","4+ hours"))))</f>
        <v/>
      </c>
      <c r="AS222" s="66" t="str">
        <f aca="false">IF(G222="","",HOUR(G222))</f>
        <v/>
      </c>
      <c r="AT222" s="80" t="str">
        <f aca="false">IF(OR(Z222="",AB222="",BL222=""),"",IFERROR(ROUND(IF(J222="Short",Z222-AB222,AB222-Z222)/BL222,1),""))</f>
        <v/>
      </c>
      <c r="AU222" s="68" t="str">
        <f aca="false">IF(OR(AA222="",AC222=""),"",IF(AA222=AC222,"No","Yes"))</f>
        <v/>
      </c>
      <c r="AV222" s="81" t="str">
        <f aca="false">IF(OR(B222="",BL222="",BM222="",AB222="",AC222=""),"",IFERROR(ROUND(AI222/(ABS(AB222-AC222)/BL222*BM222),2),""))</f>
        <v/>
      </c>
      <c r="AW222" s="76" t="str">
        <f aca="false">IF(B222="","",ROUND(BK222+SUMIFS(AM$5:AM221,BJ$5:BJ221,BJ222),2))</f>
        <v/>
      </c>
      <c r="AX222" s="66" t="str">
        <f aca="false">IF(B222="","",COUNTIFS(B$6:B222,B222,BJ$6:BJ222,BJ222))</f>
        <v/>
      </c>
      <c r="AY222" s="79" t="str">
        <f aca="false">IF(B222="","",ROUND(SUMIFS(AM$5:AM221,B$5:B221,B222,BJ$5:BJ221,BJ222),2))</f>
        <v/>
      </c>
      <c r="AZ222" s="79" t="str">
        <f aca="false">IF(AM222="","",ROUND(AY222+AM222,2))</f>
        <v/>
      </c>
      <c r="BA222" s="79" t="str">
        <f aca="false">IF(B222="","",ROUND(SUMIFS(AM$5:AM221,B$5:B221,"&gt;="&amp;(B222-WEEKDAY(B222,2)+1),B$5:B221,"&lt;="&amp;B222,BJ$5:BJ221,BJ222),2))</f>
        <v/>
      </c>
      <c r="BB222" s="68" t="str">
        <f aca="false">IF(B222="","",IF(AND(AF222&lt;&gt;"",AV222&lt;&gt;"",N(AF222)&gt;N(AV222)*(1+Settings!$C$13)),"Oversized",IF(AX222&gt;Settings!$C$10,"Overtraded",IF(AY222&lt;=-Settings!$C$11*(AW222-AY222),"Daily loss hit",IF(BA222&lt;=-Settings!$C$12*(AW222-BA222),"Weekly loss hit","OK")))))</f>
        <v/>
      </c>
      <c r="BC222" s="69"/>
      <c r="BD222" s="69"/>
      <c r="BE222" s="69"/>
      <c r="BF222" s="73"/>
      <c r="BG222" s="73"/>
      <c r="BH222" s="71"/>
      <c r="BI222" s="71"/>
      <c r="BJ222" s="68" t="str">
        <f aca="false">IF(B222="","",IF(E222="",Settings!$F$5,E222))</f>
        <v/>
      </c>
      <c r="BK222" s="76" t="str">
        <f aca="false">IF(B222="","",IFERROR(INDEX(Settings!$G$5:$G$10,MATCH(BJ222,Settings!$F$5:$F$10,0)),Settings!$G$5))</f>
        <v/>
      </c>
      <c r="BL222" s="82" t="str">
        <f aca="false">IF(I222="","",IFERROR(1/(1/INDEX(Lists!$C$6:$C$17,MATCH(I222,Lists!$B$6:$B$17,0))),""))</f>
        <v/>
      </c>
      <c r="BM222" s="81" t="str">
        <f aca="false">IF(I222="","",IFERROR(1/(1/INDEX(Lists!$D$6:$D$17,MATCH(I222,Lists!$B$6:$B$17,0))),""))</f>
        <v/>
      </c>
      <c r="BN222" s="76" t="str">
        <f aca="false">IF(AN222="","",MAX(BK222,_xlfn.MAXIFS(AN$6:AN222,BJ$6:BJ222,BJ222)))</f>
        <v/>
      </c>
      <c r="BO222" s="83" t="str">
        <f aca="false">IF(AN222="","",(AN222-BN222)/BN222)</f>
        <v/>
      </c>
      <c r="BP222" s="66" t="n">
        <f aca="false">IF(OR(B222="",AL222=""),0,IF(OR(Settings!$C$28="All Accounts",BJ222=Settings!$C$28),1,0))</f>
        <v>0</v>
      </c>
      <c r="BQ222" s="66" t="str">
        <f aca="false">IF(BP222=1,SUM(BP$6:BP222),"")</f>
        <v/>
      </c>
      <c r="BR222" s="76" t="str">
        <f aca="false">IF(BP222=1,ROUND(Settings!$C$29+SUMIFS(AM$6:AM222,BP$6:BP222,1),2),"")</f>
        <v/>
      </c>
      <c r="BS222" s="76" t="str">
        <f aca="false">IF(BP222=1,MAX(Settings!$C$29,MAX(BR$6:BR222)),"")</f>
        <v/>
      </c>
      <c r="BT222" s="83" t="str">
        <f aca="false">IF(BP222=1,(BR222-BS222)/BS222,"")</f>
        <v/>
      </c>
      <c r="BU222" s="66" t="str">
        <f aca="false">IF(BP222=1,IF(AL222="Win",1+IF(BQ222=1,0,INDEX(BU$5:BU221,MATCH(BQ222-1,BQ$5:BQ221,0))),0),"")</f>
        <v/>
      </c>
      <c r="BV222" s="66" t="str">
        <f aca="false">IF(BP222=1,IF(AL222="Loss",1+IF(BQ222=1,0,INDEX(BV$5:BV221,MATCH(BQ222-1,BQ$5:BQ221,0))),0),"")</f>
        <v/>
      </c>
    </row>
    <row r="223" customFormat="false" ht="15" hidden="false" customHeight="false" outlineLevel="0" collapsed="false">
      <c r="A223" s="66" t="str">
        <f aca="false">IF(B223="","",ROW()-5)</f>
        <v/>
      </c>
      <c r="B223" s="67"/>
      <c r="C223" s="68" t="str">
        <f aca="false">IF(B223="","",CHOOSE(WEEKDAY(B223,2),"Mon","Tue","Wed","Thu","Fri","Sat","Sun"))</f>
        <v/>
      </c>
      <c r="D223" s="66" t="str">
        <f aca="false">IF(B223="","",WEEKNUM(B223,2))</f>
        <v/>
      </c>
      <c r="E223" s="69"/>
      <c r="F223" s="69"/>
      <c r="G223" s="70"/>
      <c r="H223" s="70"/>
      <c r="I223" s="69"/>
      <c r="J223" s="69"/>
      <c r="K223" s="69"/>
      <c r="L223" s="71"/>
      <c r="M223" s="69"/>
      <c r="N223" s="69"/>
      <c r="O223" s="69"/>
      <c r="P223" s="71"/>
      <c r="Q223" s="69"/>
      <c r="R223" s="69"/>
      <c r="S223" s="69"/>
      <c r="T223" s="69"/>
      <c r="U223" s="69"/>
      <c r="V223" s="69"/>
      <c r="W223" s="69"/>
      <c r="X223" s="66" t="str">
        <f aca="false">IF(B223="","",COUNTIF(Q223:W223,"Yes"))</f>
        <v/>
      </c>
      <c r="Y223" s="68" t="str">
        <f aca="false">IF(B223="","",IF(X223&gt;=Settings!$C$16,"A+",IF(X223&gt;=Settings!$C$17,"A",IF(X223&gt;=Settings!$C$18,"B","C"))))</f>
        <v/>
      </c>
      <c r="Z223" s="72"/>
      <c r="AA223" s="72"/>
      <c r="AB223" s="72"/>
      <c r="AC223" s="72"/>
      <c r="AD223" s="72"/>
      <c r="AE223" s="72"/>
      <c r="AF223" s="73"/>
      <c r="AG223" s="74"/>
      <c r="AH223" s="75"/>
      <c r="AI223" s="76" t="str">
        <f aca="false">IF(B223="","",ROUND(IF(AG223="",Settings!$C$5,AG223)*AW223,2))</f>
        <v/>
      </c>
      <c r="AJ223" s="77" t="str">
        <f aca="false">IF(OR(B223="",AB223="",AC223="",AD223=""),"",IFERROR(ROUND(ABS(AD223-AB223)/ABS(AB223-AC223),2),""))</f>
        <v/>
      </c>
      <c r="AK223" s="78" t="str">
        <f aca="false">IF(OR(B223="",AB223="",AC223="",AE223=""),"",IFERROR(ROUND(IF(J223="Short",AB223-AE223,AE223-AB223)/ABS(AB223-AC223),2),""))</f>
        <v/>
      </c>
      <c r="AL223" s="68" t="str">
        <f aca="false">IF(AK223="","",IF(ABS(AK223)&lt;=Settings!$C$6,"BE",IF(AK223&gt;0,"Win","Loss")))</f>
        <v/>
      </c>
      <c r="AM223" s="79" t="str">
        <f aca="false">IF(OR(AK223="",AI223=""),"",ROUND(AK223*AI223-N(AH223),2))</f>
        <v/>
      </c>
      <c r="AN223" s="76" t="str">
        <f aca="false">IF(AM223="","",ROUND(BK223+SUMIFS(AM$6:AM223,BJ$6:BJ223,BJ223),2))</f>
        <v/>
      </c>
      <c r="AO223" s="78" t="str">
        <f aca="false">IF(AK223="","",ROUND(SUMIFS(AK$6:AK223,BJ$6:BJ223,BJ223),2))</f>
        <v/>
      </c>
      <c r="AP223" s="80" t="str">
        <f aca="false">IF(OR(AK223="",BL223=""),"",IFERROR(ROUND(IF(J223="Short",AB223-AE223,AE223-AB223)/BL223,1),""))</f>
        <v/>
      </c>
      <c r="AQ223" s="66" t="str">
        <f aca="false">IF(OR(G223="",H223=""),"",ROUND(MOD(H223-G223,1)*1440,0))</f>
        <v/>
      </c>
      <c r="AR223" s="68" t="str">
        <f aca="false">IF(AQ223="","",IF(AQ223&lt;15,"Under 15m",IF(AQ223&lt;60,"15-60m",IF(AQ223&lt;240,"1-4 hours","4+ hours"))))</f>
        <v/>
      </c>
      <c r="AS223" s="66" t="str">
        <f aca="false">IF(G223="","",HOUR(G223))</f>
        <v/>
      </c>
      <c r="AT223" s="80" t="str">
        <f aca="false">IF(OR(Z223="",AB223="",BL223=""),"",IFERROR(ROUND(IF(J223="Short",Z223-AB223,AB223-Z223)/BL223,1),""))</f>
        <v/>
      </c>
      <c r="AU223" s="68" t="str">
        <f aca="false">IF(OR(AA223="",AC223=""),"",IF(AA223=AC223,"No","Yes"))</f>
        <v/>
      </c>
      <c r="AV223" s="81" t="str">
        <f aca="false">IF(OR(B223="",BL223="",BM223="",AB223="",AC223=""),"",IFERROR(ROUND(AI223/(ABS(AB223-AC223)/BL223*BM223),2),""))</f>
        <v/>
      </c>
      <c r="AW223" s="76" t="str">
        <f aca="false">IF(B223="","",ROUND(BK223+SUMIFS(AM$5:AM222,BJ$5:BJ222,BJ223),2))</f>
        <v/>
      </c>
      <c r="AX223" s="66" t="str">
        <f aca="false">IF(B223="","",COUNTIFS(B$6:B223,B223,BJ$6:BJ223,BJ223))</f>
        <v/>
      </c>
      <c r="AY223" s="79" t="str">
        <f aca="false">IF(B223="","",ROUND(SUMIFS(AM$5:AM222,B$5:B222,B223,BJ$5:BJ222,BJ223),2))</f>
        <v/>
      </c>
      <c r="AZ223" s="79" t="str">
        <f aca="false">IF(AM223="","",ROUND(AY223+AM223,2))</f>
        <v/>
      </c>
      <c r="BA223" s="79" t="str">
        <f aca="false">IF(B223="","",ROUND(SUMIFS(AM$5:AM222,B$5:B222,"&gt;="&amp;(B223-WEEKDAY(B223,2)+1),B$5:B222,"&lt;="&amp;B223,BJ$5:BJ222,BJ223),2))</f>
        <v/>
      </c>
      <c r="BB223" s="68" t="str">
        <f aca="false">IF(B223="","",IF(AND(AF223&lt;&gt;"",AV223&lt;&gt;"",N(AF223)&gt;N(AV223)*(1+Settings!$C$13)),"Oversized",IF(AX223&gt;Settings!$C$10,"Overtraded",IF(AY223&lt;=-Settings!$C$11*(AW223-AY223),"Daily loss hit",IF(BA223&lt;=-Settings!$C$12*(AW223-BA223),"Weekly loss hit","OK")))))</f>
        <v/>
      </c>
      <c r="BC223" s="69"/>
      <c r="BD223" s="69"/>
      <c r="BE223" s="69"/>
      <c r="BF223" s="73"/>
      <c r="BG223" s="73"/>
      <c r="BH223" s="71"/>
      <c r="BI223" s="71"/>
      <c r="BJ223" s="68" t="str">
        <f aca="false">IF(B223="","",IF(E223="",Settings!$F$5,E223))</f>
        <v/>
      </c>
      <c r="BK223" s="76" t="str">
        <f aca="false">IF(B223="","",IFERROR(INDEX(Settings!$G$5:$G$10,MATCH(BJ223,Settings!$F$5:$F$10,0)),Settings!$G$5))</f>
        <v/>
      </c>
      <c r="BL223" s="82" t="str">
        <f aca="false">IF(I223="","",IFERROR(1/(1/INDEX(Lists!$C$6:$C$17,MATCH(I223,Lists!$B$6:$B$17,0))),""))</f>
        <v/>
      </c>
      <c r="BM223" s="81" t="str">
        <f aca="false">IF(I223="","",IFERROR(1/(1/INDEX(Lists!$D$6:$D$17,MATCH(I223,Lists!$B$6:$B$17,0))),""))</f>
        <v/>
      </c>
      <c r="BN223" s="76" t="str">
        <f aca="false">IF(AN223="","",MAX(BK223,_xlfn.MAXIFS(AN$6:AN223,BJ$6:BJ223,BJ223)))</f>
        <v/>
      </c>
      <c r="BO223" s="83" t="str">
        <f aca="false">IF(AN223="","",(AN223-BN223)/BN223)</f>
        <v/>
      </c>
      <c r="BP223" s="66" t="n">
        <f aca="false">IF(OR(B223="",AL223=""),0,IF(OR(Settings!$C$28="All Accounts",BJ223=Settings!$C$28),1,0))</f>
        <v>0</v>
      </c>
      <c r="BQ223" s="66" t="str">
        <f aca="false">IF(BP223=1,SUM(BP$6:BP223),"")</f>
        <v/>
      </c>
      <c r="BR223" s="76" t="str">
        <f aca="false">IF(BP223=1,ROUND(Settings!$C$29+SUMIFS(AM$6:AM223,BP$6:BP223,1),2),"")</f>
        <v/>
      </c>
      <c r="BS223" s="76" t="str">
        <f aca="false">IF(BP223=1,MAX(Settings!$C$29,MAX(BR$6:BR223)),"")</f>
        <v/>
      </c>
      <c r="BT223" s="83" t="str">
        <f aca="false">IF(BP223=1,(BR223-BS223)/BS223,"")</f>
        <v/>
      </c>
      <c r="BU223" s="66" t="str">
        <f aca="false">IF(BP223=1,IF(AL223="Win",1+IF(BQ223=1,0,INDEX(BU$5:BU222,MATCH(BQ223-1,BQ$5:BQ222,0))),0),"")</f>
        <v/>
      </c>
      <c r="BV223" s="66" t="str">
        <f aca="false">IF(BP223=1,IF(AL223="Loss",1+IF(BQ223=1,0,INDEX(BV$5:BV222,MATCH(BQ223-1,BQ$5:BQ222,0))),0),"")</f>
        <v/>
      </c>
    </row>
    <row r="224" customFormat="false" ht="15" hidden="false" customHeight="false" outlineLevel="0" collapsed="false">
      <c r="A224" s="66" t="str">
        <f aca="false">IF(B224="","",ROW()-5)</f>
        <v/>
      </c>
      <c r="B224" s="67"/>
      <c r="C224" s="68" t="str">
        <f aca="false">IF(B224="","",CHOOSE(WEEKDAY(B224,2),"Mon","Tue","Wed","Thu","Fri","Sat","Sun"))</f>
        <v/>
      </c>
      <c r="D224" s="66" t="str">
        <f aca="false">IF(B224="","",WEEKNUM(B224,2))</f>
        <v/>
      </c>
      <c r="E224" s="69"/>
      <c r="F224" s="69"/>
      <c r="G224" s="70"/>
      <c r="H224" s="70"/>
      <c r="I224" s="69"/>
      <c r="J224" s="69"/>
      <c r="K224" s="69"/>
      <c r="L224" s="71"/>
      <c r="M224" s="69"/>
      <c r="N224" s="69"/>
      <c r="O224" s="69"/>
      <c r="P224" s="71"/>
      <c r="Q224" s="69"/>
      <c r="R224" s="69"/>
      <c r="S224" s="69"/>
      <c r="T224" s="69"/>
      <c r="U224" s="69"/>
      <c r="V224" s="69"/>
      <c r="W224" s="69"/>
      <c r="X224" s="66" t="str">
        <f aca="false">IF(B224="","",COUNTIF(Q224:W224,"Yes"))</f>
        <v/>
      </c>
      <c r="Y224" s="68" t="str">
        <f aca="false">IF(B224="","",IF(X224&gt;=Settings!$C$16,"A+",IF(X224&gt;=Settings!$C$17,"A",IF(X224&gt;=Settings!$C$18,"B","C"))))</f>
        <v/>
      </c>
      <c r="Z224" s="72"/>
      <c r="AA224" s="72"/>
      <c r="AB224" s="72"/>
      <c r="AC224" s="72"/>
      <c r="AD224" s="72"/>
      <c r="AE224" s="72"/>
      <c r="AF224" s="73"/>
      <c r="AG224" s="74"/>
      <c r="AH224" s="75"/>
      <c r="AI224" s="76" t="str">
        <f aca="false">IF(B224="","",ROUND(IF(AG224="",Settings!$C$5,AG224)*AW224,2))</f>
        <v/>
      </c>
      <c r="AJ224" s="77" t="str">
        <f aca="false">IF(OR(B224="",AB224="",AC224="",AD224=""),"",IFERROR(ROUND(ABS(AD224-AB224)/ABS(AB224-AC224),2),""))</f>
        <v/>
      </c>
      <c r="AK224" s="78" t="str">
        <f aca="false">IF(OR(B224="",AB224="",AC224="",AE224=""),"",IFERROR(ROUND(IF(J224="Short",AB224-AE224,AE224-AB224)/ABS(AB224-AC224),2),""))</f>
        <v/>
      </c>
      <c r="AL224" s="68" t="str">
        <f aca="false">IF(AK224="","",IF(ABS(AK224)&lt;=Settings!$C$6,"BE",IF(AK224&gt;0,"Win","Loss")))</f>
        <v/>
      </c>
      <c r="AM224" s="79" t="str">
        <f aca="false">IF(OR(AK224="",AI224=""),"",ROUND(AK224*AI224-N(AH224),2))</f>
        <v/>
      </c>
      <c r="AN224" s="76" t="str">
        <f aca="false">IF(AM224="","",ROUND(BK224+SUMIFS(AM$6:AM224,BJ$6:BJ224,BJ224),2))</f>
        <v/>
      </c>
      <c r="AO224" s="78" t="str">
        <f aca="false">IF(AK224="","",ROUND(SUMIFS(AK$6:AK224,BJ$6:BJ224,BJ224),2))</f>
        <v/>
      </c>
      <c r="AP224" s="80" t="str">
        <f aca="false">IF(OR(AK224="",BL224=""),"",IFERROR(ROUND(IF(J224="Short",AB224-AE224,AE224-AB224)/BL224,1),""))</f>
        <v/>
      </c>
      <c r="AQ224" s="66" t="str">
        <f aca="false">IF(OR(G224="",H224=""),"",ROUND(MOD(H224-G224,1)*1440,0))</f>
        <v/>
      </c>
      <c r="AR224" s="68" t="str">
        <f aca="false">IF(AQ224="","",IF(AQ224&lt;15,"Under 15m",IF(AQ224&lt;60,"15-60m",IF(AQ224&lt;240,"1-4 hours","4+ hours"))))</f>
        <v/>
      </c>
      <c r="AS224" s="66" t="str">
        <f aca="false">IF(G224="","",HOUR(G224))</f>
        <v/>
      </c>
      <c r="AT224" s="80" t="str">
        <f aca="false">IF(OR(Z224="",AB224="",BL224=""),"",IFERROR(ROUND(IF(J224="Short",Z224-AB224,AB224-Z224)/BL224,1),""))</f>
        <v/>
      </c>
      <c r="AU224" s="68" t="str">
        <f aca="false">IF(OR(AA224="",AC224=""),"",IF(AA224=AC224,"No","Yes"))</f>
        <v/>
      </c>
      <c r="AV224" s="81" t="str">
        <f aca="false">IF(OR(B224="",BL224="",BM224="",AB224="",AC224=""),"",IFERROR(ROUND(AI224/(ABS(AB224-AC224)/BL224*BM224),2),""))</f>
        <v/>
      </c>
      <c r="AW224" s="76" t="str">
        <f aca="false">IF(B224="","",ROUND(BK224+SUMIFS(AM$5:AM223,BJ$5:BJ223,BJ224),2))</f>
        <v/>
      </c>
      <c r="AX224" s="66" t="str">
        <f aca="false">IF(B224="","",COUNTIFS(B$6:B224,B224,BJ$6:BJ224,BJ224))</f>
        <v/>
      </c>
      <c r="AY224" s="79" t="str">
        <f aca="false">IF(B224="","",ROUND(SUMIFS(AM$5:AM223,B$5:B223,B224,BJ$5:BJ223,BJ224),2))</f>
        <v/>
      </c>
      <c r="AZ224" s="79" t="str">
        <f aca="false">IF(AM224="","",ROUND(AY224+AM224,2))</f>
        <v/>
      </c>
      <c r="BA224" s="79" t="str">
        <f aca="false">IF(B224="","",ROUND(SUMIFS(AM$5:AM223,B$5:B223,"&gt;="&amp;(B224-WEEKDAY(B224,2)+1),B$5:B223,"&lt;="&amp;B224,BJ$5:BJ223,BJ224),2))</f>
        <v/>
      </c>
      <c r="BB224" s="68" t="str">
        <f aca="false">IF(B224="","",IF(AND(AF224&lt;&gt;"",AV224&lt;&gt;"",N(AF224)&gt;N(AV224)*(1+Settings!$C$13)),"Oversized",IF(AX224&gt;Settings!$C$10,"Overtraded",IF(AY224&lt;=-Settings!$C$11*(AW224-AY224),"Daily loss hit",IF(BA224&lt;=-Settings!$C$12*(AW224-BA224),"Weekly loss hit","OK")))))</f>
        <v/>
      </c>
      <c r="BC224" s="69"/>
      <c r="BD224" s="69"/>
      <c r="BE224" s="69"/>
      <c r="BF224" s="73"/>
      <c r="BG224" s="73"/>
      <c r="BH224" s="71"/>
      <c r="BI224" s="71"/>
      <c r="BJ224" s="68" t="str">
        <f aca="false">IF(B224="","",IF(E224="",Settings!$F$5,E224))</f>
        <v/>
      </c>
      <c r="BK224" s="76" t="str">
        <f aca="false">IF(B224="","",IFERROR(INDEX(Settings!$G$5:$G$10,MATCH(BJ224,Settings!$F$5:$F$10,0)),Settings!$G$5))</f>
        <v/>
      </c>
      <c r="BL224" s="82" t="str">
        <f aca="false">IF(I224="","",IFERROR(1/(1/INDEX(Lists!$C$6:$C$17,MATCH(I224,Lists!$B$6:$B$17,0))),""))</f>
        <v/>
      </c>
      <c r="BM224" s="81" t="str">
        <f aca="false">IF(I224="","",IFERROR(1/(1/INDEX(Lists!$D$6:$D$17,MATCH(I224,Lists!$B$6:$B$17,0))),""))</f>
        <v/>
      </c>
      <c r="BN224" s="76" t="str">
        <f aca="false">IF(AN224="","",MAX(BK224,_xlfn.MAXIFS(AN$6:AN224,BJ$6:BJ224,BJ224)))</f>
        <v/>
      </c>
      <c r="BO224" s="83" t="str">
        <f aca="false">IF(AN224="","",(AN224-BN224)/BN224)</f>
        <v/>
      </c>
      <c r="BP224" s="66" t="n">
        <f aca="false">IF(OR(B224="",AL224=""),0,IF(OR(Settings!$C$28="All Accounts",BJ224=Settings!$C$28),1,0))</f>
        <v>0</v>
      </c>
      <c r="BQ224" s="66" t="str">
        <f aca="false">IF(BP224=1,SUM(BP$6:BP224),"")</f>
        <v/>
      </c>
      <c r="BR224" s="76" t="str">
        <f aca="false">IF(BP224=1,ROUND(Settings!$C$29+SUMIFS(AM$6:AM224,BP$6:BP224,1),2),"")</f>
        <v/>
      </c>
      <c r="BS224" s="76" t="str">
        <f aca="false">IF(BP224=1,MAX(Settings!$C$29,MAX(BR$6:BR224)),"")</f>
        <v/>
      </c>
      <c r="BT224" s="83" t="str">
        <f aca="false">IF(BP224=1,(BR224-BS224)/BS224,"")</f>
        <v/>
      </c>
      <c r="BU224" s="66" t="str">
        <f aca="false">IF(BP224=1,IF(AL224="Win",1+IF(BQ224=1,0,INDEX(BU$5:BU223,MATCH(BQ224-1,BQ$5:BQ223,0))),0),"")</f>
        <v/>
      </c>
      <c r="BV224" s="66" t="str">
        <f aca="false">IF(BP224=1,IF(AL224="Loss",1+IF(BQ224=1,0,INDEX(BV$5:BV223,MATCH(BQ224-1,BQ$5:BQ223,0))),0),"")</f>
        <v/>
      </c>
    </row>
    <row r="225" customFormat="false" ht="15" hidden="false" customHeight="false" outlineLevel="0" collapsed="false">
      <c r="A225" s="66" t="str">
        <f aca="false">IF(B225="","",ROW()-5)</f>
        <v/>
      </c>
      <c r="B225" s="67"/>
      <c r="C225" s="68" t="str">
        <f aca="false">IF(B225="","",CHOOSE(WEEKDAY(B225,2),"Mon","Tue","Wed","Thu","Fri","Sat","Sun"))</f>
        <v/>
      </c>
      <c r="D225" s="66" t="str">
        <f aca="false">IF(B225="","",WEEKNUM(B225,2))</f>
        <v/>
      </c>
      <c r="E225" s="69"/>
      <c r="F225" s="69"/>
      <c r="G225" s="70"/>
      <c r="H225" s="70"/>
      <c r="I225" s="69"/>
      <c r="J225" s="69"/>
      <c r="K225" s="69"/>
      <c r="L225" s="71"/>
      <c r="M225" s="69"/>
      <c r="N225" s="69"/>
      <c r="O225" s="69"/>
      <c r="P225" s="71"/>
      <c r="Q225" s="69"/>
      <c r="R225" s="69"/>
      <c r="S225" s="69"/>
      <c r="T225" s="69"/>
      <c r="U225" s="69"/>
      <c r="V225" s="69"/>
      <c r="W225" s="69"/>
      <c r="X225" s="66" t="str">
        <f aca="false">IF(B225="","",COUNTIF(Q225:W225,"Yes"))</f>
        <v/>
      </c>
      <c r="Y225" s="68" t="str">
        <f aca="false">IF(B225="","",IF(X225&gt;=Settings!$C$16,"A+",IF(X225&gt;=Settings!$C$17,"A",IF(X225&gt;=Settings!$C$18,"B","C"))))</f>
        <v/>
      </c>
      <c r="Z225" s="72"/>
      <c r="AA225" s="72"/>
      <c r="AB225" s="72"/>
      <c r="AC225" s="72"/>
      <c r="AD225" s="72"/>
      <c r="AE225" s="72"/>
      <c r="AF225" s="73"/>
      <c r="AG225" s="74"/>
      <c r="AH225" s="75"/>
      <c r="AI225" s="76" t="str">
        <f aca="false">IF(B225="","",ROUND(IF(AG225="",Settings!$C$5,AG225)*AW225,2))</f>
        <v/>
      </c>
      <c r="AJ225" s="77" t="str">
        <f aca="false">IF(OR(B225="",AB225="",AC225="",AD225=""),"",IFERROR(ROUND(ABS(AD225-AB225)/ABS(AB225-AC225),2),""))</f>
        <v/>
      </c>
      <c r="AK225" s="78" t="str">
        <f aca="false">IF(OR(B225="",AB225="",AC225="",AE225=""),"",IFERROR(ROUND(IF(J225="Short",AB225-AE225,AE225-AB225)/ABS(AB225-AC225),2),""))</f>
        <v/>
      </c>
      <c r="AL225" s="68" t="str">
        <f aca="false">IF(AK225="","",IF(ABS(AK225)&lt;=Settings!$C$6,"BE",IF(AK225&gt;0,"Win","Loss")))</f>
        <v/>
      </c>
      <c r="AM225" s="79" t="str">
        <f aca="false">IF(OR(AK225="",AI225=""),"",ROUND(AK225*AI225-N(AH225),2))</f>
        <v/>
      </c>
      <c r="AN225" s="76" t="str">
        <f aca="false">IF(AM225="","",ROUND(BK225+SUMIFS(AM$6:AM225,BJ$6:BJ225,BJ225),2))</f>
        <v/>
      </c>
      <c r="AO225" s="78" t="str">
        <f aca="false">IF(AK225="","",ROUND(SUMIFS(AK$6:AK225,BJ$6:BJ225,BJ225),2))</f>
        <v/>
      </c>
      <c r="AP225" s="80" t="str">
        <f aca="false">IF(OR(AK225="",BL225=""),"",IFERROR(ROUND(IF(J225="Short",AB225-AE225,AE225-AB225)/BL225,1),""))</f>
        <v/>
      </c>
      <c r="AQ225" s="66" t="str">
        <f aca="false">IF(OR(G225="",H225=""),"",ROUND(MOD(H225-G225,1)*1440,0))</f>
        <v/>
      </c>
      <c r="AR225" s="68" t="str">
        <f aca="false">IF(AQ225="","",IF(AQ225&lt;15,"Under 15m",IF(AQ225&lt;60,"15-60m",IF(AQ225&lt;240,"1-4 hours","4+ hours"))))</f>
        <v/>
      </c>
      <c r="AS225" s="66" t="str">
        <f aca="false">IF(G225="","",HOUR(G225))</f>
        <v/>
      </c>
      <c r="AT225" s="80" t="str">
        <f aca="false">IF(OR(Z225="",AB225="",BL225=""),"",IFERROR(ROUND(IF(J225="Short",Z225-AB225,AB225-Z225)/BL225,1),""))</f>
        <v/>
      </c>
      <c r="AU225" s="68" t="str">
        <f aca="false">IF(OR(AA225="",AC225=""),"",IF(AA225=AC225,"No","Yes"))</f>
        <v/>
      </c>
      <c r="AV225" s="81" t="str">
        <f aca="false">IF(OR(B225="",BL225="",BM225="",AB225="",AC225=""),"",IFERROR(ROUND(AI225/(ABS(AB225-AC225)/BL225*BM225),2),""))</f>
        <v/>
      </c>
      <c r="AW225" s="76" t="str">
        <f aca="false">IF(B225="","",ROUND(BK225+SUMIFS(AM$5:AM224,BJ$5:BJ224,BJ225),2))</f>
        <v/>
      </c>
      <c r="AX225" s="66" t="str">
        <f aca="false">IF(B225="","",COUNTIFS(B$6:B225,B225,BJ$6:BJ225,BJ225))</f>
        <v/>
      </c>
      <c r="AY225" s="79" t="str">
        <f aca="false">IF(B225="","",ROUND(SUMIFS(AM$5:AM224,B$5:B224,B225,BJ$5:BJ224,BJ225),2))</f>
        <v/>
      </c>
      <c r="AZ225" s="79" t="str">
        <f aca="false">IF(AM225="","",ROUND(AY225+AM225,2))</f>
        <v/>
      </c>
      <c r="BA225" s="79" t="str">
        <f aca="false">IF(B225="","",ROUND(SUMIFS(AM$5:AM224,B$5:B224,"&gt;="&amp;(B225-WEEKDAY(B225,2)+1),B$5:B224,"&lt;="&amp;B225,BJ$5:BJ224,BJ225),2))</f>
        <v/>
      </c>
      <c r="BB225" s="68" t="str">
        <f aca="false">IF(B225="","",IF(AND(AF225&lt;&gt;"",AV225&lt;&gt;"",N(AF225)&gt;N(AV225)*(1+Settings!$C$13)),"Oversized",IF(AX225&gt;Settings!$C$10,"Overtraded",IF(AY225&lt;=-Settings!$C$11*(AW225-AY225),"Daily loss hit",IF(BA225&lt;=-Settings!$C$12*(AW225-BA225),"Weekly loss hit","OK")))))</f>
        <v/>
      </c>
      <c r="BC225" s="69"/>
      <c r="BD225" s="69"/>
      <c r="BE225" s="69"/>
      <c r="BF225" s="73"/>
      <c r="BG225" s="73"/>
      <c r="BH225" s="71"/>
      <c r="BI225" s="71"/>
      <c r="BJ225" s="68" t="str">
        <f aca="false">IF(B225="","",IF(E225="",Settings!$F$5,E225))</f>
        <v/>
      </c>
      <c r="BK225" s="76" t="str">
        <f aca="false">IF(B225="","",IFERROR(INDEX(Settings!$G$5:$G$10,MATCH(BJ225,Settings!$F$5:$F$10,0)),Settings!$G$5))</f>
        <v/>
      </c>
      <c r="BL225" s="82" t="str">
        <f aca="false">IF(I225="","",IFERROR(1/(1/INDEX(Lists!$C$6:$C$17,MATCH(I225,Lists!$B$6:$B$17,0))),""))</f>
        <v/>
      </c>
      <c r="BM225" s="81" t="str">
        <f aca="false">IF(I225="","",IFERROR(1/(1/INDEX(Lists!$D$6:$D$17,MATCH(I225,Lists!$B$6:$B$17,0))),""))</f>
        <v/>
      </c>
      <c r="BN225" s="76" t="str">
        <f aca="false">IF(AN225="","",MAX(BK225,_xlfn.MAXIFS(AN$6:AN225,BJ$6:BJ225,BJ225)))</f>
        <v/>
      </c>
      <c r="BO225" s="83" t="str">
        <f aca="false">IF(AN225="","",(AN225-BN225)/BN225)</f>
        <v/>
      </c>
      <c r="BP225" s="66" t="n">
        <f aca="false">IF(OR(B225="",AL225=""),0,IF(OR(Settings!$C$28="All Accounts",BJ225=Settings!$C$28),1,0))</f>
        <v>0</v>
      </c>
      <c r="BQ225" s="66" t="str">
        <f aca="false">IF(BP225=1,SUM(BP$6:BP225),"")</f>
        <v/>
      </c>
      <c r="BR225" s="76" t="str">
        <f aca="false">IF(BP225=1,ROUND(Settings!$C$29+SUMIFS(AM$6:AM225,BP$6:BP225,1),2),"")</f>
        <v/>
      </c>
      <c r="BS225" s="76" t="str">
        <f aca="false">IF(BP225=1,MAX(Settings!$C$29,MAX(BR$6:BR225)),"")</f>
        <v/>
      </c>
      <c r="BT225" s="83" t="str">
        <f aca="false">IF(BP225=1,(BR225-BS225)/BS225,"")</f>
        <v/>
      </c>
      <c r="BU225" s="66" t="str">
        <f aca="false">IF(BP225=1,IF(AL225="Win",1+IF(BQ225=1,0,INDEX(BU$5:BU224,MATCH(BQ225-1,BQ$5:BQ224,0))),0),"")</f>
        <v/>
      </c>
      <c r="BV225" s="66" t="str">
        <f aca="false">IF(BP225=1,IF(AL225="Loss",1+IF(BQ225=1,0,INDEX(BV$5:BV224,MATCH(BQ225-1,BQ$5:BQ224,0))),0),"")</f>
        <v/>
      </c>
    </row>
    <row r="226" customFormat="false" ht="15" hidden="false" customHeight="false" outlineLevel="0" collapsed="false">
      <c r="A226" s="66" t="str">
        <f aca="false">IF(B226="","",ROW()-5)</f>
        <v/>
      </c>
      <c r="B226" s="67"/>
      <c r="C226" s="68" t="str">
        <f aca="false">IF(B226="","",CHOOSE(WEEKDAY(B226,2),"Mon","Tue","Wed","Thu","Fri","Sat","Sun"))</f>
        <v/>
      </c>
      <c r="D226" s="66" t="str">
        <f aca="false">IF(B226="","",WEEKNUM(B226,2))</f>
        <v/>
      </c>
      <c r="E226" s="69"/>
      <c r="F226" s="69"/>
      <c r="G226" s="70"/>
      <c r="H226" s="70"/>
      <c r="I226" s="69"/>
      <c r="J226" s="69"/>
      <c r="K226" s="69"/>
      <c r="L226" s="71"/>
      <c r="M226" s="69"/>
      <c r="N226" s="69"/>
      <c r="O226" s="69"/>
      <c r="P226" s="71"/>
      <c r="Q226" s="69"/>
      <c r="R226" s="69"/>
      <c r="S226" s="69"/>
      <c r="T226" s="69"/>
      <c r="U226" s="69"/>
      <c r="V226" s="69"/>
      <c r="W226" s="69"/>
      <c r="X226" s="66" t="str">
        <f aca="false">IF(B226="","",COUNTIF(Q226:W226,"Yes"))</f>
        <v/>
      </c>
      <c r="Y226" s="68" t="str">
        <f aca="false">IF(B226="","",IF(X226&gt;=Settings!$C$16,"A+",IF(X226&gt;=Settings!$C$17,"A",IF(X226&gt;=Settings!$C$18,"B","C"))))</f>
        <v/>
      </c>
      <c r="Z226" s="72"/>
      <c r="AA226" s="72"/>
      <c r="AB226" s="72"/>
      <c r="AC226" s="72"/>
      <c r="AD226" s="72"/>
      <c r="AE226" s="72"/>
      <c r="AF226" s="73"/>
      <c r="AG226" s="74"/>
      <c r="AH226" s="75"/>
      <c r="AI226" s="76" t="str">
        <f aca="false">IF(B226="","",ROUND(IF(AG226="",Settings!$C$5,AG226)*AW226,2))</f>
        <v/>
      </c>
      <c r="AJ226" s="77" t="str">
        <f aca="false">IF(OR(B226="",AB226="",AC226="",AD226=""),"",IFERROR(ROUND(ABS(AD226-AB226)/ABS(AB226-AC226),2),""))</f>
        <v/>
      </c>
      <c r="AK226" s="78" t="str">
        <f aca="false">IF(OR(B226="",AB226="",AC226="",AE226=""),"",IFERROR(ROUND(IF(J226="Short",AB226-AE226,AE226-AB226)/ABS(AB226-AC226),2),""))</f>
        <v/>
      </c>
      <c r="AL226" s="68" t="str">
        <f aca="false">IF(AK226="","",IF(ABS(AK226)&lt;=Settings!$C$6,"BE",IF(AK226&gt;0,"Win","Loss")))</f>
        <v/>
      </c>
      <c r="AM226" s="79" t="str">
        <f aca="false">IF(OR(AK226="",AI226=""),"",ROUND(AK226*AI226-N(AH226),2))</f>
        <v/>
      </c>
      <c r="AN226" s="76" t="str">
        <f aca="false">IF(AM226="","",ROUND(BK226+SUMIFS(AM$6:AM226,BJ$6:BJ226,BJ226),2))</f>
        <v/>
      </c>
      <c r="AO226" s="78" t="str">
        <f aca="false">IF(AK226="","",ROUND(SUMIFS(AK$6:AK226,BJ$6:BJ226,BJ226),2))</f>
        <v/>
      </c>
      <c r="AP226" s="80" t="str">
        <f aca="false">IF(OR(AK226="",BL226=""),"",IFERROR(ROUND(IF(J226="Short",AB226-AE226,AE226-AB226)/BL226,1),""))</f>
        <v/>
      </c>
      <c r="AQ226" s="66" t="str">
        <f aca="false">IF(OR(G226="",H226=""),"",ROUND(MOD(H226-G226,1)*1440,0))</f>
        <v/>
      </c>
      <c r="AR226" s="68" t="str">
        <f aca="false">IF(AQ226="","",IF(AQ226&lt;15,"Under 15m",IF(AQ226&lt;60,"15-60m",IF(AQ226&lt;240,"1-4 hours","4+ hours"))))</f>
        <v/>
      </c>
      <c r="AS226" s="66" t="str">
        <f aca="false">IF(G226="","",HOUR(G226))</f>
        <v/>
      </c>
      <c r="AT226" s="80" t="str">
        <f aca="false">IF(OR(Z226="",AB226="",BL226=""),"",IFERROR(ROUND(IF(J226="Short",Z226-AB226,AB226-Z226)/BL226,1),""))</f>
        <v/>
      </c>
      <c r="AU226" s="68" t="str">
        <f aca="false">IF(OR(AA226="",AC226=""),"",IF(AA226=AC226,"No","Yes"))</f>
        <v/>
      </c>
      <c r="AV226" s="81" t="str">
        <f aca="false">IF(OR(B226="",BL226="",BM226="",AB226="",AC226=""),"",IFERROR(ROUND(AI226/(ABS(AB226-AC226)/BL226*BM226),2),""))</f>
        <v/>
      </c>
      <c r="AW226" s="76" t="str">
        <f aca="false">IF(B226="","",ROUND(BK226+SUMIFS(AM$5:AM225,BJ$5:BJ225,BJ226),2))</f>
        <v/>
      </c>
      <c r="AX226" s="66" t="str">
        <f aca="false">IF(B226="","",COUNTIFS(B$6:B226,B226,BJ$6:BJ226,BJ226))</f>
        <v/>
      </c>
      <c r="AY226" s="79" t="str">
        <f aca="false">IF(B226="","",ROUND(SUMIFS(AM$5:AM225,B$5:B225,B226,BJ$5:BJ225,BJ226),2))</f>
        <v/>
      </c>
      <c r="AZ226" s="79" t="str">
        <f aca="false">IF(AM226="","",ROUND(AY226+AM226,2))</f>
        <v/>
      </c>
      <c r="BA226" s="79" t="str">
        <f aca="false">IF(B226="","",ROUND(SUMIFS(AM$5:AM225,B$5:B225,"&gt;="&amp;(B226-WEEKDAY(B226,2)+1),B$5:B225,"&lt;="&amp;B226,BJ$5:BJ225,BJ226),2))</f>
        <v/>
      </c>
      <c r="BB226" s="68" t="str">
        <f aca="false">IF(B226="","",IF(AND(AF226&lt;&gt;"",AV226&lt;&gt;"",N(AF226)&gt;N(AV226)*(1+Settings!$C$13)),"Oversized",IF(AX226&gt;Settings!$C$10,"Overtraded",IF(AY226&lt;=-Settings!$C$11*(AW226-AY226),"Daily loss hit",IF(BA226&lt;=-Settings!$C$12*(AW226-BA226),"Weekly loss hit","OK")))))</f>
        <v/>
      </c>
      <c r="BC226" s="69"/>
      <c r="BD226" s="69"/>
      <c r="BE226" s="69"/>
      <c r="BF226" s="73"/>
      <c r="BG226" s="73"/>
      <c r="BH226" s="71"/>
      <c r="BI226" s="71"/>
      <c r="BJ226" s="68" t="str">
        <f aca="false">IF(B226="","",IF(E226="",Settings!$F$5,E226))</f>
        <v/>
      </c>
      <c r="BK226" s="76" t="str">
        <f aca="false">IF(B226="","",IFERROR(INDEX(Settings!$G$5:$G$10,MATCH(BJ226,Settings!$F$5:$F$10,0)),Settings!$G$5))</f>
        <v/>
      </c>
      <c r="BL226" s="82" t="str">
        <f aca="false">IF(I226="","",IFERROR(1/(1/INDEX(Lists!$C$6:$C$17,MATCH(I226,Lists!$B$6:$B$17,0))),""))</f>
        <v/>
      </c>
      <c r="BM226" s="81" t="str">
        <f aca="false">IF(I226="","",IFERROR(1/(1/INDEX(Lists!$D$6:$D$17,MATCH(I226,Lists!$B$6:$B$17,0))),""))</f>
        <v/>
      </c>
      <c r="BN226" s="76" t="str">
        <f aca="false">IF(AN226="","",MAX(BK226,_xlfn.MAXIFS(AN$6:AN226,BJ$6:BJ226,BJ226)))</f>
        <v/>
      </c>
      <c r="BO226" s="83" t="str">
        <f aca="false">IF(AN226="","",(AN226-BN226)/BN226)</f>
        <v/>
      </c>
      <c r="BP226" s="66" t="n">
        <f aca="false">IF(OR(B226="",AL226=""),0,IF(OR(Settings!$C$28="All Accounts",BJ226=Settings!$C$28),1,0))</f>
        <v>0</v>
      </c>
      <c r="BQ226" s="66" t="str">
        <f aca="false">IF(BP226=1,SUM(BP$6:BP226),"")</f>
        <v/>
      </c>
      <c r="BR226" s="76" t="str">
        <f aca="false">IF(BP226=1,ROUND(Settings!$C$29+SUMIFS(AM$6:AM226,BP$6:BP226,1),2),"")</f>
        <v/>
      </c>
      <c r="BS226" s="76" t="str">
        <f aca="false">IF(BP226=1,MAX(Settings!$C$29,MAX(BR$6:BR226)),"")</f>
        <v/>
      </c>
      <c r="BT226" s="83" t="str">
        <f aca="false">IF(BP226=1,(BR226-BS226)/BS226,"")</f>
        <v/>
      </c>
      <c r="BU226" s="66" t="str">
        <f aca="false">IF(BP226=1,IF(AL226="Win",1+IF(BQ226=1,0,INDEX(BU$5:BU225,MATCH(BQ226-1,BQ$5:BQ225,0))),0),"")</f>
        <v/>
      </c>
      <c r="BV226" s="66" t="str">
        <f aca="false">IF(BP226=1,IF(AL226="Loss",1+IF(BQ226=1,0,INDEX(BV$5:BV225,MATCH(BQ226-1,BQ$5:BQ225,0))),0),"")</f>
        <v/>
      </c>
    </row>
    <row r="227" customFormat="false" ht="15" hidden="false" customHeight="false" outlineLevel="0" collapsed="false">
      <c r="A227" s="66" t="str">
        <f aca="false">IF(B227="","",ROW()-5)</f>
        <v/>
      </c>
      <c r="B227" s="67"/>
      <c r="C227" s="68" t="str">
        <f aca="false">IF(B227="","",CHOOSE(WEEKDAY(B227,2),"Mon","Tue","Wed","Thu","Fri","Sat","Sun"))</f>
        <v/>
      </c>
      <c r="D227" s="66" t="str">
        <f aca="false">IF(B227="","",WEEKNUM(B227,2))</f>
        <v/>
      </c>
      <c r="E227" s="69"/>
      <c r="F227" s="69"/>
      <c r="G227" s="70"/>
      <c r="H227" s="70"/>
      <c r="I227" s="69"/>
      <c r="J227" s="69"/>
      <c r="K227" s="69"/>
      <c r="L227" s="71"/>
      <c r="M227" s="69"/>
      <c r="N227" s="69"/>
      <c r="O227" s="69"/>
      <c r="P227" s="71"/>
      <c r="Q227" s="69"/>
      <c r="R227" s="69"/>
      <c r="S227" s="69"/>
      <c r="T227" s="69"/>
      <c r="U227" s="69"/>
      <c r="V227" s="69"/>
      <c r="W227" s="69"/>
      <c r="X227" s="66" t="str">
        <f aca="false">IF(B227="","",COUNTIF(Q227:W227,"Yes"))</f>
        <v/>
      </c>
      <c r="Y227" s="68" t="str">
        <f aca="false">IF(B227="","",IF(X227&gt;=Settings!$C$16,"A+",IF(X227&gt;=Settings!$C$17,"A",IF(X227&gt;=Settings!$C$18,"B","C"))))</f>
        <v/>
      </c>
      <c r="Z227" s="72"/>
      <c r="AA227" s="72"/>
      <c r="AB227" s="72"/>
      <c r="AC227" s="72"/>
      <c r="AD227" s="72"/>
      <c r="AE227" s="72"/>
      <c r="AF227" s="73"/>
      <c r="AG227" s="74"/>
      <c r="AH227" s="75"/>
      <c r="AI227" s="76" t="str">
        <f aca="false">IF(B227="","",ROUND(IF(AG227="",Settings!$C$5,AG227)*AW227,2))</f>
        <v/>
      </c>
      <c r="AJ227" s="77" t="str">
        <f aca="false">IF(OR(B227="",AB227="",AC227="",AD227=""),"",IFERROR(ROUND(ABS(AD227-AB227)/ABS(AB227-AC227),2),""))</f>
        <v/>
      </c>
      <c r="AK227" s="78" t="str">
        <f aca="false">IF(OR(B227="",AB227="",AC227="",AE227=""),"",IFERROR(ROUND(IF(J227="Short",AB227-AE227,AE227-AB227)/ABS(AB227-AC227),2),""))</f>
        <v/>
      </c>
      <c r="AL227" s="68" t="str">
        <f aca="false">IF(AK227="","",IF(ABS(AK227)&lt;=Settings!$C$6,"BE",IF(AK227&gt;0,"Win","Loss")))</f>
        <v/>
      </c>
      <c r="AM227" s="79" t="str">
        <f aca="false">IF(OR(AK227="",AI227=""),"",ROUND(AK227*AI227-N(AH227),2))</f>
        <v/>
      </c>
      <c r="AN227" s="76" t="str">
        <f aca="false">IF(AM227="","",ROUND(BK227+SUMIFS(AM$6:AM227,BJ$6:BJ227,BJ227),2))</f>
        <v/>
      </c>
      <c r="AO227" s="78" t="str">
        <f aca="false">IF(AK227="","",ROUND(SUMIFS(AK$6:AK227,BJ$6:BJ227,BJ227),2))</f>
        <v/>
      </c>
      <c r="AP227" s="80" t="str">
        <f aca="false">IF(OR(AK227="",BL227=""),"",IFERROR(ROUND(IF(J227="Short",AB227-AE227,AE227-AB227)/BL227,1),""))</f>
        <v/>
      </c>
      <c r="AQ227" s="66" t="str">
        <f aca="false">IF(OR(G227="",H227=""),"",ROUND(MOD(H227-G227,1)*1440,0))</f>
        <v/>
      </c>
      <c r="AR227" s="68" t="str">
        <f aca="false">IF(AQ227="","",IF(AQ227&lt;15,"Under 15m",IF(AQ227&lt;60,"15-60m",IF(AQ227&lt;240,"1-4 hours","4+ hours"))))</f>
        <v/>
      </c>
      <c r="AS227" s="66" t="str">
        <f aca="false">IF(G227="","",HOUR(G227))</f>
        <v/>
      </c>
      <c r="AT227" s="80" t="str">
        <f aca="false">IF(OR(Z227="",AB227="",BL227=""),"",IFERROR(ROUND(IF(J227="Short",Z227-AB227,AB227-Z227)/BL227,1),""))</f>
        <v/>
      </c>
      <c r="AU227" s="68" t="str">
        <f aca="false">IF(OR(AA227="",AC227=""),"",IF(AA227=AC227,"No","Yes"))</f>
        <v/>
      </c>
      <c r="AV227" s="81" t="str">
        <f aca="false">IF(OR(B227="",BL227="",BM227="",AB227="",AC227=""),"",IFERROR(ROUND(AI227/(ABS(AB227-AC227)/BL227*BM227),2),""))</f>
        <v/>
      </c>
      <c r="AW227" s="76" t="str">
        <f aca="false">IF(B227="","",ROUND(BK227+SUMIFS(AM$5:AM226,BJ$5:BJ226,BJ227),2))</f>
        <v/>
      </c>
      <c r="AX227" s="66" t="str">
        <f aca="false">IF(B227="","",COUNTIFS(B$6:B227,B227,BJ$6:BJ227,BJ227))</f>
        <v/>
      </c>
      <c r="AY227" s="79" t="str">
        <f aca="false">IF(B227="","",ROUND(SUMIFS(AM$5:AM226,B$5:B226,B227,BJ$5:BJ226,BJ227),2))</f>
        <v/>
      </c>
      <c r="AZ227" s="79" t="str">
        <f aca="false">IF(AM227="","",ROUND(AY227+AM227,2))</f>
        <v/>
      </c>
      <c r="BA227" s="79" t="str">
        <f aca="false">IF(B227="","",ROUND(SUMIFS(AM$5:AM226,B$5:B226,"&gt;="&amp;(B227-WEEKDAY(B227,2)+1),B$5:B226,"&lt;="&amp;B227,BJ$5:BJ226,BJ227),2))</f>
        <v/>
      </c>
      <c r="BB227" s="68" t="str">
        <f aca="false">IF(B227="","",IF(AND(AF227&lt;&gt;"",AV227&lt;&gt;"",N(AF227)&gt;N(AV227)*(1+Settings!$C$13)),"Oversized",IF(AX227&gt;Settings!$C$10,"Overtraded",IF(AY227&lt;=-Settings!$C$11*(AW227-AY227),"Daily loss hit",IF(BA227&lt;=-Settings!$C$12*(AW227-BA227),"Weekly loss hit","OK")))))</f>
        <v/>
      </c>
      <c r="BC227" s="69"/>
      <c r="BD227" s="69"/>
      <c r="BE227" s="69"/>
      <c r="BF227" s="73"/>
      <c r="BG227" s="73"/>
      <c r="BH227" s="71"/>
      <c r="BI227" s="71"/>
      <c r="BJ227" s="68" t="str">
        <f aca="false">IF(B227="","",IF(E227="",Settings!$F$5,E227))</f>
        <v/>
      </c>
      <c r="BK227" s="76" t="str">
        <f aca="false">IF(B227="","",IFERROR(INDEX(Settings!$G$5:$G$10,MATCH(BJ227,Settings!$F$5:$F$10,0)),Settings!$G$5))</f>
        <v/>
      </c>
      <c r="BL227" s="82" t="str">
        <f aca="false">IF(I227="","",IFERROR(1/(1/INDEX(Lists!$C$6:$C$17,MATCH(I227,Lists!$B$6:$B$17,0))),""))</f>
        <v/>
      </c>
      <c r="BM227" s="81" t="str">
        <f aca="false">IF(I227="","",IFERROR(1/(1/INDEX(Lists!$D$6:$D$17,MATCH(I227,Lists!$B$6:$B$17,0))),""))</f>
        <v/>
      </c>
      <c r="BN227" s="76" t="str">
        <f aca="false">IF(AN227="","",MAX(BK227,_xlfn.MAXIFS(AN$6:AN227,BJ$6:BJ227,BJ227)))</f>
        <v/>
      </c>
      <c r="BO227" s="83" t="str">
        <f aca="false">IF(AN227="","",(AN227-BN227)/BN227)</f>
        <v/>
      </c>
      <c r="BP227" s="66" t="n">
        <f aca="false">IF(OR(B227="",AL227=""),0,IF(OR(Settings!$C$28="All Accounts",BJ227=Settings!$C$28),1,0))</f>
        <v>0</v>
      </c>
      <c r="BQ227" s="66" t="str">
        <f aca="false">IF(BP227=1,SUM(BP$6:BP227),"")</f>
        <v/>
      </c>
      <c r="BR227" s="76" t="str">
        <f aca="false">IF(BP227=1,ROUND(Settings!$C$29+SUMIFS(AM$6:AM227,BP$6:BP227,1),2),"")</f>
        <v/>
      </c>
      <c r="BS227" s="76" t="str">
        <f aca="false">IF(BP227=1,MAX(Settings!$C$29,MAX(BR$6:BR227)),"")</f>
        <v/>
      </c>
      <c r="BT227" s="83" t="str">
        <f aca="false">IF(BP227=1,(BR227-BS227)/BS227,"")</f>
        <v/>
      </c>
      <c r="BU227" s="66" t="str">
        <f aca="false">IF(BP227=1,IF(AL227="Win",1+IF(BQ227=1,0,INDEX(BU$5:BU226,MATCH(BQ227-1,BQ$5:BQ226,0))),0),"")</f>
        <v/>
      </c>
      <c r="BV227" s="66" t="str">
        <f aca="false">IF(BP227=1,IF(AL227="Loss",1+IF(BQ227=1,0,INDEX(BV$5:BV226,MATCH(BQ227-1,BQ$5:BQ226,0))),0),"")</f>
        <v/>
      </c>
    </row>
    <row r="228" customFormat="false" ht="15" hidden="false" customHeight="false" outlineLevel="0" collapsed="false">
      <c r="A228" s="66" t="str">
        <f aca="false">IF(B228="","",ROW()-5)</f>
        <v/>
      </c>
      <c r="B228" s="67"/>
      <c r="C228" s="68" t="str">
        <f aca="false">IF(B228="","",CHOOSE(WEEKDAY(B228,2),"Mon","Tue","Wed","Thu","Fri","Sat","Sun"))</f>
        <v/>
      </c>
      <c r="D228" s="66" t="str">
        <f aca="false">IF(B228="","",WEEKNUM(B228,2))</f>
        <v/>
      </c>
      <c r="E228" s="69"/>
      <c r="F228" s="69"/>
      <c r="G228" s="70"/>
      <c r="H228" s="70"/>
      <c r="I228" s="69"/>
      <c r="J228" s="69"/>
      <c r="K228" s="69"/>
      <c r="L228" s="71"/>
      <c r="M228" s="69"/>
      <c r="N228" s="69"/>
      <c r="O228" s="69"/>
      <c r="P228" s="71"/>
      <c r="Q228" s="69"/>
      <c r="R228" s="69"/>
      <c r="S228" s="69"/>
      <c r="T228" s="69"/>
      <c r="U228" s="69"/>
      <c r="V228" s="69"/>
      <c r="W228" s="69"/>
      <c r="X228" s="66" t="str">
        <f aca="false">IF(B228="","",COUNTIF(Q228:W228,"Yes"))</f>
        <v/>
      </c>
      <c r="Y228" s="68" t="str">
        <f aca="false">IF(B228="","",IF(X228&gt;=Settings!$C$16,"A+",IF(X228&gt;=Settings!$C$17,"A",IF(X228&gt;=Settings!$C$18,"B","C"))))</f>
        <v/>
      </c>
      <c r="Z228" s="72"/>
      <c r="AA228" s="72"/>
      <c r="AB228" s="72"/>
      <c r="AC228" s="72"/>
      <c r="AD228" s="72"/>
      <c r="AE228" s="72"/>
      <c r="AF228" s="73"/>
      <c r="AG228" s="74"/>
      <c r="AH228" s="75"/>
      <c r="AI228" s="76" t="str">
        <f aca="false">IF(B228="","",ROUND(IF(AG228="",Settings!$C$5,AG228)*AW228,2))</f>
        <v/>
      </c>
      <c r="AJ228" s="77" t="str">
        <f aca="false">IF(OR(B228="",AB228="",AC228="",AD228=""),"",IFERROR(ROUND(ABS(AD228-AB228)/ABS(AB228-AC228),2),""))</f>
        <v/>
      </c>
      <c r="AK228" s="78" t="str">
        <f aca="false">IF(OR(B228="",AB228="",AC228="",AE228=""),"",IFERROR(ROUND(IF(J228="Short",AB228-AE228,AE228-AB228)/ABS(AB228-AC228),2),""))</f>
        <v/>
      </c>
      <c r="AL228" s="68" t="str">
        <f aca="false">IF(AK228="","",IF(ABS(AK228)&lt;=Settings!$C$6,"BE",IF(AK228&gt;0,"Win","Loss")))</f>
        <v/>
      </c>
      <c r="AM228" s="79" t="str">
        <f aca="false">IF(OR(AK228="",AI228=""),"",ROUND(AK228*AI228-N(AH228),2))</f>
        <v/>
      </c>
      <c r="AN228" s="76" t="str">
        <f aca="false">IF(AM228="","",ROUND(BK228+SUMIFS(AM$6:AM228,BJ$6:BJ228,BJ228),2))</f>
        <v/>
      </c>
      <c r="AO228" s="78" t="str">
        <f aca="false">IF(AK228="","",ROUND(SUMIFS(AK$6:AK228,BJ$6:BJ228,BJ228),2))</f>
        <v/>
      </c>
      <c r="AP228" s="80" t="str">
        <f aca="false">IF(OR(AK228="",BL228=""),"",IFERROR(ROUND(IF(J228="Short",AB228-AE228,AE228-AB228)/BL228,1),""))</f>
        <v/>
      </c>
      <c r="AQ228" s="66" t="str">
        <f aca="false">IF(OR(G228="",H228=""),"",ROUND(MOD(H228-G228,1)*1440,0))</f>
        <v/>
      </c>
      <c r="AR228" s="68" t="str">
        <f aca="false">IF(AQ228="","",IF(AQ228&lt;15,"Under 15m",IF(AQ228&lt;60,"15-60m",IF(AQ228&lt;240,"1-4 hours","4+ hours"))))</f>
        <v/>
      </c>
      <c r="AS228" s="66" t="str">
        <f aca="false">IF(G228="","",HOUR(G228))</f>
        <v/>
      </c>
      <c r="AT228" s="80" t="str">
        <f aca="false">IF(OR(Z228="",AB228="",BL228=""),"",IFERROR(ROUND(IF(J228="Short",Z228-AB228,AB228-Z228)/BL228,1),""))</f>
        <v/>
      </c>
      <c r="AU228" s="68" t="str">
        <f aca="false">IF(OR(AA228="",AC228=""),"",IF(AA228=AC228,"No","Yes"))</f>
        <v/>
      </c>
      <c r="AV228" s="81" t="str">
        <f aca="false">IF(OR(B228="",BL228="",BM228="",AB228="",AC228=""),"",IFERROR(ROUND(AI228/(ABS(AB228-AC228)/BL228*BM228),2),""))</f>
        <v/>
      </c>
      <c r="AW228" s="76" t="str">
        <f aca="false">IF(B228="","",ROUND(BK228+SUMIFS(AM$5:AM227,BJ$5:BJ227,BJ228),2))</f>
        <v/>
      </c>
      <c r="AX228" s="66" t="str">
        <f aca="false">IF(B228="","",COUNTIFS(B$6:B228,B228,BJ$6:BJ228,BJ228))</f>
        <v/>
      </c>
      <c r="AY228" s="79" t="str">
        <f aca="false">IF(B228="","",ROUND(SUMIFS(AM$5:AM227,B$5:B227,B228,BJ$5:BJ227,BJ228),2))</f>
        <v/>
      </c>
      <c r="AZ228" s="79" t="str">
        <f aca="false">IF(AM228="","",ROUND(AY228+AM228,2))</f>
        <v/>
      </c>
      <c r="BA228" s="79" t="str">
        <f aca="false">IF(B228="","",ROUND(SUMIFS(AM$5:AM227,B$5:B227,"&gt;="&amp;(B228-WEEKDAY(B228,2)+1),B$5:B227,"&lt;="&amp;B228,BJ$5:BJ227,BJ228),2))</f>
        <v/>
      </c>
      <c r="BB228" s="68" t="str">
        <f aca="false">IF(B228="","",IF(AND(AF228&lt;&gt;"",AV228&lt;&gt;"",N(AF228)&gt;N(AV228)*(1+Settings!$C$13)),"Oversized",IF(AX228&gt;Settings!$C$10,"Overtraded",IF(AY228&lt;=-Settings!$C$11*(AW228-AY228),"Daily loss hit",IF(BA228&lt;=-Settings!$C$12*(AW228-BA228),"Weekly loss hit","OK")))))</f>
        <v/>
      </c>
      <c r="BC228" s="69"/>
      <c r="BD228" s="69"/>
      <c r="BE228" s="69"/>
      <c r="BF228" s="73"/>
      <c r="BG228" s="73"/>
      <c r="BH228" s="71"/>
      <c r="BI228" s="71"/>
      <c r="BJ228" s="68" t="str">
        <f aca="false">IF(B228="","",IF(E228="",Settings!$F$5,E228))</f>
        <v/>
      </c>
      <c r="BK228" s="76" t="str">
        <f aca="false">IF(B228="","",IFERROR(INDEX(Settings!$G$5:$G$10,MATCH(BJ228,Settings!$F$5:$F$10,0)),Settings!$G$5))</f>
        <v/>
      </c>
      <c r="BL228" s="82" t="str">
        <f aca="false">IF(I228="","",IFERROR(1/(1/INDEX(Lists!$C$6:$C$17,MATCH(I228,Lists!$B$6:$B$17,0))),""))</f>
        <v/>
      </c>
      <c r="BM228" s="81" t="str">
        <f aca="false">IF(I228="","",IFERROR(1/(1/INDEX(Lists!$D$6:$D$17,MATCH(I228,Lists!$B$6:$B$17,0))),""))</f>
        <v/>
      </c>
      <c r="BN228" s="76" t="str">
        <f aca="false">IF(AN228="","",MAX(BK228,_xlfn.MAXIFS(AN$6:AN228,BJ$6:BJ228,BJ228)))</f>
        <v/>
      </c>
      <c r="BO228" s="83" t="str">
        <f aca="false">IF(AN228="","",(AN228-BN228)/BN228)</f>
        <v/>
      </c>
      <c r="BP228" s="66" t="n">
        <f aca="false">IF(OR(B228="",AL228=""),0,IF(OR(Settings!$C$28="All Accounts",BJ228=Settings!$C$28),1,0))</f>
        <v>0</v>
      </c>
      <c r="BQ228" s="66" t="str">
        <f aca="false">IF(BP228=1,SUM(BP$6:BP228),"")</f>
        <v/>
      </c>
      <c r="BR228" s="76" t="str">
        <f aca="false">IF(BP228=1,ROUND(Settings!$C$29+SUMIFS(AM$6:AM228,BP$6:BP228,1),2),"")</f>
        <v/>
      </c>
      <c r="BS228" s="76" t="str">
        <f aca="false">IF(BP228=1,MAX(Settings!$C$29,MAX(BR$6:BR228)),"")</f>
        <v/>
      </c>
      <c r="BT228" s="83" t="str">
        <f aca="false">IF(BP228=1,(BR228-BS228)/BS228,"")</f>
        <v/>
      </c>
      <c r="BU228" s="66" t="str">
        <f aca="false">IF(BP228=1,IF(AL228="Win",1+IF(BQ228=1,0,INDEX(BU$5:BU227,MATCH(BQ228-1,BQ$5:BQ227,0))),0),"")</f>
        <v/>
      </c>
      <c r="BV228" s="66" t="str">
        <f aca="false">IF(BP228=1,IF(AL228="Loss",1+IF(BQ228=1,0,INDEX(BV$5:BV227,MATCH(BQ228-1,BQ$5:BQ227,0))),0),"")</f>
        <v/>
      </c>
    </row>
    <row r="229" customFormat="false" ht="15" hidden="false" customHeight="false" outlineLevel="0" collapsed="false">
      <c r="A229" s="66" t="str">
        <f aca="false">IF(B229="","",ROW()-5)</f>
        <v/>
      </c>
      <c r="B229" s="67"/>
      <c r="C229" s="68" t="str">
        <f aca="false">IF(B229="","",CHOOSE(WEEKDAY(B229,2),"Mon","Tue","Wed","Thu","Fri","Sat","Sun"))</f>
        <v/>
      </c>
      <c r="D229" s="66" t="str">
        <f aca="false">IF(B229="","",WEEKNUM(B229,2))</f>
        <v/>
      </c>
      <c r="E229" s="69"/>
      <c r="F229" s="69"/>
      <c r="G229" s="70"/>
      <c r="H229" s="70"/>
      <c r="I229" s="69"/>
      <c r="J229" s="69"/>
      <c r="K229" s="69"/>
      <c r="L229" s="71"/>
      <c r="M229" s="69"/>
      <c r="N229" s="69"/>
      <c r="O229" s="69"/>
      <c r="P229" s="71"/>
      <c r="Q229" s="69"/>
      <c r="R229" s="69"/>
      <c r="S229" s="69"/>
      <c r="T229" s="69"/>
      <c r="U229" s="69"/>
      <c r="V229" s="69"/>
      <c r="W229" s="69"/>
      <c r="X229" s="66" t="str">
        <f aca="false">IF(B229="","",COUNTIF(Q229:W229,"Yes"))</f>
        <v/>
      </c>
      <c r="Y229" s="68" t="str">
        <f aca="false">IF(B229="","",IF(X229&gt;=Settings!$C$16,"A+",IF(X229&gt;=Settings!$C$17,"A",IF(X229&gt;=Settings!$C$18,"B","C"))))</f>
        <v/>
      </c>
      <c r="Z229" s="72"/>
      <c r="AA229" s="72"/>
      <c r="AB229" s="72"/>
      <c r="AC229" s="72"/>
      <c r="AD229" s="72"/>
      <c r="AE229" s="72"/>
      <c r="AF229" s="73"/>
      <c r="AG229" s="74"/>
      <c r="AH229" s="75"/>
      <c r="AI229" s="76" t="str">
        <f aca="false">IF(B229="","",ROUND(IF(AG229="",Settings!$C$5,AG229)*AW229,2))</f>
        <v/>
      </c>
      <c r="AJ229" s="77" t="str">
        <f aca="false">IF(OR(B229="",AB229="",AC229="",AD229=""),"",IFERROR(ROUND(ABS(AD229-AB229)/ABS(AB229-AC229),2),""))</f>
        <v/>
      </c>
      <c r="AK229" s="78" t="str">
        <f aca="false">IF(OR(B229="",AB229="",AC229="",AE229=""),"",IFERROR(ROUND(IF(J229="Short",AB229-AE229,AE229-AB229)/ABS(AB229-AC229),2),""))</f>
        <v/>
      </c>
      <c r="AL229" s="68" t="str">
        <f aca="false">IF(AK229="","",IF(ABS(AK229)&lt;=Settings!$C$6,"BE",IF(AK229&gt;0,"Win","Loss")))</f>
        <v/>
      </c>
      <c r="AM229" s="79" t="str">
        <f aca="false">IF(OR(AK229="",AI229=""),"",ROUND(AK229*AI229-N(AH229),2))</f>
        <v/>
      </c>
      <c r="AN229" s="76" t="str">
        <f aca="false">IF(AM229="","",ROUND(BK229+SUMIFS(AM$6:AM229,BJ$6:BJ229,BJ229),2))</f>
        <v/>
      </c>
      <c r="AO229" s="78" t="str">
        <f aca="false">IF(AK229="","",ROUND(SUMIFS(AK$6:AK229,BJ$6:BJ229,BJ229),2))</f>
        <v/>
      </c>
      <c r="AP229" s="80" t="str">
        <f aca="false">IF(OR(AK229="",BL229=""),"",IFERROR(ROUND(IF(J229="Short",AB229-AE229,AE229-AB229)/BL229,1),""))</f>
        <v/>
      </c>
      <c r="AQ229" s="66" t="str">
        <f aca="false">IF(OR(G229="",H229=""),"",ROUND(MOD(H229-G229,1)*1440,0))</f>
        <v/>
      </c>
      <c r="AR229" s="68" t="str">
        <f aca="false">IF(AQ229="","",IF(AQ229&lt;15,"Under 15m",IF(AQ229&lt;60,"15-60m",IF(AQ229&lt;240,"1-4 hours","4+ hours"))))</f>
        <v/>
      </c>
      <c r="AS229" s="66" t="str">
        <f aca="false">IF(G229="","",HOUR(G229))</f>
        <v/>
      </c>
      <c r="AT229" s="80" t="str">
        <f aca="false">IF(OR(Z229="",AB229="",BL229=""),"",IFERROR(ROUND(IF(J229="Short",Z229-AB229,AB229-Z229)/BL229,1),""))</f>
        <v/>
      </c>
      <c r="AU229" s="68" t="str">
        <f aca="false">IF(OR(AA229="",AC229=""),"",IF(AA229=AC229,"No","Yes"))</f>
        <v/>
      </c>
      <c r="AV229" s="81" t="str">
        <f aca="false">IF(OR(B229="",BL229="",BM229="",AB229="",AC229=""),"",IFERROR(ROUND(AI229/(ABS(AB229-AC229)/BL229*BM229),2),""))</f>
        <v/>
      </c>
      <c r="AW229" s="76" t="str">
        <f aca="false">IF(B229="","",ROUND(BK229+SUMIFS(AM$5:AM228,BJ$5:BJ228,BJ229),2))</f>
        <v/>
      </c>
      <c r="AX229" s="66" t="str">
        <f aca="false">IF(B229="","",COUNTIFS(B$6:B229,B229,BJ$6:BJ229,BJ229))</f>
        <v/>
      </c>
      <c r="AY229" s="79" t="str">
        <f aca="false">IF(B229="","",ROUND(SUMIFS(AM$5:AM228,B$5:B228,B229,BJ$5:BJ228,BJ229),2))</f>
        <v/>
      </c>
      <c r="AZ229" s="79" t="str">
        <f aca="false">IF(AM229="","",ROUND(AY229+AM229,2))</f>
        <v/>
      </c>
      <c r="BA229" s="79" t="str">
        <f aca="false">IF(B229="","",ROUND(SUMIFS(AM$5:AM228,B$5:B228,"&gt;="&amp;(B229-WEEKDAY(B229,2)+1),B$5:B228,"&lt;="&amp;B229,BJ$5:BJ228,BJ229),2))</f>
        <v/>
      </c>
      <c r="BB229" s="68" t="str">
        <f aca="false">IF(B229="","",IF(AND(AF229&lt;&gt;"",AV229&lt;&gt;"",N(AF229)&gt;N(AV229)*(1+Settings!$C$13)),"Oversized",IF(AX229&gt;Settings!$C$10,"Overtraded",IF(AY229&lt;=-Settings!$C$11*(AW229-AY229),"Daily loss hit",IF(BA229&lt;=-Settings!$C$12*(AW229-BA229),"Weekly loss hit","OK")))))</f>
        <v/>
      </c>
      <c r="BC229" s="69"/>
      <c r="BD229" s="69"/>
      <c r="BE229" s="69"/>
      <c r="BF229" s="73"/>
      <c r="BG229" s="73"/>
      <c r="BH229" s="71"/>
      <c r="BI229" s="71"/>
      <c r="BJ229" s="68" t="str">
        <f aca="false">IF(B229="","",IF(E229="",Settings!$F$5,E229))</f>
        <v/>
      </c>
      <c r="BK229" s="76" t="str">
        <f aca="false">IF(B229="","",IFERROR(INDEX(Settings!$G$5:$G$10,MATCH(BJ229,Settings!$F$5:$F$10,0)),Settings!$G$5))</f>
        <v/>
      </c>
      <c r="BL229" s="82" t="str">
        <f aca="false">IF(I229="","",IFERROR(1/(1/INDEX(Lists!$C$6:$C$17,MATCH(I229,Lists!$B$6:$B$17,0))),""))</f>
        <v/>
      </c>
      <c r="BM229" s="81" t="str">
        <f aca="false">IF(I229="","",IFERROR(1/(1/INDEX(Lists!$D$6:$D$17,MATCH(I229,Lists!$B$6:$B$17,0))),""))</f>
        <v/>
      </c>
      <c r="BN229" s="76" t="str">
        <f aca="false">IF(AN229="","",MAX(BK229,_xlfn.MAXIFS(AN$6:AN229,BJ$6:BJ229,BJ229)))</f>
        <v/>
      </c>
      <c r="BO229" s="83" t="str">
        <f aca="false">IF(AN229="","",(AN229-BN229)/BN229)</f>
        <v/>
      </c>
      <c r="BP229" s="66" t="n">
        <f aca="false">IF(OR(B229="",AL229=""),0,IF(OR(Settings!$C$28="All Accounts",BJ229=Settings!$C$28),1,0))</f>
        <v>0</v>
      </c>
      <c r="BQ229" s="66" t="str">
        <f aca="false">IF(BP229=1,SUM(BP$6:BP229),"")</f>
        <v/>
      </c>
      <c r="BR229" s="76" t="str">
        <f aca="false">IF(BP229=1,ROUND(Settings!$C$29+SUMIFS(AM$6:AM229,BP$6:BP229,1),2),"")</f>
        <v/>
      </c>
      <c r="BS229" s="76" t="str">
        <f aca="false">IF(BP229=1,MAX(Settings!$C$29,MAX(BR$6:BR229)),"")</f>
        <v/>
      </c>
      <c r="BT229" s="83" t="str">
        <f aca="false">IF(BP229=1,(BR229-BS229)/BS229,"")</f>
        <v/>
      </c>
      <c r="BU229" s="66" t="str">
        <f aca="false">IF(BP229=1,IF(AL229="Win",1+IF(BQ229=1,0,INDEX(BU$5:BU228,MATCH(BQ229-1,BQ$5:BQ228,0))),0),"")</f>
        <v/>
      </c>
      <c r="BV229" s="66" t="str">
        <f aca="false">IF(BP229=1,IF(AL229="Loss",1+IF(BQ229=1,0,INDEX(BV$5:BV228,MATCH(BQ229-1,BQ$5:BQ228,0))),0),"")</f>
        <v/>
      </c>
    </row>
    <row r="230" customFormat="false" ht="15" hidden="false" customHeight="false" outlineLevel="0" collapsed="false">
      <c r="A230" s="66" t="str">
        <f aca="false">IF(B230="","",ROW()-5)</f>
        <v/>
      </c>
      <c r="B230" s="67"/>
      <c r="C230" s="68" t="str">
        <f aca="false">IF(B230="","",CHOOSE(WEEKDAY(B230,2),"Mon","Tue","Wed","Thu","Fri","Sat","Sun"))</f>
        <v/>
      </c>
      <c r="D230" s="66" t="str">
        <f aca="false">IF(B230="","",WEEKNUM(B230,2))</f>
        <v/>
      </c>
      <c r="E230" s="69"/>
      <c r="F230" s="69"/>
      <c r="G230" s="70"/>
      <c r="H230" s="70"/>
      <c r="I230" s="69"/>
      <c r="J230" s="69"/>
      <c r="K230" s="69"/>
      <c r="L230" s="71"/>
      <c r="M230" s="69"/>
      <c r="N230" s="69"/>
      <c r="O230" s="69"/>
      <c r="P230" s="71"/>
      <c r="Q230" s="69"/>
      <c r="R230" s="69"/>
      <c r="S230" s="69"/>
      <c r="T230" s="69"/>
      <c r="U230" s="69"/>
      <c r="V230" s="69"/>
      <c r="W230" s="69"/>
      <c r="X230" s="66" t="str">
        <f aca="false">IF(B230="","",COUNTIF(Q230:W230,"Yes"))</f>
        <v/>
      </c>
      <c r="Y230" s="68" t="str">
        <f aca="false">IF(B230="","",IF(X230&gt;=Settings!$C$16,"A+",IF(X230&gt;=Settings!$C$17,"A",IF(X230&gt;=Settings!$C$18,"B","C"))))</f>
        <v/>
      </c>
      <c r="Z230" s="72"/>
      <c r="AA230" s="72"/>
      <c r="AB230" s="72"/>
      <c r="AC230" s="72"/>
      <c r="AD230" s="72"/>
      <c r="AE230" s="72"/>
      <c r="AF230" s="73"/>
      <c r="AG230" s="74"/>
      <c r="AH230" s="75"/>
      <c r="AI230" s="76" t="str">
        <f aca="false">IF(B230="","",ROUND(IF(AG230="",Settings!$C$5,AG230)*AW230,2))</f>
        <v/>
      </c>
      <c r="AJ230" s="77" t="str">
        <f aca="false">IF(OR(B230="",AB230="",AC230="",AD230=""),"",IFERROR(ROUND(ABS(AD230-AB230)/ABS(AB230-AC230),2),""))</f>
        <v/>
      </c>
      <c r="AK230" s="78" t="str">
        <f aca="false">IF(OR(B230="",AB230="",AC230="",AE230=""),"",IFERROR(ROUND(IF(J230="Short",AB230-AE230,AE230-AB230)/ABS(AB230-AC230),2),""))</f>
        <v/>
      </c>
      <c r="AL230" s="68" t="str">
        <f aca="false">IF(AK230="","",IF(ABS(AK230)&lt;=Settings!$C$6,"BE",IF(AK230&gt;0,"Win","Loss")))</f>
        <v/>
      </c>
      <c r="AM230" s="79" t="str">
        <f aca="false">IF(OR(AK230="",AI230=""),"",ROUND(AK230*AI230-N(AH230),2))</f>
        <v/>
      </c>
      <c r="AN230" s="76" t="str">
        <f aca="false">IF(AM230="","",ROUND(BK230+SUMIFS(AM$6:AM230,BJ$6:BJ230,BJ230),2))</f>
        <v/>
      </c>
      <c r="AO230" s="78" t="str">
        <f aca="false">IF(AK230="","",ROUND(SUMIFS(AK$6:AK230,BJ$6:BJ230,BJ230),2))</f>
        <v/>
      </c>
      <c r="AP230" s="80" t="str">
        <f aca="false">IF(OR(AK230="",BL230=""),"",IFERROR(ROUND(IF(J230="Short",AB230-AE230,AE230-AB230)/BL230,1),""))</f>
        <v/>
      </c>
      <c r="AQ230" s="66" t="str">
        <f aca="false">IF(OR(G230="",H230=""),"",ROUND(MOD(H230-G230,1)*1440,0))</f>
        <v/>
      </c>
      <c r="AR230" s="68" t="str">
        <f aca="false">IF(AQ230="","",IF(AQ230&lt;15,"Under 15m",IF(AQ230&lt;60,"15-60m",IF(AQ230&lt;240,"1-4 hours","4+ hours"))))</f>
        <v/>
      </c>
      <c r="AS230" s="66" t="str">
        <f aca="false">IF(G230="","",HOUR(G230))</f>
        <v/>
      </c>
      <c r="AT230" s="80" t="str">
        <f aca="false">IF(OR(Z230="",AB230="",BL230=""),"",IFERROR(ROUND(IF(J230="Short",Z230-AB230,AB230-Z230)/BL230,1),""))</f>
        <v/>
      </c>
      <c r="AU230" s="68" t="str">
        <f aca="false">IF(OR(AA230="",AC230=""),"",IF(AA230=AC230,"No","Yes"))</f>
        <v/>
      </c>
      <c r="AV230" s="81" t="str">
        <f aca="false">IF(OR(B230="",BL230="",BM230="",AB230="",AC230=""),"",IFERROR(ROUND(AI230/(ABS(AB230-AC230)/BL230*BM230),2),""))</f>
        <v/>
      </c>
      <c r="AW230" s="76" t="str">
        <f aca="false">IF(B230="","",ROUND(BK230+SUMIFS(AM$5:AM229,BJ$5:BJ229,BJ230),2))</f>
        <v/>
      </c>
      <c r="AX230" s="66" t="str">
        <f aca="false">IF(B230="","",COUNTIFS(B$6:B230,B230,BJ$6:BJ230,BJ230))</f>
        <v/>
      </c>
      <c r="AY230" s="79" t="str">
        <f aca="false">IF(B230="","",ROUND(SUMIFS(AM$5:AM229,B$5:B229,B230,BJ$5:BJ229,BJ230),2))</f>
        <v/>
      </c>
      <c r="AZ230" s="79" t="str">
        <f aca="false">IF(AM230="","",ROUND(AY230+AM230,2))</f>
        <v/>
      </c>
      <c r="BA230" s="79" t="str">
        <f aca="false">IF(B230="","",ROUND(SUMIFS(AM$5:AM229,B$5:B229,"&gt;="&amp;(B230-WEEKDAY(B230,2)+1),B$5:B229,"&lt;="&amp;B230,BJ$5:BJ229,BJ230),2))</f>
        <v/>
      </c>
      <c r="BB230" s="68" t="str">
        <f aca="false">IF(B230="","",IF(AND(AF230&lt;&gt;"",AV230&lt;&gt;"",N(AF230)&gt;N(AV230)*(1+Settings!$C$13)),"Oversized",IF(AX230&gt;Settings!$C$10,"Overtraded",IF(AY230&lt;=-Settings!$C$11*(AW230-AY230),"Daily loss hit",IF(BA230&lt;=-Settings!$C$12*(AW230-BA230),"Weekly loss hit","OK")))))</f>
        <v/>
      </c>
      <c r="BC230" s="69"/>
      <c r="BD230" s="69"/>
      <c r="BE230" s="69"/>
      <c r="BF230" s="73"/>
      <c r="BG230" s="73"/>
      <c r="BH230" s="71"/>
      <c r="BI230" s="71"/>
      <c r="BJ230" s="68" t="str">
        <f aca="false">IF(B230="","",IF(E230="",Settings!$F$5,E230))</f>
        <v/>
      </c>
      <c r="BK230" s="76" t="str">
        <f aca="false">IF(B230="","",IFERROR(INDEX(Settings!$G$5:$G$10,MATCH(BJ230,Settings!$F$5:$F$10,0)),Settings!$G$5))</f>
        <v/>
      </c>
      <c r="BL230" s="82" t="str">
        <f aca="false">IF(I230="","",IFERROR(1/(1/INDEX(Lists!$C$6:$C$17,MATCH(I230,Lists!$B$6:$B$17,0))),""))</f>
        <v/>
      </c>
      <c r="BM230" s="81" t="str">
        <f aca="false">IF(I230="","",IFERROR(1/(1/INDEX(Lists!$D$6:$D$17,MATCH(I230,Lists!$B$6:$B$17,0))),""))</f>
        <v/>
      </c>
      <c r="BN230" s="76" t="str">
        <f aca="false">IF(AN230="","",MAX(BK230,_xlfn.MAXIFS(AN$6:AN230,BJ$6:BJ230,BJ230)))</f>
        <v/>
      </c>
      <c r="BO230" s="83" t="str">
        <f aca="false">IF(AN230="","",(AN230-BN230)/BN230)</f>
        <v/>
      </c>
      <c r="BP230" s="66" t="n">
        <f aca="false">IF(OR(B230="",AL230=""),0,IF(OR(Settings!$C$28="All Accounts",BJ230=Settings!$C$28),1,0))</f>
        <v>0</v>
      </c>
      <c r="BQ230" s="66" t="str">
        <f aca="false">IF(BP230=1,SUM(BP$6:BP230),"")</f>
        <v/>
      </c>
      <c r="BR230" s="76" t="str">
        <f aca="false">IF(BP230=1,ROUND(Settings!$C$29+SUMIFS(AM$6:AM230,BP$6:BP230,1),2),"")</f>
        <v/>
      </c>
      <c r="BS230" s="76" t="str">
        <f aca="false">IF(BP230=1,MAX(Settings!$C$29,MAX(BR$6:BR230)),"")</f>
        <v/>
      </c>
      <c r="BT230" s="83" t="str">
        <f aca="false">IF(BP230=1,(BR230-BS230)/BS230,"")</f>
        <v/>
      </c>
      <c r="BU230" s="66" t="str">
        <f aca="false">IF(BP230=1,IF(AL230="Win",1+IF(BQ230=1,0,INDEX(BU$5:BU229,MATCH(BQ230-1,BQ$5:BQ229,0))),0),"")</f>
        <v/>
      </c>
      <c r="BV230" s="66" t="str">
        <f aca="false">IF(BP230=1,IF(AL230="Loss",1+IF(BQ230=1,0,INDEX(BV$5:BV229,MATCH(BQ230-1,BQ$5:BQ229,0))),0),"")</f>
        <v/>
      </c>
    </row>
    <row r="231" customFormat="false" ht="15" hidden="false" customHeight="false" outlineLevel="0" collapsed="false">
      <c r="A231" s="66" t="str">
        <f aca="false">IF(B231="","",ROW()-5)</f>
        <v/>
      </c>
      <c r="B231" s="67"/>
      <c r="C231" s="68" t="str">
        <f aca="false">IF(B231="","",CHOOSE(WEEKDAY(B231,2),"Mon","Tue","Wed","Thu","Fri","Sat","Sun"))</f>
        <v/>
      </c>
      <c r="D231" s="66" t="str">
        <f aca="false">IF(B231="","",WEEKNUM(B231,2))</f>
        <v/>
      </c>
      <c r="E231" s="69"/>
      <c r="F231" s="69"/>
      <c r="G231" s="70"/>
      <c r="H231" s="70"/>
      <c r="I231" s="69"/>
      <c r="J231" s="69"/>
      <c r="K231" s="69"/>
      <c r="L231" s="71"/>
      <c r="M231" s="69"/>
      <c r="N231" s="69"/>
      <c r="O231" s="69"/>
      <c r="P231" s="71"/>
      <c r="Q231" s="69"/>
      <c r="R231" s="69"/>
      <c r="S231" s="69"/>
      <c r="T231" s="69"/>
      <c r="U231" s="69"/>
      <c r="V231" s="69"/>
      <c r="W231" s="69"/>
      <c r="X231" s="66" t="str">
        <f aca="false">IF(B231="","",COUNTIF(Q231:W231,"Yes"))</f>
        <v/>
      </c>
      <c r="Y231" s="68" t="str">
        <f aca="false">IF(B231="","",IF(X231&gt;=Settings!$C$16,"A+",IF(X231&gt;=Settings!$C$17,"A",IF(X231&gt;=Settings!$C$18,"B","C"))))</f>
        <v/>
      </c>
      <c r="Z231" s="72"/>
      <c r="AA231" s="72"/>
      <c r="AB231" s="72"/>
      <c r="AC231" s="72"/>
      <c r="AD231" s="72"/>
      <c r="AE231" s="72"/>
      <c r="AF231" s="73"/>
      <c r="AG231" s="74"/>
      <c r="AH231" s="75"/>
      <c r="AI231" s="76" t="str">
        <f aca="false">IF(B231="","",ROUND(IF(AG231="",Settings!$C$5,AG231)*AW231,2))</f>
        <v/>
      </c>
      <c r="AJ231" s="77" t="str">
        <f aca="false">IF(OR(B231="",AB231="",AC231="",AD231=""),"",IFERROR(ROUND(ABS(AD231-AB231)/ABS(AB231-AC231),2),""))</f>
        <v/>
      </c>
      <c r="AK231" s="78" t="str">
        <f aca="false">IF(OR(B231="",AB231="",AC231="",AE231=""),"",IFERROR(ROUND(IF(J231="Short",AB231-AE231,AE231-AB231)/ABS(AB231-AC231),2),""))</f>
        <v/>
      </c>
      <c r="AL231" s="68" t="str">
        <f aca="false">IF(AK231="","",IF(ABS(AK231)&lt;=Settings!$C$6,"BE",IF(AK231&gt;0,"Win","Loss")))</f>
        <v/>
      </c>
      <c r="AM231" s="79" t="str">
        <f aca="false">IF(OR(AK231="",AI231=""),"",ROUND(AK231*AI231-N(AH231),2))</f>
        <v/>
      </c>
      <c r="AN231" s="76" t="str">
        <f aca="false">IF(AM231="","",ROUND(BK231+SUMIFS(AM$6:AM231,BJ$6:BJ231,BJ231),2))</f>
        <v/>
      </c>
      <c r="AO231" s="78" t="str">
        <f aca="false">IF(AK231="","",ROUND(SUMIFS(AK$6:AK231,BJ$6:BJ231,BJ231),2))</f>
        <v/>
      </c>
      <c r="AP231" s="80" t="str">
        <f aca="false">IF(OR(AK231="",BL231=""),"",IFERROR(ROUND(IF(J231="Short",AB231-AE231,AE231-AB231)/BL231,1),""))</f>
        <v/>
      </c>
      <c r="AQ231" s="66" t="str">
        <f aca="false">IF(OR(G231="",H231=""),"",ROUND(MOD(H231-G231,1)*1440,0))</f>
        <v/>
      </c>
      <c r="AR231" s="68" t="str">
        <f aca="false">IF(AQ231="","",IF(AQ231&lt;15,"Under 15m",IF(AQ231&lt;60,"15-60m",IF(AQ231&lt;240,"1-4 hours","4+ hours"))))</f>
        <v/>
      </c>
      <c r="AS231" s="66" t="str">
        <f aca="false">IF(G231="","",HOUR(G231))</f>
        <v/>
      </c>
      <c r="AT231" s="80" t="str">
        <f aca="false">IF(OR(Z231="",AB231="",BL231=""),"",IFERROR(ROUND(IF(J231="Short",Z231-AB231,AB231-Z231)/BL231,1),""))</f>
        <v/>
      </c>
      <c r="AU231" s="68" t="str">
        <f aca="false">IF(OR(AA231="",AC231=""),"",IF(AA231=AC231,"No","Yes"))</f>
        <v/>
      </c>
      <c r="AV231" s="81" t="str">
        <f aca="false">IF(OR(B231="",BL231="",BM231="",AB231="",AC231=""),"",IFERROR(ROUND(AI231/(ABS(AB231-AC231)/BL231*BM231),2),""))</f>
        <v/>
      </c>
      <c r="AW231" s="76" t="str">
        <f aca="false">IF(B231="","",ROUND(BK231+SUMIFS(AM$5:AM230,BJ$5:BJ230,BJ231),2))</f>
        <v/>
      </c>
      <c r="AX231" s="66" t="str">
        <f aca="false">IF(B231="","",COUNTIFS(B$6:B231,B231,BJ$6:BJ231,BJ231))</f>
        <v/>
      </c>
      <c r="AY231" s="79" t="str">
        <f aca="false">IF(B231="","",ROUND(SUMIFS(AM$5:AM230,B$5:B230,B231,BJ$5:BJ230,BJ231),2))</f>
        <v/>
      </c>
      <c r="AZ231" s="79" t="str">
        <f aca="false">IF(AM231="","",ROUND(AY231+AM231,2))</f>
        <v/>
      </c>
      <c r="BA231" s="79" t="str">
        <f aca="false">IF(B231="","",ROUND(SUMIFS(AM$5:AM230,B$5:B230,"&gt;="&amp;(B231-WEEKDAY(B231,2)+1),B$5:B230,"&lt;="&amp;B231,BJ$5:BJ230,BJ231),2))</f>
        <v/>
      </c>
      <c r="BB231" s="68" t="str">
        <f aca="false">IF(B231="","",IF(AND(AF231&lt;&gt;"",AV231&lt;&gt;"",N(AF231)&gt;N(AV231)*(1+Settings!$C$13)),"Oversized",IF(AX231&gt;Settings!$C$10,"Overtraded",IF(AY231&lt;=-Settings!$C$11*(AW231-AY231),"Daily loss hit",IF(BA231&lt;=-Settings!$C$12*(AW231-BA231),"Weekly loss hit","OK")))))</f>
        <v/>
      </c>
      <c r="BC231" s="69"/>
      <c r="BD231" s="69"/>
      <c r="BE231" s="69"/>
      <c r="BF231" s="73"/>
      <c r="BG231" s="73"/>
      <c r="BH231" s="71"/>
      <c r="BI231" s="71"/>
      <c r="BJ231" s="68" t="str">
        <f aca="false">IF(B231="","",IF(E231="",Settings!$F$5,E231))</f>
        <v/>
      </c>
      <c r="BK231" s="76" t="str">
        <f aca="false">IF(B231="","",IFERROR(INDEX(Settings!$G$5:$G$10,MATCH(BJ231,Settings!$F$5:$F$10,0)),Settings!$G$5))</f>
        <v/>
      </c>
      <c r="BL231" s="82" t="str">
        <f aca="false">IF(I231="","",IFERROR(1/(1/INDEX(Lists!$C$6:$C$17,MATCH(I231,Lists!$B$6:$B$17,0))),""))</f>
        <v/>
      </c>
      <c r="BM231" s="81" t="str">
        <f aca="false">IF(I231="","",IFERROR(1/(1/INDEX(Lists!$D$6:$D$17,MATCH(I231,Lists!$B$6:$B$17,0))),""))</f>
        <v/>
      </c>
      <c r="BN231" s="76" t="str">
        <f aca="false">IF(AN231="","",MAX(BK231,_xlfn.MAXIFS(AN$6:AN231,BJ$6:BJ231,BJ231)))</f>
        <v/>
      </c>
      <c r="BO231" s="83" t="str">
        <f aca="false">IF(AN231="","",(AN231-BN231)/BN231)</f>
        <v/>
      </c>
      <c r="BP231" s="66" t="n">
        <f aca="false">IF(OR(B231="",AL231=""),0,IF(OR(Settings!$C$28="All Accounts",BJ231=Settings!$C$28),1,0))</f>
        <v>0</v>
      </c>
      <c r="BQ231" s="66" t="str">
        <f aca="false">IF(BP231=1,SUM(BP$6:BP231),"")</f>
        <v/>
      </c>
      <c r="BR231" s="76" t="str">
        <f aca="false">IF(BP231=1,ROUND(Settings!$C$29+SUMIFS(AM$6:AM231,BP$6:BP231,1),2),"")</f>
        <v/>
      </c>
      <c r="BS231" s="76" t="str">
        <f aca="false">IF(BP231=1,MAX(Settings!$C$29,MAX(BR$6:BR231)),"")</f>
        <v/>
      </c>
      <c r="BT231" s="83" t="str">
        <f aca="false">IF(BP231=1,(BR231-BS231)/BS231,"")</f>
        <v/>
      </c>
      <c r="BU231" s="66" t="str">
        <f aca="false">IF(BP231=1,IF(AL231="Win",1+IF(BQ231=1,0,INDEX(BU$5:BU230,MATCH(BQ231-1,BQ$5:BQ230,0))),0),"")</f>
        <v/>
      </c>
      <c r="BV231" s="66" t="str">
        <f aca="false">IF(BP231=1,IF(AL231="Loss",1+IF(BQ231=1,0,INDEX(BV$5:BV230,MATCH(BQ231-1,BQ$5:BQ230,0))),0),"")</f>
        <v/>
      </c>
    </row>
    <row r="232" customFormat="false" ht="15" hidden="false" customHeight="false" outlineLevel="0" collapsed="false">
      <c r="A232" s="66" t="str">
        <f aca="false">IF(B232="","",ROW()-5)</f>
        <v/>
      </c>
      <c r="B232" s="67"/>
      <c r="C232" s="68" t="str">
        <f aca="false">IF(B232="","",CHOOSE(WEEKDAY(B232,2),"Mon","Tue","Wed","Thu","Fri","Sat","Sun"))</f>
        <v/>
      </c>
      <c r="D232" s="66" t="str">
        <f aca="false">IF(B232="","",WEEKNUM(B232,2))</f>
        <v/>
      </c>
      <c r="E232" s="69"/>
      <c r="F232" s="69"/>
      <c r="G232" s="70"/>
      <c r="H232" s="70"/>
      <c r="I232" s="69"/>
      <c r="J232" s="69"/>
      <c r="K232" s="69"/>
      <c r="L232" s="71"/>
      <c r="M232" s="69"/>
      <c r="N232" s="69"/>
      <c r="O232" s="69"/>
      <c r="P232" s="71"/>
      <c r="Q232" s="69"/>
      <c r="R232" s="69"/>
      <c r="S232" s="69"/>
      <c r="T232" s="69"/>
      <c r="U232" s="69"/>
      <c r="V232" s="69"/>
      <c r="W232" s="69"/>
      <c r="X232" s="66" t="str">
        <f aca="false">IF(B232="","",COUNTIF(Q232:W232,"Yes"))</f>
        <v/>
      </c>
      <c r="Y232" s="68" t="str">
        <f aca="false">IF(B232="","",IF(X232&gt;=Settings!$C$16,"A+",IF(X232&gt;=Settings!$C$17,"A",IF(X232&gt;=Settings!$C$18,"B","C"))))</f>
        <v/>
      </c>
      <c r="Z232" s="72"/>
      <c r="AA232" s="72"/>
      <c r="AB232" s="72"/>
      <c r="AC232" s="72"/>
      <c r="AD232" s="72"/>
      <c r="AE232" s="72"/>
      <c r="AF232" s="73"/>
      <c r="AG232" s="74"/>
      <c r="AH232" s="75"/>
      <c r="AI232" s="76" t="str">
        <f aca="false">IF(B232="","",ROUND(IF(AG232="",Settings!$C$5,AG232)*AW232,2))</f>
        <v/>
      </c>
      <c r="AJ232" s="77" t="str">
        <f aca="false">IF(OR(B232="",AB232="",AC232="",AD232=""),"",IFERROR(ROUND(ABS(AD232-AB232)/ABS(AB232-AC232),2),""))</f>
        <v/>
      </c>
      <c r="AK232" s="78" t="str">
        <f aca="false">IF(OR(B232="",AB232="",AC232="",AE232=""),"",IFERROR(ROUND(IF(J232="Short",AB232-AE232,AE232-AB232)/ABS(AB232-AC232),2),""))</f>
        <v/>
      </c>
      <c r="AL232" s="68" t="str">
        <f aca="false">IF(AK232="","",IF(ABS(AK232)&lt;=Settings!$C$6,"BE",IF(AK232&gt;0,"Win","Loss")))</f>
        <v/>
      </c>
      <c r="AM232" s="79" t="str">
        <f aca="false">IF(OR(AK232="",AI232=""),"",ROUND(AK232*AI232-N(AH232),2))</f>
        <v/>
      </c>
      <c r="AN232" s="76" t="str">
        <f aca="false">IF(AM232="","",ROUND(BK232+SUMIFS(AM$6:AM232,BJ$6:BJ232,BJ232),2))</f>
        <v/>
      </c>
      <c r="AO232" s="78" t="str">
        <f aca="false">IF(AK232="","",ROUND(SUMIFS(AK$6:AK232,BJ$6:BJ232,BJ232),2))</f>
        <v/>
      </c>
      <c r="AP232" s="80" t="str">
        <f aca="false">IF(OR(AK232="",BL232=""),"",IFERROR(ROUND(IF(J232="Short",AB232-AE232,AE232-AB232)/BL232,1),""))</f>
        <v/>
      </c>
      <c r="AQ232" s="66" t="str">
        <f aca="false">IF(OR(G232="",H232=""),"",ROUND(MOD(H232-G232,1)*1440,0))</f>
        <v/>
      </c>
      <c r="AR232" s="68" t="str">
        <f aca="false">IF(AQ232="","",IF(AQ232&lt;15,"Under 15m",IF(AQ232&lt;60,"15-60m",IF(AQ232&lt;240,"1-4 hours","4+ hours"))))</f>
        <v/>
      </c>
      <c r="AS232" s="66" t="str">
        <f aca="false">IF(G232="","",HOUR(G232))</f>
        <v/>
      </c>
      <c r="AT232" s="80" t="str">
        <f aca="false">IF(OR(Z232="",AB232="",BL232=""),"",IFERROR(ROUND(IF(J232="Short",Z232-AB232,AB232-Z232)/BL232,1),""))</f>
        <v/>
      </c>
      <c r="AU232" s="68" t="str">
        <f aca="false">IF(OR(AA232="",AC232=""),"",IF(AA232=AC232,"No","Yes"))</f>
        <v/>
      </c>
      <c r="AV232" s="81" t="str">
        <f aca="false">IF(OR(B232="",BL232="",BM232="",AB232="",AC232=""),"",IFERROR(ROUND(AI232/(ABS(AB232-AC232)/BL232*BM232),2),""))</f>
        <v/>
      </c>
      <c r="AW232" s="76" t="str">
        <f aca="false">IF(B232="","",ROUND(BK232+SUMIFS(AM$5:AM231,BJ$5:BJ231,BJ232),2))</f>
        <v/>
      </c>
      <c r="AX232" s="66" t="str">
        <f aca="false">IF(B232="","",COUNTIFS(B$6:B232,B232,BJ$6:BJ232,BJ232))</f>
        <v/>
      </c>
      <c r="AY232" s="79" t="str">
        <f aca="false">IF(B232="","",ROUND(SUMIFS(AM$5:AM231,B$5:B231,B232,BJ$5:BJ231,BJ232),2))</f>
        <v/>
      </c>
      <c r="AZ232" s="79" t="str">
        <f aca="false">IF(AM232="","",ROUND(AY232+AM232,2))</f>
        <v/>
      </c>
      <c r="BA232" s="79" t="str">
        <f aca="false">IF(B232="","",ROUND(SUMIFS(AM$5:AM231,B$5:B231,"&gt;="&amp;(B232-WEEKDAY(B232,2)+1),B$5:B231,"&lt;="&amp;B232,BJ$5:BJ231,BJ232),2))</f>
        <v/>
      </c>
      <c r="BB232" s="68" t="str">
        <f aca="false">IF(B232="","",IF(AND(AF232&lt;&gt;"",AV232&lt;&gt;"",N(AF232)&gt;N(AV232)*(1+Settings!$C$13)),"Oversized",IF(AX232&gt;Settings!$C$10,"Overtraded",IF(AY232&lt;=-Settings!$C$11*(AW232-AY232),"Daily loss hit",IF(BA232&lt;=-Settings!$C$12*(AW232-BA232),"Weekly loss hit","OK")))))</f>
        <v/>
      </c>
      <c r="BC232" s="69"/>
      <c r="BD232" s="69"/>
      <c r="BE232" s="69"/>
      <c r="BF232" s="73"/>
      <c r="BG232" s="73"/>
      <c r="BH232" s="71"/>
      <c r="BI232" s="71"/>
      <c r="BJ232" s="68" t="str">
        <f aca="false">IF(B232="","",IF(E232="",Settings!$F$5,E232))</f>
        <v/>
      </c>
      <c r="BK232" s="76" t="str">
        <f aca="false">IF(B232="","",IFERROR(INDEX(Settings!$G$5:$G$10,MATCH(BJ232,Settings!$F$5:$F$10,0)),Settings!$G$5))</f>
        <v/>
      </c>
      <c r="BL232" s="82" t="str">
        <f aca="false">IF(I232="","",IFERROR(1/(1/INDEX(Lists!$C$6:$C$17,MATCH(I232,Lists!$B$6:$B$17,0))),""))</f>
        <v/>
      </c>
      <c r="BM232" s="81" t="str">
        <f aca="false">IF(I232="","",IFERROR(1/(1/INDEX(Lists!$D$6:$D$17,MATCH(I232,Lists!$B$6:$B$17,0))),""))</f>
        <v/>
      </c>
      <c r="BN232" s="76" t="str">
        <f aca="false">IF(AN232="","",MAX(BK232,_xlfn.MAXIFS(AN$6:AN232,BJ$6:BJ232,BJ232)))</f>
        <v/>
      </c>
      <c r="BO232" s="83" t="str">
        <f aca="false">IF(AN232="","",(AN232-BN232)/BN232)</f>
        <v/>
      </c>
      <c r="BP232" s="66" t="n">
        <f aca="false">IF(OR(B232="",AL232=""),0,IF(OR(Settings!$C$28="All Accounts",BJ232=Settings!$C$28),1,0))</f>
        <v>0</v>
      </c>
      <c r="BQ232" s="66" t="str">
        <f aca="false">IF(BP232=1,SUM(BP$6:BP232),"")</f>
        <v/>
      </c>
      <c r="BR232" s="76" t="str">
        <f aca="false">IF(BP232=1,ROUND(Settings!$C$29+SUMIFS(AM$6:AM232,BP$6:BP232,1),2),"")</f>
        <v/>
      </c>
      <c r="BS232" s="76" t="str">
        <f aca="false">IF(BP232=1,MAX(Settings!$C$29,MAX(BR$6:BR232)),"")</f>
        <v/>
      </c>
      <c r="BT232" s="83" t="str">
        <f aca="false">IF(BP232=1,(BR232-BS232)/BS232,"")</f>
        <v/>
      </c>
      <c r="BU232" s="66" t="str">
        <f aca="false">IF(BP232=1,IF(AL232="Win",1+IF(BQ232=1,0,INDEX(BU$5:BU231,MATCH(BQ232-1,BQ$5:BQ231,0))),0),"")</f>
        <v/>
      </c>
      <c r="BV232" s="66" t="str">
        <f aca="false">IF(BP232=1,IF(AL232="Loss",1+IF(BQ232=1,0,INDEX(BV$5:BV231,MATCH(BQ232-1,BQ$5:BQ231,0))),0),"")</f>
        <v/>
      </c>
    </row>
    <row r="233" customFormat="false" ht="15" hidden="false" customHeight="false" outlineLevel="0" collapsed="false">
      <c r="A233" s="66" t="str">
        <f aca="false">IF(B233="","",ROW()-5)</f>
        <v/>
      </c>
      <c r="B233" s="67"/>
      <c r="C233" s="68" t="str">
        <f aca="false">IF(B233="","",CHOOSE(WEEKDAY(B233,2),"Mon","Tue","Wed","Thu","Fri","Sat","Sun"))</f>
        <v/>
      </c>
      <c r="D233" s="66" t="str">
        <f aca="false">IF(B233="","",WEEKNUM(B233,2))</f>
        <v/>
      </c>
      <c r="E233" s="69"/>
      <c r="F233" s="69"/>
      <c r="G233" s="70"/>
      <c r="H233" s="70"/>
      <c r="I233" s="69"/>
      <c r="J233" s="69"/>
      <c r="K233" s="69"/>
      <c r="L233" s="71"/>
      <c r="M233" s="69"/>
      <c r="N233" s="69"/>
      <c r="O233" s="69"/>
      <c r="P233" s="71"/>
      <c r="Q233" s="69"/>
      <c r="R233" s="69"/>
      <c r="S233" s="69"/>
      <c r="T233" s="69"/>
      <c r="U233" s="69"/>
      <c r="V233" s="69"/>
      <c r="W233" s="69"/>
      <c r="X233" s="66" t="str">
        <f aca="false">IF(B233="","",COUNTIF(Q233:W233,"Yes"))</f>
        <v/>
      </c>
      <c r="Y233" s="68" t="str">
        <f aca="false">IF(B233="","",IF(X233&gt;=Settings!$C$16,"A+",IF(X233&gt;=Settings!$C$17,"A",IF(X233&gt;=Settings!$C$18,"B","C"))))</f>
        <v/>
      </c>
      <c r="Z233" s="72"/>
      <c r="AA233" s="72"/>
      <c r="AB233" s="72"/>
      <c r="AC233" s="72"/>
      <c r="AD233" s="72"/>
      <c r="AE233" s="72"/>
      <c r="AF233" s="73"/>
      <c r="AG233" s="74"/>
      <c r="AH233" s="75"/>
      <c r="AI233" s="76" t="str">
        <f aca="false">IF(B233="","",ROUND(IF(AG233="",Settings!$C$5,AG233)*AW233,2))</f>
        <v/>
      </c>
      <c r="AJ233" s="77" t="str">
        <f aca="false">IF(OR(B233="",AB233="",AC233="",AD233=""),"",IFERROR(ROUND(ABS(AD233-AB233)/ABS(AB233-AC233),2),""))</f>
        <v/>
      </c>
      <c r="AK233" s="78" t="str">
        <f aca="false">IF(OR(B233="",AB233="",AC233="",AE233=""),"",IFERROR(ROUND(IF(J233="Short",AB233-AE233,AE233-AB233)/ABS(AB233-AC233),2),""))</f>
        <v/>
      </c>
      <c r="AL233" s="68" t="str">
        <f aca="false">IF(AK233="","",IF(ABS(AK233)&lt;=Settings!$C$6,"BE",IF(AK233&gt;0,"Win","Loss")))</f>
        <v/>
      </c>
      <c r="AM233" s="79" t="str">
        <f aca="false">IF(OR(AK233="",AI233=""),"",ROUND(AK233*AI233-N(AH233),2))</f>
        <v/>
      </c>
      <c r="AN233" s="76" t="str">
        <f aca="false">IF(AM233="","",ROUND(BK233+SUMIFS(AM$6:AM233,BJ$6:BJ233,BJ233),2))</f>
        <v/>
      </c>
      <c r="AO233" s="78" t="str">
        <f aca="false">IF(AK233="","",ROUND(SUMIFS(AK$6:AK233,BJ$6:BJ233,BJ233),2))</f>
        <v/>
      </c>
      <c r="AP233" s="80" t="str">
        <f aca="false">IF(OR(AK233="",BL233=""),"",IFERROR(ROUND(IF(J233="Short",AB233-AE233,AE233-AB233)/BL233,1),""))</f>
        <v/>
      </c>
      <c r="AQ233" s="66" t="str">
        <f aca="false">IF(OR(G233="",H233=""),"",ROUND(MOD(H233-G233,1)*1440,0))</f>
        <v/>
      </c>
      <c r="AR233" s="68" t="str">
        <f aca="false">IF(AQ233="","",IF(AQ233&lt;15,"Under 15m",IF(AQ233&lt;60,"15-60m",IF(AQ233&lt;240,"1-4 hours","4+ hours"))))</f>
        <v/>
      </c>
      <c r="AS233" s="66" t="str">
        <f aca="false">IF(G233="","",HOUR(G233))</f>
        <v/>
      </c>
      <c r="AT233" s="80" t="str">
        <f aca="false">IF(OR(Z233="",AB233="",BL233=""),"",IFERROR(ROUND(IF(J233="Short",Z233-AB233,AB233-Z233)/BL233,1),""))</f>
        <v/>
      </c>
      <c r="AU233" s="68" t="str">
        <f aca="false">IF(OR(AA233="",AC233=""),"",IF(AA233=AC233,"No","Yes"))</f>
        <v/>
      </c>
      <c r="AV233" s="81" t="str">
        <f aca="false">IF(OR(B233="",BL233="",BM233="",AB233="",AC233=""),"",IFERROR(ROUND(AI233/(ABS(AB233-AC233)/BL233*BM233),2),""))</f>
        <v/>
      </c>
      <c r="AW233" s="76" t="str">
        <f aca="false">IF(B233="","",ROUND(BK233+SUMIFS(AM$5:AM232,BJ$5:BJ232,BJ233),2))</f>
        <v/>
      </c>
      <c r="AX233" s="66" t="str">
        <f aca="false">IF(B233="","",COUNTIFS(B$6:B233,B233,BJ$6:BJ233,BJ233))</f>
        <v/>
      </c>
      <c r="AY233" s="79" t="str">
        <f aca="false">IF(B233="","",ROUND(SUMIFS(AM$5:AM232,B$5:B232,B233,BJ$5:BJ232,BJ233),2))</f>
        <v/>
      </c>
      <c r="AZ233" s="79" t="str">
        <f aca="false">IF(AM233="","",ROUND(AY233+AM233,2))</f>
        <v/>
      </c>
      <c r="BA233" s="79" t="str">
        <f aca="false">IF(B233="","",ROUND(SUMIFS(AM$5:AM232,B$5:B232,"&gt;="&amp;(B233-WEEKDAY(B233,2)+1),B$5:B232,"&lt;="&amp;B233,BJ$5:BJ232,BJ233),2))</f>
        <v/>
      </c>
      <c r="BB233" s="68" t="str">
        <f aca="false">IF(B233="","",IF(AND(AF233&lt;&gt;"",AV233&lt;&gt;"",N(AF233)&gt;N(AV233)*(1+Settings!$C$13)),"Oversized",IF(AX233&gt;Settings!$C$10,"Overtraded",IF(AY233&lt;=-Settings!$C$11*(AW233-AY233),"Daily loss hit",IF(BA233&lt;=-Settings!$C$12*(AW233-BA233),"Weekly loss hit","OK")))))</f>
        <v/>
      </c>
      <c r="BC233" s="69"/>
      <c r="BD233" s="69"/>
      <c r="BE233" s="69"/>
      <c r="BF233" s="73"/>
      <c r="BG233" s="73"/>
      <c r="BH233" s="71"/>
      <c r="BI233" s="71"/>
      <c r="BJ233" s="68" t="str">
        <f aca="false">IF(B233="","",IF(E233="",Settings!$F$5,E233))</f>
        <v/>
      </c>
      <c r="BK233" s="76" t="str">
        <f aca="false">IF(B233="","",IFERROR(INDEX(Settings!$G$5:$G$10,MATCH(BJ233,Settings!$F$5:$F$10,0)),Settings!$G$5))</f>
        <v/>
      </c>
      <c r="BL233" s="82" t="str">
        <f aca="false">IF(I233="","",IFERROR(1/(1/INDEX(Lists!$C$6:$C$17,MATCH(I233,Lists!$B$6:$B$17,0))),""))</f>
        <v/>
      </c>
      <c r="BM233" s="81" t="str">
        <f aca="false">IF(I233="","",IFERROR(1/(1/INDEX(Lists!$D$6:$D$17,MATCH(I233,Lists!$B$6:$B$17,0))),""))</f>
        <v/>
      </c>
      <c r="BN233" s="76" t="str">
        <f aca="false">IF(AN233="","",MAX(BK233,_xlfn.MAXIFS(AN$6:AN233,BJ$6:BJ233,BJ233)))</f>
        <v/>
      </c>
      <c r="BO233" s="83" t="str">
        <f aca="false">IF(AN233="","",(AN233-BN233)/BN233)</f>
        <v/>
      </c>
      <c r="BP233" s="66" t="n">
        <f aca="false">IF(OR(B233="",AL233=""),0,IF(OR(Settings!$C$28="All Accounts",BJ233=Settings!$C$28),1,0))</f>
        <v>0</v>
      </c>
      <c r="BQ233" s="66" t="str">
        <f aca="false">IF(BP233=1,SUM(BP$6:BP233),"")</f>
        <v/>
      </c>
      <c r="BR233" s="76" t="str">
        <f aca="false">IF(BP233=1,ROUND(Settings!$C$29+SUMIFS(AM$6:AM233,BP$6:BP233,1),2),"")</f>
        <v/>
      </c>
      <c r="BS233" s="76" t="str">
        <f aca="false">IF(BP233=1,MAX(Settings!$C$29,MAX(BR$6:BR233)),"")</f>
        <v/>
      </c>
      <c r="BT233" s="83" t="str">
        <f aca="false">IF(BP233=1,(BR233-BS233)/BS233,"")</f>
        <v/>
      </c>
      <c r="BU233" s="66" t="str">
        <f aca="false">IF(BP233=1,IF(AL233="Win",1+IF(BQ233=1,0,INDEX(BU$5:BU232,MATCH(BQ233-1,BQ$5:BQ232,0))),0),"")</f>
        <v/>
      </c>
      <c r="BV233" s="66" t="str">
        <f aca="false">IF(BP233=1,IF(AL233="Loss",1+IF(BQ233=1,0,INDEX(BV$5:BV232,MATCH(BQ233-1,BQ$5:BQ232,0))),0),"")</f>
        <v/>
      </c>
    </row>
    <row r="234" customFormat="false" ht="15" hidden="false" customHeight="false" outlineLevel="0" collapsed="false">
      <c r="A234" s="66" t="str">
        <f aca="false">IF(B234="","",ROW()-5)</f>
        <v/>
      </c>
      <c r="B234" s="67"/>
      <c r="C234" s="68" t="str">
        <f aca="false">IF(B234="","",CHOOSE(WEEKDAY(B234,2),"Mon","Tue","Wed","Thu","Fri","Sat","Sun"))</f>
        <v/>
      </c>
      <c r="D234" s="66" t="str">
        <f aca="false">IF(B234="","",WEEKNUM(B234,2))</f>
        <v/>
      </c>
      <c r="E234" s="69"/>
      <c r="F234" s="69"/>
      <c r="G234" s="70"/>
      <c r="H234" s="70"/>
      <c r="I234" s="69"/>
      <c r="J234" s="69"/>
      <c r="K234" s="69"/>
      <c r="L234" s="71"/>
      <c r="M234" s="69"/>
      <c r="N234" s="69"/>
      <c r="O234" s="69"/>
      <c r="P234" s="71"/>
      <c r="Q234" s="69"/>
      <c r="R234" s="69"/>
      <c r="S234" s="69"/>
      <c r="T234" s="69"/>
      <c r="U234" s="69"/>
      <c r="V234" s="69"/>
      <c r="W234" s="69"/>
      <c r="X234" s="66" t="str">
        <f aca="false">IF(B234="","",COUNTIF(Q234:W234,"Yes"))</f>
        <v/>
      </c>
      <c r="Y234" s="68" t="str">
        <f aca="false">IF(B234="","",IF(X234&gt;=Settings!$C$16,"A+",IF(X234&gt;=Settings!$C$17,"A",IF(X234&gt;=Settings!$C$18,"B","C"))))</f>
        <v/>
      </c>
      <c r="Z234" s="72"/>
      <c r="AA234" s="72"/>
      <c r="AB234" s="72"/>
      <c r="AC234" s="72"/>
      <c r="AD234" s="72"/>
      <c r="AE234" s="72"/>
      <c r="AF234" s="73"/>
      <c r="AG234" s="74"/>
      <c r="AH234" s="75"/>
      <c r="AI234" s="76" t="str">
        <f aca="false">IF(B234="","",ROUND(IF(AG234="",Settings!$C$5,AG234)*AW234,2))</f>
        <v/>
      </c>
      <c r="AJ234" s="77" t="str">
        <f aca="false">IF(OR(B234="",AB234="",AC234="",AD234=""),"",IFERROR(ROUND(ABS(AD234-AB234)/ABS(AB234-AC234),2),""))</f>
        <v/>
      </c>
      <c r="AK234" s="78" t="str">
        <f aca="false">IF(OR(B234="",AB234="",AC234="",AE234=""),"",IFERROR(ROUND(IF(J234="Short",AB234-AE234,AE234-AB234)/ABS(AB234-AC234),2),""))</f>
        <v/>
      </c>
      <c r="AL234" s="68" t="str">
        <f aca="false">IF(AK234="","",IF(ABS(AK234)&lt;=Settings!$C$6,"BE",IF(AK234&gt;0,"Win","Loss")))</f>
        <v/>
      </c>
      <c r="AM234" s="79" t="str">
        <f aca="false">IF(OR(AK234="",AI234=""),"",ROUND(AK234*AI234-N(AH234),2))</f>
        <v/>
      </c>
      <c r="AN234" s="76" t="str">
        <f aca="false">IF(AM234="","",ROUND(BK234+SUMIFS(AM$6:AM234,BJ$6:BJ234,BJ234),2))</f>
        <v/>
      </c>
      <c r="AO234" s="78" t="str">
        <f aca="false">IF(AK234="","",ROUND(SUMIFS(AK$6:AK234,BJ$6:BJ234,BJ234),2))</f>
        <v/>
      </c>
      <c r="AP234" s="80" t="str">
        <f aca="false">IF(OR(AK234="",BL234=""),"",IFERROR(ROUND(IF(J234="Short",AB234-AE234,AE234-AB234)/BL234,1),""))</f>
        <v/>
      </c>
      <c r="AQ234" s="66" t="str">
        <f aca="false">IF(OR(G234="",H234=""),"",ROUND(MOD(H234-G234,1)*1440,0))</f>
        <v/>
      </c>
      <c r="AR234" s="68" t="str">
        <f aca="false">IF(AQ234="","",IF(AQ234&lt;15,"Under 15m",IF(AQ234&lt;60,"15-60m",IF(AQ234&lt;240,"1-4 hours","4+ hours"))))</f>
        <v/>
      </c>
      <c r="AS234" s="66" t="str">
        <f aca="false">IF(G234="","",HOUR(G234))</f>
        <v/>
      </c>
      <c r="AT234" s="80" t="str">
        <f aca="false">IF(OR(Z234="",AB234="",BL234=""),"",IFERROR(ROUND(IF(J234="Short",Z234-AB234,AB234-Z234)/BL234,1),""))</f>
        <v/>
      </c>
      <c r="AU234" s="68" t="str">
        <f aca="false">IF(OR(AA234="",AC234=""),"",IF(AA234=AC234,"No","Yes"))</f>
        <v/>
      </c>
      <c r="AV234" s="81" t="str">
        <f aca="false">IF(OR(B234="",BL234="",BM234="",AB234="",AC234=""),"",IFERROR(ROUND(AI234/(ABS(AB234-AC234)/BL234*BM234),2),""))</f>
        <v/>
      </c>
      <c r="AW234" s="76" t="str">
        <f aca="false">IF(B234="","",ROUND(BK234+SUMIFS(AM$5:AM233,BJ$5:BJ233,BJ234),2))</f>
        <v/>
      </c>
      <c r="AX234" s="66" t="str">
        <f aca="false">IF(B234="","",COUNTIFS(B$6:B234,B234,BJ$6:BJ234,BJ234))</f>
        <v/>
      </c>
      <c r="AY234" s="79" t="str">
        <f aca="false">IF(B234="","",ROUND(SUMIFS(AM$5:AM233,B$5:B233,B234,BJ$5:BJ233,BJ234),2))</f>
        <v/>
      </c>
      <c r="AZ234" s="79" t="str">
        <f aca="false">IF(AM234="","",ROUND(AY234+AM234,2))</f>
        <v/>
      </c>
      <c r="BA234" s="79" t="str">
        <f aca="false">IF(B234="","",ROUND(SUMIFS(AM$5:AM233,B$5:B233,"&gt;="&amp;(B234-WEEKDAY(B234,2)+1),B$5:B233,"&lt;="&amp;B234,BJ$5:BJ233,BJ234),2))</f>
        <v/>
      </c>
      <c r="BB234" s="68" t="str">
        <f aca="false">IF(B234="","",IF(AND(AF234&lt;&gt;"",AV234&lt;&gt;"",N(AF234)&gt;N(AV234)*(1+Settings!$C$13)),"Oversized",IF(AX234&gt;Settings!$C$10,"Overtraded",IF(AY234&lt;=-Settings!$C$11*(AW234-AY234),"Daily loss hit",IF(BA234&lt;=-Settings!$C$12*(AW234-BA234),"Weekly loss hit","OK")))))</f>
        <v/>
      </c>
      <c r="BC234" s="69"/>
      <c r="BD234" s="69"/>
      <c r="BE234" s="69"/>
      <c r="BF234" s="73"/>
      <c r="BG234" s="73"/>
      <c r="BH234" s="71"/>
      <c r="BI234" s="71"/>
      <c r="BJ234" s="68" t="str">
        <f aca="false">IF(B234="","",IF(E234="",Settings!$F$5,E234))</f>
        <v/>
      </c>
      <c r="BK234" s="76" t="str">
        <f aca="false">IF(B234="","",IFERROR(INDEX(Settings!$G$5:$G$10,MATCH(BJ234,Settings!$F$5:$F$10,0)),Settings!$G$5))</f>
        <v/>
      </c>
      <c r="BL234" s="82" t="str">
        <f aca="false">IF(I234="","",IFERROR(1/(1/INDEX(Lists!$C$6:$C$17,MATCH(I234,Lists!$B$6:$B$17,0))),""))</f>
        <v/>
      </c>
      <c r="BM234" s="81" t="str">
        <f aca="false">IF(I234="","",IFERROR(1/(1/INDEX(Lists!$D$6:$D$17,MATCH(I234,Lists!$B$6:$B$17,0))),""))</f>
        <v/>
      </c>
      <c r="BN234" s="76" t="str">
        <f aca="false">IF(AN234="","",MAX(BK234,_xlfn.MAXIFS(AN$6:AN234,BJ$6:BJ234,BJ234)))</f>
        <v/>
      </c>
      <c r="BO234" s="83" t="str">
        <f aca="false">IF(AN234="","",(AN234-BN234)/BN234)</f>
        <v/>
      </c>
      <c r="BP234" s="66" t="n">
        <f aca="false">IF(OR(B234="",AL234=""),0,IF(OR(Settings!$C$28="All Accounts",BJ234=Settings!$C$28),1,0))</f>
        <v>0</v>
      </c>
      <c r="BQ234" s="66" t="str">
        <f aca="false">IF(BP234=1,SUM(BP$6:BP234),"")</f>
        <v/>
      </c>
      <c r="BR234" s="76" t="str">
        <f aca="false">IF(BP234=1,ROUND(Settings!$C$29+SUMIFS(AM$6:AM234,BP$6:BP234,1),2),"")</f>
        <v/>
      </c>
      <c r="BS234" s="76" t="str">
        <f aca="false">IF(BP234=1,MAX(Settings!$C$29,MAX(BR$6:BR234)),"")</f>
        <v/>
      </c>
      <c r="BT234" s="83" t="str">
        <f aca="false">IF(BP234=1,(BR234-BS234)/BS234,"")</f>
        <v/>
      </c>
      <c r="BU234" s="66" t="str">
        <f aca="false">IF(BP234=1,IF(AL234="Win",1+IF(BQ234=1,0,INDEX(BU$5:BU233,MATCH(BQ234-1,BQ$5:BQ233,0))),0),"")</f>
        <v/>
      </c>
      <c r="BV234" s="66" t="str">
        <f aca="false">IF(BP234=1,IF(AL234="Loss",1+IF(BQ234=1,0,INDEX(BV$5:BV233,MATCH(BQ234-1,BQ$5:BQ233,0))),0),"")</f>
        <v/>
      </c>
    </row>
    <row r="235" customFormat="false" ht="15" hidden="false" customHeight="false" outlineLevel="0" collapsed="false">
      <c r="A235" s="66" t="str">
        <f aca="false">IF(B235="","",ROW()-5)</f>
        <v/>
      </c>
      <c r="B235" s="67"/>
      <c r="C235" s="68" t="str">
        <f aca="false">IF(B235="","",CHOOSE(WEEKDAY(B235,2),"Mon","Tue","Wed","Thu","Fri","Sat","Sun"))</f>
        <v/>
      </c>
      <c r="D235" s="66" t="str">
        <f aca="false">IF(B235="","",WEEKNUM(B235,2))</f>
        <v/>
      </c>
      <c r="E235" s="69"/>
      <c r="F235" s="69"/>
      <c r="G235" s="70"/>
      <c r="H235" s="70"/>
      <c r="I235" s="69"/>
      <c r="J235" s="69"/>
      <c r="K235" s="69"/>
      <c r="L235" s="71"/>
      <c r="M235" s="69"/>
      <c r="N235" s="69"/>
      <c r="O235" s="69"/>
      <c r="P235" s="71"/>
      <c r="Q235" s="69"/>
      <c r="R235" s="69"/>
      <c r="S235" s="69"/>
      <c r="T235" s="69"/>
      <c r="U235" s="69"/>
      <c r="V235" s="69"/>
      <c r="W235" s="69"/>
      <c r="X235" s="66" t="str">
        <f aca="false">IF(B235="","",COUNTIF(Q235:W235,"Yes"))</f>
        <v/>
      </c>
      <c r="Y235" s="68" t="str">
        <f aca="false">IF(B235="","",IF(X235&gt;=Settings!$C$16,"A+",IF(X235&gt;=Settings!$C$17,"A",IF(X235&gt;=Settings!$C$18,"B","C"))))</f>
        <v/>
      </c>
      <c r="Z235" s="72"/>
      <c r="AA235" s="72"/>
      <c r="AB235" s="72"/>
      <c r="AC235" s="72"/>
      <c r="AD235" s="72"/>
      <c r="AE235" s="72"/>
      <c r="AF235" s="73"/>
      <c r="AG235" s="74"/>
      <c r="AH235" s="75"/>
      <c r="AI235" s="76" t="str">
        <f aca="false">IF(B235="","",ROUND(IF(AG235="",Settings!$C$5,AG235)*AW235,2))</f>
        <v/>
      </c>
      <c r="AJ235" s="77" t="str">
        <f aca="false">IF(OR(B235="",AB235="",AC235="",AD235=""),"",IFERROR(ROUND(ABS(AD235-AB235)/ABS(AB235-AC235),2),""))</f>
        <v/>
      </c>
      <c r="AK235" s="78" t="str">
        <f aca="false">IF(OR(B235="",AB235="",AC235="",AE235=""),"",IFERROR(ROUND(IF(J235="Short",AB235-AE235,AE235-AB235)/ABS(AB235-AC235),2),""))</f>
        <v/>
      </c>
      <c r="AL235" s="68" t="str">
        <f aca="false">IF(AK235="","",IF(ABS(AK235)&lt;=Settings!$C$6,"BE",IF(AK235&gt;0,"Win","Loss")))</f>
        <v/>
      </c>
      <c r="AM235" s="79" t="str">
        <f aca="false">IF(OR(AK235="",AI235=""),"",ROUND(AK235*AI235-N(AH235),2))</f>
        <v/>
      </c>
      <c r="AN235" s="76" t="str">
        <f aca="false">IF(AM235="","",ROUND(BK235+SUMIFS(AM$6:AM235,BJ$6:BJ235,BJ235),2))</f>
        <v/>
      </c>
      <c r="AO235" s="78" t="str">
        <f aca="false">IF(AK235="","",ROUND(SUMIFS(AK$6:AK235,BJ$6:BJ235,BJ235),2))</f>
        <v/>
      </c>
      <c r="AP235" s="80" t="str">
        <f aca="false">IF(OR(AK235="",BL235=""),"",IFERROR(ROUND(IF(J235="Short",AB235-AE235,AE235-AB235)/BL235,1),""))</f>
        <v/>
      </c>
      <c r="AQ235" s="66" t="str">
        <f aca="false">IF(OR(G235="",H235=""),"",ROUND(MOD(H235-G235,1)*1440,0))</f>
        <v/>
      </c>
      <c r="AR235" s="68" t="str">
        <f aca="false">IF(AQ235="","",IF(AQ235&lt;15,"Under 15m",IF(AQ235&lt;60,"15-60m",IF(AQ235&lt;240,"1-4 hours","4+ hours"))))</f>
        <v/>
      </c>
      <c r="AS235" s="66" t="str">
        <f aca="false">IF(G235="","",HOUR(G235))</f>
        <v/>
      </c>
      <c r="AT235" s="80" t="str">
        <f aca="false">IF(OR(Z235="",AB235="",BL235=""),"",IFERROR(ROUND(IF(J235="Short",Z235-AB235,AB235-Z235)/BL235,1),""))</f>
        <v/>
      </c>
      <c r="AU235" s="68" t="str">
        <f aca="false">IF(OR(AA235="",AC235=""),"",IF(AA235=AC235,"No","Yes"))</f>
        <v/>
      </c>
      <c r="AV235" s="81" t="str">
        <f aca="false">IF(OR(B235="",BL235="",BM235="",AB235="",AC235=""),"",IFERROR(ROUND(AI235/(ABS(AB235-AC235)/BL235*BM235),2),""))</f>
        <v/>
      </c>
      <c r="AW235" s="76" t="str">
        <f aca="false">IF(B235="","",ROUND(BK235+SUMIFS(AM$5:AM234,BJ$5:BJ234,BJ235),2))</f>
        <v/>
      </c>
      <c r="AX235" s="66" t="str">
        <f aca="false">IF(B235="","",COUNTIFS(B$6:B235,B235,BJ$6:BJ235,BJ235))</f>
        <v/>
      </c>
      <c r="AY235" s="79" t="str">
        <f aca="false">IF(B235="","",ROUND(SUMIFS(AM$5:AM234,B$5:B234,B235,BJ$5:BJ234,BJ235),2))</f>
        <v/>
      </c>
      <c r="AZ235" s="79" t="str">
        <f aca="false">IF(AM235="","",ROUND(AY235+AM235,2))</f>
        <v/>
      </c>
      <c r="BA235" s="79" t="str">
        <f aca="false">IF(B235="","",ROUND(SUMIFS(AM$5:AM234,B$5:B234,"&gt;="&amp;(B235-WEEKDAY(B235,2)+1),B$5:B234,"&lt;="&amp;B235,BJ$5:BJ234,BJ235),2))</f>
        <v/>
      </c>
      <c r="BB235" s="68" t="str">
        <f aca="false">IF(B235="","",IF(AND(AF235&lt;&gt;"",AV235&lt;&gt;"",N(AF235)&gt;N(AV235)*(1+Settings!$C$13)),"Oversized",IF(AX235&gt;Settings!$C$10,"Overtraded",IF(AY235&lt;=-Settings!$C$11*(AW235-AY235),"Daily loss hit",IF(BA235&lt;=-Settings!$C$12*(AW235-BA235),"Weekly loss hit","OK")))))</f>
        <v/>
      </c>
      <c r="BC235" s="69"/>
      <c r="BD235" s="69"/>
      <c r="BE235" s="69"/>
      <c r="BF235" s="73"/>
      <c r="BG235" s="73"/>
      <c r="BH235" s="71"/>
      <c r="BI235" s="71"/>
      <c r="BJ235" s="68" t="str">
        <f aca="false">IF(B235="","",IF(E235="",Settings!$F$5,E235))</f>
        <v/>
      </c>
      <c r="BK235" s="76" t="str">
        <f aca="false">IF(B235="","",IFERROR(INDEX(Settings!$G$5:$G$10,MATCH(BJ235,Settings!$F$5:$F$10,0)),Settings!$G$5))</f>
        <v/>
      </c>
      <c r="BL235" s="82" t="str">
        <f aca="false">IF(I235="","",IFERROR(1/(1/INDEX(Lists!$C$6:$C$17,MATCH(I235,Lists!$B$6:$B$17,0))),""))</f>
        <v/>
      </c>
      <c r="BM235" s="81" t="str">
        <f aca="false">IF(I235="","",IFERROR(1/(1/INDEX(Lists!$D$6:$D$17,MATCH(I235,Lists!$B$6:$B$17,0))),""))</f>
        <v/>
      </c>
      <c r="BN235" s="76" t="str">
        <f aca="false">IF(AN235="","",MAX(BK235,_xlfn.MAXIFS(AN$6:AN235,BJ$6:BJ235,BJ235)))</f>
        <v/>
      </c>
      <c r="BO235" s="83" t="str">
        <f aca="false">IF(AN235="","",(AN235-BN235)/BN235)</f>
        <v/>
      </c>
      <c r="BP235" s="66" t="n">
        <f aca="false">IF(OR(B235="",AL235=""),0,IF(OR(Settings!$C$28="All Accounts",BJ235=Settings!$C$28),1,0))</f>
        <v>0</v>
      </c>
      <c r="BQ235" s="66" t="str">
        <f aca="false">IF(BP235=1,SUM(BP$6:BP235),"")</f>
        <v/>
      </c>
      <c r="BR235" s="76" t="str">
        <f aca="false">IF(BP235=1,ROUND(Settings!$C$29+SUMIFS(AM$6:AM235,BP$6:BP235,1),2),"")</f>
        <v/>
      </c>
      <c r="BS235" s="76" t="str">
        <f aca="false">IF(BP235=1,MAX(Settings!$C$29,MAX(BR$6:BR235)),"")</f>
        <v/>
      </c>
      <c r="BT235" s="83" t="str">
        <f aca="false">IF(BP235=1,(BR235-BS235)/BS235,"")</f>
        <v/>
      </c>
      <c r="BU235" s="66" t="str">
        <f aca="false">IF(BP235=1,IF(AL235="Win",1+IF(BQ235=1,0,INDEX(BU$5:BU234,MATCH(BQ235-1,BQ$5:BQ234,0))),0),"")</f>
        <v/>
      </c>
      <c r="BV235" s="66" t="str">
        <f aca="false">IF(BP235=1,IF(AL235="Loss",1+IF(BQ235=1,0,INDEX(BV$5:BV234,MATCH(BQ235-1,BQ$5:BQ234,0))),0),"")</f>
        <v/>
      </c>
    </row>
    <row r="236" customFormat="false" ht="15" hidden="false" customHeight="false" outlineLevel="0" collapsed="false">
      <c r="A236" s="66" t="str">
        <f aca="false">IF(B236="","",ROW()-5)</f>
        <v/>
      </c>
      <c r="B236" s="67"/>
      <c r="C236" s="68" t="str">
        <f aca="false">IF(B236="","",CHOOSE(WEEKDAY(B236,2),"Mon","Tue","Wed","Thu","Fri","Sat","Sun"))</f>
        <v/>
      </c>
      <c r="D236" s="66" t="str">
        <f aca="false">IF(B236="","",WEEKNUM(B236,2))</f>
        <v/>
      </c>
      <c r="E236" s="69"/>
      <c r="F236" s="69"/>
      <c r="G236" s="70"/>
      <c r="H236" s="70"/>
      <c r="I236" s="69"/>
      <c r="J236" s="69"/>
      <c r="K236" s="69"/>
      <c r="L236" s="71"/>
      <c r="M236" s="69"/>
      <c r="N236" s="69"/>
      <c r="O236" s="69"/>
      <c r="P236" s="71"/>
      <c r="Q236" s="69"/>
      <c r="R236" s="69"/>
      <c r="S236" s="69"/>
      <c r="T236" s="69"/>
      <c r="U236" s="69"/>
      <c r="V236" s="69"/>
      <c r="W236" s="69"/>
      <c r="X236" s="66" t="str">
        <f aca="false">IF(B236="","",COUNTIF(Q236:W236,"Yes"))</f>
        <v/>
      </c>
      <c r="Y236" s="68" t="str">
        <f aca="false">IF(B236="","",IF(X236&gt;=Settings!$C$16,"A+",IF(X236&gt;=Settings!$C$17,"A",IF(X236&gt;=Settings!$C$18,"B","C"))))</f>
        <v/>
      </c>
      <c r="Z236" s="72"/>
      <c r="AA236" s="72"/>
      <c r="AB236" s="72"/>
      <c r="AC236" s="72"/>
      <c r="AD236" s="72"/>
      <c r="AE236" s="72"/>
      <c r="AF236" s="73"/>
      <c r="AG236" s="74"/>
      <c r="AH236" s="75"/>
      <c r="AI236" s="76" t="str">
        <f aca="false">IF(B236="","",ROUND(IF(AG236="",Settings!$C$5,AG236)*AW236,2))</f>
        <v/>
      </c>
      <c r="AJ236" s="77" t="str">
        <f aca="false">IF(OR(B236="",AB236="",AC236="",AD236=""),"",IFERROR(ROUND(ABS(AD236-AB236)/ABS(AB236-AC236),2),""))</f>
        <v/>
      </c>
      <c r="AK236" s="78" t="str">
        <f aca="false">IF(OR(B236="",AB236="",AC236="",AE236=""),"",IFERROR(ROUND(IF(J236="Short",AB236-AE236,AE236-AB236)/ABS(AB236-AC236),2),""))</f>
        <v/>
      </c>
      <c r="AL236" s="68" t="str">
        <f aca="false">IF(AK236="","",IF(ABS(AK236)&lt;=Settings!$C$6,"BE",IF(AK236&gt;0,"Win","Loss")))</f>
        <v/>
      </c>
      <c r="AM236" s="79" t="str">
        <f aca="false">IF(OR(AK236="",AI236=""),"",ROUND(AK236*AI236-N(AH236),2))</f>
        <v/>
      </c>
      <c r="AN236" s="76" t="str">
        <f aca="false">IF(AM236="","",ROUND(BK236+SUMIFS(AM$6:AM236,BJ$6:BJ236,BJ236),2))</f>
        <v/>
      </c>
      <c r="AO236" s="78" t="str">
        <f aca="false">IF(AK236="","",ROUND(SUMIFS(AK$6:AK236,BJ$6:BJ236,BJ236),2))</f>
        <v/>
      </c>
      <c r="AP236" s="80" t="str">
        <f aca="false">IF(OR(AK236="",BL236=""),"",IFERROR(ROUND(IF(J236="Short",AB236-AE236,AE236-AB236)/BL236,1),""))</f>
        <v/>
      </c>
      <c r="AQ236" s="66" t="str">
        <f aca="false">IF(OR(G236="",H236=""),"",ROUND(MOD(H236-G236,1)*1440,0))</f>
        <v/>
      </c>
      <c r="AR236" s="68" t="str">
        <f aca="false">IF(AQ236="","",IF(AQ236&lt;15,"Under 15m",IF(AQ236&lt;60,"15-60m",IF(AQ236&lt;240,"1-4 hours","4+ hours"))))</f>
        <v/>
      </c>
      <c r="AS236" s="66" t="str">
        <f aca="false">IF(G236="","",HOUR(G236))</f>
        <v/>
      </c>
      <c r="AT236" s="80" t="str">
        <f aca="false">IF(OR(Z236="",AB236="",BL236=""),"",IFERROR(ROUND(IF(J236="Short",Z236-AB236,AB236-Z236)/BL236,1),""))</f>
        <v/>
      </c>
      <c r="AU236" s="68" t="str">
        <f aca="false">IF(OR(AA236="",AC236=""),"",IF(AA236=AC236,"No","Yes"))</f>
        <v/>
      </c>
      <c r="AV236" s="81" t="str">
        <f aca="false">IF(OR(B236="",BL236="",BM236="",AB236="",AC236=""),"",IFERROR(ROUND(AI236/(ABS(AB236-AC236)/BL236*BM236),2),""))</f>
        <v/>
      </c>
      <c r="AW236" s="76" t="str">
        <f aca="false">IF(B236="","",ROUND(BK236+SUMIFS(AM$5:AM235,BJ$5:BJ235,BJ236),2))</f>
        <v/>
      </c>
      <c r="AX236" s="66" t="str">
        <f aca="false">IF(B236="","",COUNTIFS(B$6:B236,B236,BJ$6:BJ236,BJ236))</f>
        <v/>
      </c>
      <c r="AY236" s="79" t="str">
        <f aca="false">IF(B236="","",ROUND(SUMIFS(AM$5:AM235,B$5:B235,B236,BJ$5:BJ235,BJ236),2))</f>
        <v/>
      </c>
      <c r="AZ236" s="79" t="str">
        <f aca="false">IF(AM236="","",ROUND(AY236+AM236,2))</f>
        <v/>
      </c>
      <c r="BA236" s="79" t="str">
        <f aca="false">IF(B236="","",ROUND(SUMIFS(AM$5:AM235,B$5:B235,"&gt;="&amp;(B236-WEEKDAY(B236,2)+1),B$5:B235,"&lt;="&amp;B236,BJ$5:BJ235,BJ236),2))</f>
        <v/>
      </c>
      <c r="BB236" s="68" t="str">
        <f aca="false">IF(B236="","",IF(AND(AF236&lt;&gt;"",AV236&lt;&gt;"",N(AF236)&gt;N(AV236)*(1+Settings!$C$13)),"Oversized",IF(AX236&gt;Settings!$C$10,"Overtraded",IF(AY236&lt;=-Settings!$C$11*(AW236-AY236),"Daily loss hit",IF(BA236&lt;=-Settings!$C$12*(AW236-BA236),"Weekly loss hit","OK")))))</f>
        <v/>
      </c>
      <c r="BC236" s="69"/>
      <c r="BD236" s="69"/>
      <c r="BE236" s="69"/>
      <c r="BF236" s="73"/>
      <c r="BG236" s="73"/>
      <c r="BH236" s="71"/>
      <c r="BI236" s="71"/>
      <c r="BJ236" s="68" t="str">
        <f aca="false">IF(B236="","",IF(E236="",Settings!$F$5,E236))</f>
        <v/>
      </c>
      <c r="BK236" s="76" t="str">
        <f aca="false">IF(B236="","",IFERROR(INDEX(Settings!$G$5:$G$10,MATCH(BJ236,Settings!$F$5:$F$10,0)),Settings!$G$5))</f>
        <v/>
      </c>
      <c r="BL236" s="82" t="str">
        <f aca="false">IF(I236="","",IFERROR(1/(1/INDEX(Lists!$C$6:$C$17,MATCH(I236,Lists!$B$6:$B$17,0))),""))</f>
        <v/>
      </c>
      <c r="BM236" s="81" t="str">
        <f aca="false">IF(I236="","",IFERROR(1/(1/INDEX(Lists!$D$6:$D$17,MATCH(I236,Lists!$B$6:$B$17,0))),""))</f>
        <v/>
      </c>
      <c r="BN236" s="76" t="str">
        <f aca="false">IF(AN236="","",MAX(BK236,_xlfn.MAXIFS(AN$6:AN236,BJ$6:BJ236,BJ236)))</f>
        <v/>
      </c>
      <c r="BO236" s="83" t="str">
        <f aca="false">IF(AN236="","",(AN236-BN236)/BN236)</f>
        <v/>
      </c>
      <c r="BP236" s="66" t="n">
        <f aca="false">IF(OR(B236="",AL236=""),0,IF(OR(Settings!$C$28="All Accounts",BJ236=Settings!$C$28),1,0))</f>
        <v>0</v>
      </c>
      <c r="BQ236" s="66" t="str">
        <f aca="false">IF(BP236=1,SUM(BP$6:BP236),"")</f>
        <v/>
      </c>
      <c r="BR236" s="76" t="str">
        <f aca="false">IF(BP236=1,ROUND(Settings!$C$29+SUMIFS(AM$6:AM236,BP$6:BP236,1),2),"")</f>
        <v/>
      </c>
      <c r="BS236" s="76" t="str">
        <f aca="false">IF(BP236=1,MAX(Settings!$C$29,MAX(BR$6:BR236)),"")</f>
        <v/>
      </c>
      <c r="BT236" s="83" t="str">
        <f aca="false">IF(BP236=1,(BR236-BS236)/BS236,"")</f>
        <v/>
      </c>
      <c r="BU236" s="66" t="str">
        <f aca="false">IF(BP236=1,IF(AL236="Win",1+IF(BQ236=1,0,INDEX(BU$5:BU235,MATCH(BQ236-1,BQ$5:BQ235,0))),0),"")</f>
        <v/>
      </c>
      <c r="BV236" s="66" t="str">
        <f aca="false">IF(BP236=1,IF(AL236="Loss",1+IF(BQ236=1,0,INDEX(BV$5:BV235,MATCH(BQ236-1,BQ$5:BQ235,0))),0),"")</f>
        <v/>
      </c>
    </row>
    <row r="237" customFormat="false" ht="15" hidden="false" customHeight="false" outlineLevel="0" collapsed="false">
      <c r="A237" s="66" t="str">
        <f aca="false">IF(B237="","",ROW()-5)</f>
        <v/>
      </c>
      <c r="B237" s="67"/>
      <c r="C237" s="68" t="str">
        <f aca="false">IF(B237="","",CHOOSE(WEEKDAY(B237,2),"Mon","Tue","Wed","Thu","Fri","Sat","Sun"))</f>
        <v/>
      </c>
      <c r="D237" s="66" t="str">
        <f aca="false">IF(B237="","",WEEKNUM(B237,2))</f>
        <v/>
      </c>
      <c r="E237" s="69"/>
      <c r="F237" s="69"/>
      <c r="G237" s="70"/>
      <c r="H237" s="70"/>
      <c r="I237" s="69"/>
      <c r="J237" s="69"/>
      <c r="K237" s="69"/>
      <c r="L237" s="71"/>
      <c r="M237" s="69"/>
      <c r="N237" s="69"/>
      <c r="O237" s="69"/>
      <c r="P237" s="71"/>
      <c r="Q237" s="69"/>
      <c r="R237" s="69"/>
      <c r="S237" s="69"/>
      <c r="T237" s="69"/>
      <c r="U237" s="69"/>
      <c r="V237" s="69"/>
      <c r="W237" s="69"/>
      <c r="X237" s="66" t="str">
        <f aca="false">IF(B237="","",COUNTIF(Q237:W237,"Yes"))</f>
        <v/>
      </c>
      <c r="Y237" s="68" t="str">
        <f aca="false">IF(B237="","",IF(X237&gt;=Settings!$C$16,"A+",IF(X237&gt;=Settings!$C$17,"A",IF(X237&gt;=Settings!$C$18,"B","C"))))</f>
        <v/>
      </c>
      <c r="Z237" s="72"/>
      <c r="AA237" s="72"/>
      <c r="AB237" s="72"/>
      <c r="AC237" s="72"/>
      <c r="AD237" s="72"/>
      <c r="AE237" s="72"/>
      <c r="AF237" s="73"/>
      <c r="AG237" s="74"/>
      <c r="AH237" s="75"/>
      <c r="AI237" s="76" t="str">
        <f aca="false">IF(B237="","",ROUND(IF(AG237="",Settings!$C$5,AG237)*AW237,2))</f>
        <v/>
      </c>
      <c r="AJ237" s="77" t="str">
        <f aca="false">IF(OR(B237="",AB237="",AC237="",AD237=""),"",IFERROR(ROUND(ABS(AD237-AB237)/ABS(AB237-AC237),2),""))</f>
        <v/>
      </c>
      <c r="AK237" s="78" t="str">
        <f aca="false">IF(OR(B237="",AB237="",AC237="",AE237=""),"",IFERROR(ROUND(IF(J237="Short",AB237-AE237,AE237-AB237)/ABS(AB237-AC237),2),""))</f>
        <v/>
      </c>
      <c r="AL237" s="68" t="str">
        <f aca="false">IF(AK237="","",IF(ABS(AK237)&lt;=Settings!$C$6,"BE",IF(AK237&gt;0,"Win","Loss")))</f>
        <v/>
      </c>
      <c r="AM237" s="79" t="str">
        <f aca="false">IF(OR(AK237="",AI237=""),"",ROUND(AK237*AI237-N(AH237),2))</f>
        <v/>
      </c>
      <c r="AN237" s="76" t="str">
        <f aca="false">IF(AM237="","",ROUND(BK237+SUMIFS(AM$6:AM237,BJ$6:BJ237,BJ237),2))</f>
        <v/>
      </c>
      <c r="AO237" s="78" t="str">
        <f aca="false">IF(AK237="","",ROUND(SUMIFS(AK$6:AK237,BJ$6:BJ237,BJ237),2))</f>
        <v/>
      </c>
      <c r="AP237" s="80" t="str">
        <f aca="false">IF(OR(AK237="",BL237=""),"",IFERROR(ROUND(IF(J237="Short",AB237-AE237,AE237-AB237)/BL237,1),""))</f>
        <v/>
      </c>
      <c r="AQ237" s="66" t="str">
        <f aca="false">IF(OR(G237="",H237=""),"",ROUND(MOD(H237-G237,1)*1440,0))</f>
        <v/>
      </c>
      <c r="AR237" s="68" t="str">
        <f aca="false">IF(AQ237="","",IF(AQ237&lt;15,"Under 15m",IF(AQ237&lt;60,"15-60m",IF(AQ237&lt;240,"1-4 hours","4+ hours"))))</f>
        <v/>
      </c>
      <c r="AS237" s="66" t="str">
        <f aca="false">IF(G237="","",HOUR(G237))</f>
        <v/>
      </c>
      <c r="AT237" s="80" t="str">
        <f aca="false">IF(OR(Z237="",AB237="",BL237=""),"",IFERROR(ROUND(IF(J237="Short",Z237-AB237,AB237-Z237)/BL237,1),""))</f>
        <v/>
      </c>
      <c r="AU237" s="68" t="str">
        <f aca="false">IF(OR(AA237="",AC237=""),"",IF(AA237=AC237,"No","Yes"))</f>
        <v/>
      </c>
      <c r="AV237" s="81" t="str">
        <f aca="false">IF(OR(B237="",BL237="",BM237="",AB237="",AC237=""),"",IFERROR(ROUND(AI237/(ABS(AB237-AC237)/BL237*BM237),2),""))</f>
        <v/>
      </c>
      <c r="AW237" s="76" t="str">
        <f aca="false">IF(B237="","",ROUND(BK237+SUMIFS(AM$5:AM236,BJ$5:BJ236,BJ237),2))</f>
        <v/>
      </c>
      <c r="AX237" s="66" t="str">
        <f aca="false">IF(B237="","",COUNTIFS(B$6:B237,B237,BJ$6:BJ237,BJ237))</f>
        <v/>
      </c>
      <c r="AY237" s="79" t="str">
        <f aca="false">IF(B237="","",ROUND(SUMIFS(AM$5:AM236,B$5:B236,B237,BJ$5:BJ236,BJ237),2))</f>
        <v/>
      </c>
      <c r="AZ237" s="79" t="str">
        <f aca="false">IF(AM237="","",ROUND(AY237+AM237,2))</f>
        <v/>
      </c>
      <c r="BA237" s="79" t="str">
        <f aca="false">IF(B237="","",ROUND(SUMIFS(AM$5:AM236,B$5:B236,"&gt;="&amp;(B237-WEEKDAY(B237,2)+1),B$5:B236,"&lt;="&amp;B237,BJ$5:BJ236,BJ237),2))</f>
        <v/>
      </c>
      <c r="BB237" s="68" t="str">
        <f aca="false">IF(B237="","",IF(AND(AF237&lt;&gt;"",AV237&lt;&gt;"",N(AF237)&gt;N(AV237)*(1+Settings!$C$13)),"Oversized",IF(AX237&gt;Settings!$C$10,"Overtraded",IF(AY237&lt;=-Settings!$C$11*(AW237-AY237),"Daily loss hit",IF(BA237&lt;=-Settings!$C$12*(AW237-BA237),"Weekly loss hit","OK")))))</f>
        <v/>
      </c>
      <c r="BC237" s="69"/>
      <c r="BD237" s="69"/>
      <c r="BE237" s="69"/>
      <c r="BF237" s="73"/>
      <c r="BG237" s="73"/>
      <c r="BH237" s="71"/>
      <c r="BI237" s="71"/>
      <c r="BJ237" s="68" t="str">
        <f aca="false">IF(B237="","",IF(E237="",Settings!$F$5,E237))</f>
        <v/>
      </c>
      <c r="BK237" s="76" t="str">
        <f aca="false">IF(B237="","",IFERROR(INDEX(Settings!$G$5:$G$10,MATCH(BJ237,Settings!$F$5:$F$10,0)),Settings!$G$5))</f>
        <v/>
      </c>
      <c r="BL237" s="82" t="str">
        <f aca="false">IF(I237="","",IFERROR(1/(1/INDEX(Lists!$C$6:$C$17,MATCH(I237,Lists!$B$6:$B$17,0))),""))</f>
        <v/>
      </c>
      <c r="BM237" s="81" t="str">
        <f aca="false">IF(I237="","",IFERROR(1/(1/INDEX(Lists!$D$6:$D$17,MATCH(I237,Lists!$B$6:$B$17,0))),""))</f>
        <v/>
      </c>
      <c r="BN237" s="76" t="str">
        <f aca="false">IF(AN237="","",MAX(BK237,_xlfn.MAXIFS(AN$6:AN237,BJ$6:BJ237,BJ237)))</f>
        <v/>
      </c>
      <c r="BO237" s="83" t="str">
        <f aca="false">IF(AN237="","",(AN237-BN237)/BN237)</f>
        <v/>
      </c>
      <c r="BP237" s="66" t="n">
        <f aca="false">IF(OR(B237="",AL237=""),0,IF(OR(Settings!$C$28="All Accounts",BJ237=Settings!$C$28),1,0))</f>
        <v>0</v>
      </c>
      <c r="BQ237" s="66" t="str">
        <f aca="false">IF(BP237=1,SUM(BP$6:BP237),"")</f>
        <v/>
      </c>
      <c r="BR237" s="76" t="str">
        <f aca="false">IF(BP237=1,ROUND(Settings!$C$29+SUMIFS(AM$6:AM237,BP$6:BP237,1),2),"")</f>
        <v/>
      </c>
      <c r="BS237" s="76" t="str">
        <f aca="false">IF(BP237=1,MAX(Settings!$C$29,MAX(BR$6:BR237)),"")</f>
        <v/>
      </c>
      <c r="BT237" s="83" t="str">
        <f aca="false">IF(BP237=1,(BR237-BS237)/BS237,"")</f>
        <v/>
      </c>
      <c r="BU237" s="66" t="str">
        <f aca="false">IF(BP237=1,IF(AL237="Win",1+IF(BQ237=1,0,INDEX(BU$5:BU236,MATCH(BQ237-1,BQ$5:BQ236,0))),0),"")</f>
        <v/>
      </c>
      <c r="BV237" s="66" t="str">
        <f aca="false">IF(BP237=1,IF(AL237="Loss",1+IF(BQ237=1,0,INDEX(BV$5:BV236,MATCH(BQ237-1,BQ$5:BQ236,0))),0),"")</f>
        <v/>
      </c>
    </row>
    <row r="238" customFormat="false" ht="15" hidden="false" customHeight="false" outlineLevel="0" collapsed="false">
      <c r="A238" s="66" t="str">
        <f aca="false">IF(B238="","",ROW()-5)</f>
        <v/>
      </c>
      <c r="B238" s="67"/>
      <c r="C238" s="68" t="str">
        <f aca="false">IF(B238="","",CHOOSE(WEEKDAY(B238,2),"Mon","Tue","Wed","Thu","Fri","Sat","Sun"))</f>
        <v/>
      </c>
      <c r="D238" s="66" t="str">
        <f aca="false">IF(B238="","",WEEKNUM(B238,2))</f>
        <v/>
      </c>
      <c r="E238" s="69"/>
      <c r="F238" s="69"/>
      <c r="G238" s="70"/>
      <c r="H238" s="70"/>
      <c r="I238" s="69"/>
      <c r="J238" s="69"/>
      <c r="K238" s="69"/>
      <c r="L238" s="71"/>
      <c r="M238" s="69"/>
      <c r="N238" s="69"/>
      <c r="O238" s="69"/>
      <c r="P238" s="71"/>
      <c r="Q238" s="69"/>
      <c r="R238" s="69"/>
      <c r="S238" s="69"/>
      <c r="T238" s="69"/>
      <c r="U238" s="69"/>
      <c r="V238" s="69"/>
      <c r="W238" s="69"/>
      <c r="X238" s="66" t="str">
        <f aca="false">IF(B238="","",COUNTIF(Q238:W238,"Yes"))</f>
        <v/>
      </c>
      <c r="Y238" s="68" t="str">
        <f aca="false">IF(B238="","",IF(X238&gt;=Settings!$C$16,"A+",IF(X238&gt;=Settings!$C$17,"A",IF(X238&gt;=Settings!$C$18,"B","C"))))</f>
        <v/>
      </c>
      <c r="Z238" s="72"/>
      <c r="AA238" s="72"/>
      <c r="AB238" s="72"/>
      <c r="AC238" s="72"/>
      <c r="AD238" s="72"/>
      <c r="AE238" s="72"/>
      <c r="AF238" s="73"/>
      <c r="AG238" s="74"/>
      <c r="AH238" s="75"/>
      <c r="AI238" s="76" t="str">
        <f aca="false">IF(B238="","",ROUND(IF(AG238="",Settings!$C$5,AG238)*AW238,2))</f>
        <v/>
      </c>
      <c r="AJ238" s="77" t="str">
        <f aca="false">IF(OR(B238="",AB238="",AC238="",AD238=""),"",IFERROR(ROUND(ABS(AD238-AB238)/ABS(AB238-AC238),2),""))</f>
        <v/>
      </c>
      <c r="AK238" s="78" t="str">
        <f aca="false">IF(OR(B238="",AB238="",AC238="",AE238=""),"",IFERROR(ROUND(IF(J238="Short",AB238-AE238,AE238-AB238)/ABS(AB238-AC238),2),""))</f>
        <v/>
      </c>
      <c r="AL238" s="68" t="str">
        <f aca="false">IF(AK238="","",IF(ABS(AK238)&lt;=Settings!$C$6,"BE",IF(AK238&gt;0,"Win","Loss")))</f>
        <v/>
      </c>
      <c r="AM238" s="79" t="str">
        <f aca="false">IF(OR(AK238="",AI238=""),"",ROUND(AK238*AI238-N(AH238),2))</f>
        <v/>
      </c>
      <c r="AN238" s="76" t="str">
        <f aca="false">IF(AM238="","",ROUND(BK238+SUMIFS(AM$6:AM238,BJ$6:BJ238,BJ238),2))</f>
        <v/>
      </c>
      <c r="AO238" s="78" t="str">
        <f aca="false">IF(AK238="","",ROUND(SUMIFS(AK$6:AK238,BJ$6:BJ238,BJ238),2))</f>
        <v/>
      </c>
      <c r="AP238" s="80" t="str">
        <f aca="false">IF(OR(AK238="",BL238=""),"",IFERROR(ROUND(IF(J238="Short",AB238-AE238,AE238-AB238)/BL238,1),""))</f>
        <v/>
      </c>
      <c r="AQ238" s="66" t="str">
        <f aca="false">IF(OR(G238="",H238=""),"",ROUND(MOD(H238-G238,1)*1440,0))</f>
        <v/>
      </c>
      <c r="AR238" s="68" t="str">
        <f aca="false">IF(AQ238="","",IF(AQ238&lt;15,"Under 15m",IF(AQ238&lt;60,"15-60m",IF(AQ238&lt;240,"1-4 hours","4+ hours"))))</f>
        <v/>
      </c>
      <c r="AS238" s="66" t="str">
        <f aca="false">IF(G238="","",HOUR(G238))</f>
        <v/>
      </c>
      <c r="AT238" s="80" t="str">
        <f aca="false">IF(OR(Z238="",AB238="",BL238=""),"",IFERROR(ROUND(IF(J238="Short",Z238-AB238,AB238-Z238)/BL238,1),""))</f>
        <v/>
      </c>
      <c r="AU238" s="68" t="str">
        <f aca="false">IF(OR(AA238="",AC238=""),"",IF(AA238=AC238,"No","Yes"))</f>
        <v/>
      </c>
      <c r="AV238" s="81" t="str">
        <f aca="false">IF(OR(B238="",BL238="",BM238="",AB238="",AC238=""),"",IFERROR(ROUND(AI238/(ABS(AB238-AC238)/BL238*BM238),2),""))</f>
        <v/>
      </c>
      <c r="AW238" s="76" t="str">
        <f aca="false">IF(B238="","",ROUND(BK238+SUMIFS(AM$5:AM237,BJ$5:BJ237,BJ238),2))</f>
        <v/>
      </c>
      <c r="AX238" s="66" t="str">
        <f aca="false">IF(B238="","",COUNTIFS(B$6:B238,B238,BJ$6:BJ238,BJ238))</f>
        <v/>
      </c>
      <c r="AY238" s="79" t="str">
        <f aca="false">IF(B238="","",ROUND(SUMIFS(AM$5:AM237,B$5:B237,B238,BJ$5:BJ237,BJ238),2))</f>
        <v/>
      </c>
      <c r="AZ238" s="79" t="str">
        <f aca="false">IF(AM238="","",ROUND(AY238+AM238,2))</f>
        <v/>
      </c>
      <c r="BA238" s="79" t="str">
        <f aca="false">IF(B238="","",ROUND(SUMIFS(AM$5:AM237,B$5:B237,"&gt;="&amp;(B238-WEEKDAY(B238,2)+1),B$5:B237,"&lt;="&amp;B238,BJ$5:BJ237,BJ238),2))</f>
        <v/>
      </c>
      <c r="BB238" s="68" t="str">
        <f aca="false">IF(B238="","",IF(AND(AF238&lt;&gt;"",AV238&lt;&gt;"",N(AF238)&gt;N(AV238)*(1+Settings!$C$13)),"Oversized",IF(AX238&gt;Settings!$C$10,"Overtraded",IF(AY238&lt;=-Settings!$C$11*(AW238-AY238),"Daily loss hit",IF(BA238&lt;=-Settings!$C$12*(AW238-BA238),"Weekly loss hit","OK")))))</f>
        <v/>
      </c>
      <c r="BC238" s="69"/>
      <c r="BD238" s="69"/>
      <c r="BE238" s="69"/>
      <c r="BF238" s="73"/>
      <c r="BG238" s="73"/>
      <c r="BH238" s="71"/>
      <c r="BI238" s="71"/>
      <c r="BJ238" s="68" t="str">
        <f aca="false">IF(B238="","",IF(E238="",Settings!$F$5,E238))</f>
        <v/>
      </c>
      <c r="BK238" s="76" t="str">
        <f aca="false">IF(B238="","",IFERROR(INDEX(Settings!$G$5:$G$10,MATCH(BJ238,Settings!$F$5:$F$10,0)),Settings!$G$5))</f>
        <v/>
      </c>
      <c r="BL238" s="82" t="str">
        <f aca="false">IF(I238="","",IFERROR(1/(1/INDEX(Lists!$C$6:$C$17,MATCH(I238,Lists!$B$6:$B$17,0))),""))</f>
        <v/>
      </c>
      <c r="BM238" s="81" t="str">
        <f aca="false">IF(I238="","",IFERROR(1/(1/INDEX(Lists!$D$6:$D$17,MATCH(I238,Lists!$B$6:$B$17,0))),""))</f>
        <v/>
      </c>
      <c r="BN238" s="76" t="str">
        <f aca="false">IF(AN238="","",MAX(BK238,_xlfn.MAXIFS(AN$6:AN238,BJ$6:BJ238,BJ238)))</f>
        <v/>
      </c>
      <c r="BO238" s="83" t="str">
        <f aca="false">IF(AN238="","",(AN238-BN238)/BN238)</f>
        <v/>
      </c>
      <c r="BP238" s="66" t="n">
        <f aca="false">IF(OR(B238="",AL238=""),0,IF(OR(Settings!$C$28="All Accounts",BJ238=Settings!$C$28),1,0))</f>
        <v>0</v>
      </c>
      <c r="BQ238" s="66" t="str">
        <f aca="false">IF(BP238=1,SUM(BP$6:BP238),"")</f>
        <v/>
      </c>
      <c r="BR238" s="76" t="str">
        <f aca="false">IF(BP238=1,ROUND(Settings!$C$29+SUMIFS(AM$6:AM238,BP$6:BP238,1),2),"")</f>
        <v/>
      </c>
      <c r="BS238" s="76" t="str">
        <f aca="false">IF(BP238=1,MAX(Settings!$C$29,MAX(BR$6:BR238)),"")</f>
        <v/>
      </c>
      <c r="BT238" s="83" t="str">
        <f aca="false">IF(BP238=1,(BR238-BS238)/BS238,"")</f>
        <v/>
      </c>
      <c r="BU238" s="66" t="str">
        <f aca="false">IF(BP238=1,IF(AL238="Win",1+IF(BQ238=1,0,INDEX(BU$5:BU237,MATCH(BQ238-1,BQ$5:BQ237,0))),0),"")</f>
        <v/>
      </c>
      <c r="BV238" s="66" t="str">
        <f aca="false">IF(BP238=1,IF(AL238="Loss",1+IF(BQ238=1,0,INDEX(BV$5:BV237,MATCH(BQ238-1,BQ$5:BQ237,0))),0),"")</f>
        <v/>
      </c>
    </row>
    <row r="239" customFormat="false" ht="15" hidden="false" customHeight="false" outlineLevel="0" collapsed="false">
      <c r="A239" s="66" t="str">
        <f aca="false">IF(B239="","",ROW()-5)</f>
        <v/>
      </c>
      <c r="B239" s="67"/>
      <c r="C239" s="68" t="str">
        <f aca="false">IF(B239="","",CHOOSE(WEEKDAY(B239,2),"Mon","Tue","Wed","Thu","Fri","Sat","Sun"))</f>
        <v/>
      </c>
      <c r="D239" s="66" t="str">
        <f aca="false">IF(B239="","",WEEKNUM(B239,2))</f>
        <v/>
      </c>
      <c r="E239" s="69"/>
      <c r="F239" s="69"/>
      <c r="G239" s="70"/>
      <c r="H239" s="70"/>
      <c r="I239" s="69"/>
      <c r="J239" s="69"/>
      <c r="K239" s="69"/>
      <c r="L239" s="71"/>
      <c r="M239" s="69"/>
      <c r="N239" s="69"/>
      <c r="O239" s="69"/>
      <c r="P239" s="71"/>
      <c r="Q239" s="69"/>
      <c r="R239" s="69"/>
      <c r="S239" s="69"/>
      <c r="T239" s="69"/>
      <c r="U239" s="69"/>
      <c r="V239" s="69"/>
      <c r="W239" s="69"/>
      <c r="X239" s="66" t="str">
        <f aca="false">IF(B239="","",COUNTIF(Q239:W239,"Yes"))</f>
        <v/>
      </c>
      <c r="Y239" s="68" t="str">
        <f aca="false">IF(B239="","",IF(X239&gt;=Settings!$C$16,"A+",IF(X239&gt;=Settings!$C$17,"A",IF(X239&gt;=Settings!$C$18,"B","C"))))</f>
        <v/>
      </c>
      <c r="Z239" s="72"/>
      <c r="AA239" s="72"/>
      <c r="AB239" s="72"/>
      <c r="AC239" s="72"/>
      <c r="AD239" s="72"/>
      <c r="AE239" s="72"/>
      <c r="AF239" s="73"/>
      <c r="AG239" s="74"/>
      <c r="AH239" s="75"/>
      <c r="AI239" s="76" t="str">
        <f aca="false">IF(B239="","",ROUND(IF(AG239="",Settings!$C$5,AG239)*AW239,2))</f>
        <v/>
      </c>
      <c r="AJ239" s="77" t="str">
        <f aca="false">IF(OR(B239="",AB239="",AC239="",AD239=""),"",IFERROR(ROUND(ABS(AD239-AB239)/ABS(AB239-AC239),2),""))</f>
        <v/>
      </c>
      <c r="AK239" s="78" t="str">
        <f aca="false">IF(OR(B239="",AB239="",AC239="",AE239=""),"",IFERROR(ROUND(IF(J239="Short",AB239-AE239,AE239-AB239)/ABS(AB239-AC239),2),""))</f>
        <v/>
      </c>
      <c r="AL239" s="68" t="str">
        <f aca="false">IF(AK239="","",IF(ABS(AK239)&lt;=Settings!$C$6,"BE",IF(AK239&gt;0,"Win","Loss")))</f>
        <v/>
      </c>
      <c r="AM239" s="79" t="str">
        <f aca="false">IF(OR(AK239="",AI239=""),"",ROUND(AK239*AI239-N(AH239),2))</f>
        <v/>
      </c>
      <c r="AN239" s="76" t="str">
        <f aca="false">IF(AM239="","",ROUND(BK239+SUMIFS(AM$6:AM239,BJ$6:BJ239,BJ239),2))</f>
        <v/>
      </c>
      <c r="AO239" s="78" t="str">
        <f aca="false">IF(AK239="","",ROUND(SUMIFS(AK$6:AK239,BJ$6:BJ239,BJ239),2))</f>
        <v/>
      </c>
      <c r="AP239" s="80" t="str">
        <f aca="false">IF(OR(AK239="",BL239=""),"",IFERROR(ROUND(IF(J239="Short",AB239-AE239,AE239-AB239)/BL239,1),""))</f>
        <v/>
      </c>
      <c r="AQ239" s="66" t="str">
        <f aca="false">IF(OR(G239="",H239=""),"",ROUND(MOD(H239-G239,1)*1440,0))</f>
        <v/>
      </c>
      <c r="AR239" s="68" t="str">
        <f aca="false">IF(AQ239="","",IF(AQ239&lt;15,"Under 15m",IF(AQ239&lt;60,"15-60m",IF(AQ239&lt;240,"1-4 hours","4+ hours"))))</f>
        <v/>
      </c>
      <c r="AS239" s="66" t="str">
        <f aca="false">IF(G239="","",HOUR(G239))</f>
        <v/>
      </c>
      <c r="AT239" s="80" t="str">
        <f aca="false">IF(OR(Z239="",AB239="",BL239=""),"",IFERROR(ROUND(IF(J239="Short",Z239-AB239,AB239-Z239)/BL239,1),""))</f>
        <v/>
      </c>
      <c r="AU239" s="68" t="str">
        <f aca="false">IF(OR(AA239="",AC239=""),"",IF(AA239=AC239,"No","Yes"))</f>
        <v/>
      </c>
      <c r="AV239" s="81" t="str">
        <f aca="false">IF(OR(B239="",BL239="",BM239="",AB239="",AC239=""),"",IFERROR(ROUND(AI239/(ABS(AB239-AC239)/BL239*BM239),2),""))</f>
        <v/>
      </c>
      <c r="AW239" s="76" t="str">
        <f aca="false">IF(B239="","",ROUND(BK239+SUMIFS(AM$5:AM238,BJ$5:BJ238,BJ239),2))</f>
        <v/>
      </c>
      <c r="AX239" s="66" t="str">
        <f aca="false">IF(B239="","",COUNTIFS(B$6:B239,B239,BJ$6:BJ239,BJ239))</f>
        <v/>
      </c>
      <c r="AY239" s="79" t="str">
        <f aca="false">IF(B239="","",ROUND(SUMIFS(AM$5:AM238,B$5:B238,B239,BJ$5:BJ238,BJ239),2))</f>
        <v/>
      </c>
      <c r="AZ239" s="79" t="str">
        <f aca="false">IF(AM239="","",ROUND(AY239+AM239,2))</f>
        <v/>
      </c>
      <c r="BA239" s="79" t="str">
        <f aca="false">IF(B239="","",ROUND(SUMIFS(AM$5:AM238,B$5:B238,"&gt;="&amp;(B239-WEEKDAY(B239,2)+1),B$5:B238,"&lt;="&amp;B239,BJ$5:BJ238,BJ239),2))</f>
        <v/>
      </c>
      <c r="BB239" s="68" t="str">
        <f aca="false">IF(B239="","",IF(AND(AF239&lt;&gt;"",AV239&lt;&gt;"",N(AF239)&gt;N(AV239)*(1+Settings!$C$13)),"Oversized",IF(AX239&gt;Settings!$C$10,"Overtraded",IF(AY239&lt;=-Settings!$C$11*(AW239-AY239),"Daily loss hit",IF(BA239&lt;=-Settings!$C$12*(AW239-BA239),"Weekly loss hit","OK")))))</f>
        <v/>
      </c>
      <c r="BC239" s="69"/>
      <c r="BD239" s="69"/>
      <c r="BE239" s="69"/>
      <c r="BF239" s="73"/>
      <c r="BG239" s="73"/>
      <c r="BH239" s="71"/>
      <c r="BI239" s="71"/>
      <c r="BJ239" s="68" t="str">
        <f aca="false">IF(B239="","",IF(E239="",Settings!$F$5,E239))</f>
        <v/>
      </c>
      <c r="BK239" s="76" t="str">
        <f aca="false">IF(B239="","",IFERROR(INDEX(Settings!$G$5:$G$10,MATCH(BJ239,Settings!$F$5:$F$10,0)),Settings!$G$5))</f>
        <v/>
      </c>
      <c r="BL239" s="82" t="str">
        <f aca="false">IF(I239="","",IFERROR(1/(1/INDEX(Lists!$C$6:$C$17,MATCH(I239,Lists!$B$6:$B$17,0))),""))</f>
        <v/>
      </c>
      <c r="BM239" s="81" t="str">
        <f aca="false">IF(I239="","",IFERROR(1/(1/INDEX(Lists!$D$6:$D$17,MATCH(I239,Lists!$B$6:$B$17,0))),""))</f>
        <v/>
      </c>
      <c r="BN239" s="76" t="str">
        <f aca="false">IF(AN239="","",MAX(BK239,_xlfn.MAXIFS(AN$6:AN239,BJ$6:BJ239,BJ239)))</f>
        <v/>
      </c>
      <c r="BO239" s="83" t="str">
        <f aca="false">IF(AN239="","",(AN239-BN239)/BN239)</f>
        <v/>
      </c>
      <c r="BP239" s="66" t="n">
        <f aca="false">IF(OR(B239="",AL239=""),0,IF(OR(Settings!$C$28="All Accounts",BJ239=Settings!$C$28),1,0))</f>
        <v>0</v>
      </c>
      <c r="BQ239" s="66" t="str">
        <f aca="false">IF(BP239=1,SUM(BP$6:BP239),"")</f>
        <v/>
      </c>
      <c r="BR239" s="76" t="str">
        <f aca="false">IF(BP239=1,ROUND(Settings!$C$29+SUMIFS(AM$6:AM239,BP$6:BP239,1),2),"")</f>
        <v/>
      </c>
      <c r="BS239" s="76" t="str">
        <f aca="false">IF(BP239=1,MAX(Settings!$C$29,MAX(BR$6:BR239)),"")</f>
        <v/>
      </c>
      <c r="BT239" s="83" t="str">
        <f aca="false">IF(BP239=1,(BR239-BS239)/BS239,"")</f>
        <v/>
      </c>
      <c r="BU239" s="66" t="str">
        <f aca="false">IF(BP239=1,IF(AL239="Win",1+IF(BQ239=1,0,INDEX(BU$5:BU238,MATCH(BQ239-1,BQ$5:BQ238,0))),0),"")</f>
        <v/>
      </c>
      <c r="BV239" s="66" t="str">
        <f aca="false">IF(BP239=1,IF(AL239="Loss",1+IF(BQ239=1,0,INDEX(BV$5:BV238,MATCH(BQ239-1,BQ$5:BQ238,0))),0),"")</f>
        <v/>
      </c>
    </row>
    <row r="240" customFormat="false" ht="15" hidden="false" customHeight="false" outlineLevel="0" collapsed="false">
      <c r="A240" s="66" t="str">
        <f aca="false">IF(B240="","",ROW()-5)</f>
        <v/>
      </c>
      <c r="B240" s="67"/>
      <c r="C240" s="68" t="str">
        <f aca="false">IF(B240="","",CHOOSE(WEEKDAY(B240,2),"Mon","Tue","Wed","Thu","Fri","Sat","Sun"))</f>
        <v/>
      </c>
      <c r="D240" s="66" t="str">
        <f aca="false">IF(B240="","",WEEKNUM(B240,2))</f>
        <v/>
      </c>
      <c r="E240" s="69"/>
      <c r="F240" s="69"/>
      <c r="G240" s="70"/>
      <c r="H240" s="70"/>
      <c r="I240" s="69"/>
      <c r="J240" s="69"/>
      <c r="K240" s="69"/>
      <c r="L240" s="71"/>
      <c r="M240" s="69"/>
      <c r="N240" s="69"/>
      <c r="O240" s="69"/>
      <c r="P240" s="71"/>
      <c r="Q240" s="69"/>
      <c r="R240" s="69"/>
      <c r="S240" s="69"/>
      <c r="T240" s="69"/>
      <c r="U240" s="69"/>
      <c r="V240" s="69"/>
      <c r="W240" s="69"/>
      <c r="X240" s="66" t="str">
        <f aca="false">IF(B240="","",COUNTIF(Q240:W240,"Yes"))</f>
        <v/>
      </c>
      <c r="Y240" s="68" t="str">
        <f aca="false">IF(B240="","",IF(X240&gt;=Settings!$C$16,"A+",IF(X240&gt;=Settings!$C$17,"A",IF(X240&gt;=Settings!$C$18,"B","C"))))</f>
        <v/>
      </c>
      <c r="Z240" s="72"/>
      <c r="AA240" s="72"/>
      <c r="AB240" s="72"/>
      <c r="AC240" s="72"/>
      <c r="AD240" s="72"/>
      <c r="AE240" s="72"/>
      <c r="AF240" s="73"/>
      <c r="AG240" s="74"/>
      <c r="AH240" s="75"/>
      <c r="AI240" s="76" t="str">
        <f aca="false">IF(B240="","",ROUND(IF(AG240="",Settings!$C$5,AG240)*AW240,2))</f>
        <v/>
      </c>
      <c r="AJ240" s="77" t="str">
        <f aca="false">IF(OR(B240="",AB240="",AC240="",AD240=""),"",IFERROR(ROUND(ABS(AD240-AB240)/ABS(AB240-AC240),2),""))</f>
        <v/>
      </c>
      <c r="AK240" s="78" t="str">
        <f aca="false">IF(OR(B240="",AB240="",AC240="",AE240=""),"",IFERROR(ROUND(IF(J240="Short",AB240-AE240,AE240-AB240)/ABS(AB240-AC240),2),""))</f>
        <v/>
      </c>
      <c r="AL240" s="68" t="str">
        <f aca="false">IF(AK240="","",IF(ABS(AK240)&lt;=Settings!$C$6,"BE",IF(AK240&gt;0,"Win","Loss")))</f>
        <v/>
      </c>
      <c r="AM240" s="79" t="str">
        <f aca="false">IF(OR(AK240="",AI240=""),"",ROUND(AK240*AI240-N(AH240),2))</f>
        <v/>
      </c>
      <c r="AN240" s="76" t="str">
        <f aca="false">IF(AM240="","",ROUND(BK240+SUMIFS(AM$6:AM240,BJ$6:BJ240,BJ240),2))</f>
        <v/>
      </c>
      <c r="AO240" s="78" t="str">
        <f aca="false">IF(AK240="","",ROUND(SUMIFS(AK$6:AK240,BJ$6:BJ240,BJ240),2))</f>
        <v/>
      </c>
      <c r="AP240" s="80" t="str">
        <f aca="false">IF(OR(AK240="",BL240=""),"",IFERROR(ROUND(IF(J240="Short",AB240-AE240,AE240-AB240)/BL240,1),""))</f>
        <v/>
      </c>
      <c r="AQ240" s="66" t="str">
        <f aca="false">IF(OR(G240="",H240=""),"",ROUND(MOD(H240-G240,1)*1440,0))</f>
        <v/>
      </c>
      <c r="AR240" s="68" t="str">
        <f aca="false">IF(AQ240="","",IF(AQ240&lt;15,"Under 15m",IF(AQ240&lt;60,"15-60m",IF(AQ240&lt;240,"1-4 hours","4+ hours"))))</f>
        <v/>
      </c>
      <c r="AS240" s="66" t="str">
        <f aca="false">IF(G240="","",HOUR(G240))</f>
        <v/>
      </c>
      <c r="AT240" s="80" t="str">
        <f aca="false">IF(OR(Z240="",AB240="",BL240=""),"",IFERROR(ROUND(IF(J240="Short",Z240-AB240,AB240-Z240)/BL240,1),""))</f>
        <v/>
      </c>
      <c r="AU240" s="68" t="str">
        <f aca="false">IF(OR(AA240="",AC240=""),"",IF(AA240=AC240,"No","Yes"))</f>
        <v/>
      </c>
      <c r="AV240" s="81" t="str">
        <f aca="false">IF(OR(B240="",BL240="",BM240="",AB240="",AC240=""),"",IFERROR(ROUND(AI240/(ABS(AB240-AC240)/BL240*BM240),2),""))</f>
        <v/>
      </c>
      <c r="AW240" s="76" t="str">
        <f aca="false">IF(B240="","",ROUND(BK240+SUMIFS(AM$5:AM239,BJ$5:BJ239,BJ240),2))</f>
        <v/>
      </c>
      <c r="AX240" s="66" t="str">
        <f aca="false">IF(B240="","",COUNTIFS(B$6:B240,B240,BJ$6:BJ240,BJ240))</f>
        <v/>
      </c>
      <c r="AY240" s="79" t="str">
        <f aca="false">IF(B240="","",ROUND(SUMIFS(AM$5:AM239,B$5:B239,B240,BJ$5:BJ239,BJ240),2))</f>
        <v/>
      </c>
      <c r="AZ240" s="79" t="str">
        <f aca="false">IF(AM240="","",ROUND(AY240+AM240,2))</f>
        <v/>
      </c>
      <c r="BA240" s="79" t="str">
        <f aca="false">IF(B240="","",ROUND(SUMIFS(AM$5:AM239,B$5:B239,"&gt;="&amp;(B240-WEEKDAY(B240,2)+1),B$5:B239,"&lt;="&amp;B240,BJ$5:BJ239,BJ240),2))</f>
        <v/>
      </c>
      <c r="BB240" s="68" t="str">
        <f aca="false">IF(B240="","",IF(AND(AF240&lt;&gt;"",AV240&lt;&gt;"",N(AF240)&gt;N(AV240)*(1+Settings!$C$13)),"Oversized",IF(AX240&gt;Settings!$C$10,"Overtraded",IF(AY240&lt;=-Settings!$C$11*(AW240-AY240),"Daily loss hit",IF(BA240&lt;=-Settings!$C$12*(AW240-BA240),"Weekly loss hit","OK")))))</f>
        <v/>
      </c>
      <c r="BC240" s="69"/>
      <c r="BD240" s="69"/>
      <c r="BE240" s="69"/>
      <c r="BF240" s="73"/>
      <c r="BG240" s="73"/>
      <c r="BH240" s="71"/>
      <c r="BI240" s="71"/>
      <c r="BJ240" s="68" t="str">
        <f aca="false">IF(B240="","",IF(E240="",Settings!$F$5,E240))</f>
        <v/>
      </c>
      <c r="BK240" s="76" t="str">
        <f aca="false">IF(B240="","",IFERROR(INDEX(Settings!$G$5:$G$10,MATCH(BJ240,Settings!$F$5:$F$10,0)),Settings!$G$5))</f>
        <v/>
      </c>
      <c r="BL240" s="82" t="str">
        <f aca="false">IF(I240="","",IFERROR(1/(1/INDEX(Lists!$C$6:$C$17,MATCH(I240,Lists!$B$6:$B$17,0))),""))</f>
        <v/>
      </c>
      <c r="BM240" s="81" t="str">
        <f aca="false">IF(I240="","",IFERROR(1/(1/INDEX(Lists!$D$6:$D$17,MATCH(I240,Lists!$B$6:$B$17,0))),""))</f>
        <v/>
      </c>
      <c r="BN240" s="76" t="str">
        <f aca="false">IF(AN240="","",MAX(BK240,_xlfn.MAXIFS(AN$6:AN240,BJ$6:BJ240,BJ240)))</f>
        <v/>
      </c>
      <c r="BO240" s="83" t="str">
        <f aca="false">IF(AN240="","",(AN240-BN240)/BN240)</f>
        <v/>
      </c>
      <c r="BP240" s="66" t="n">
        <f aca="false">IF(OR(B240="",AL240=""),0,IF(OR(Settings!$C$28="All Accounts",BJ240=Settings!$C$28),1,0))</f>
        <v>0</v>
      </c>
      <c r="BQ240" s="66" t="str">
        <f aca="false">IF(BP240=1,SUM(BP$6:BP240),"")</f>
        <v/>
      </c>
      <c r="BR240" s="76" t="str">
        <f aca="false">IF(BP240=1,ROUND(Settings!$C$29+SUMIFS(AM$6:AM240,BP$6:BP240,1),2),"")</f>
        <v/>
      </c>
      <c r="BS240" s="76" t="str">
        <f aca="false">IF(BP240=1,MAX(Settings!$C$29,MAX(BR$6:BR240)),"")</f>
        <v/>
      </c>
      <c r="BT240" s="83" t="str">
        <f aca="false">IF(BP240=1,(BR240-BS240)/BS240,"")</f>
        <v/>
      </c>
      <c r="BU240" s="66" t="str">
        <f aca="false">IF(BP240=1,IF(AL240="Win",1+IF(BQ240=1,0,INDEX(BU$5:BU239,MATCH(BQ240-1,BQ$5:BQ239,0))),0),"")</f>
        <v/>
      </c>
      <c r="BV240" s="66" t="str">
        <f aca="false">IF(BP240=1,IF(AL240="Loss",1+IF(BQ240=1,0,INDEX(BV$5:BV239,MATCH(BQ240-1,BQ$5:BQ239,0))),0),"")</f>
        <v/>
      </c>
    </row>
    <row r="241" customFormat="false" ht="15" hidden="false" customHeight="false" outlineLevel="0" collapsed="false">
      <c r="A241" s="66" t="str">
        <f aca="false">IF(B241="","",ROW()-5)</f>
        <v/>
      </c>
      <c r="B241" s="67"/>
      <c r="C241" s="68" t="str">
        <f aca="false">IF(B241="","",CHOOSE(WEEKDAY(B241,2),"Mon","Tue","Wed","Thu","Fri","Sat","Sun"))</f>
        <v/>
      </c>
      <c r="D241" s="66" t="str">
        <f aca="false">IF(B241="","",WEEKNUM(B241,2))</f>
        <v/>
      </c>
      <c r="E241" s="69"/>
      <c r="F241" s="69"/>
      <c r="G241" s="70"/>
      <c r="H241" s="70"/>
      <c r="I241" s="69"/>
      <c r="J241" s="69"/>
      <c r="K241" s="69"/>
      <c r="L241" s="71"/>
      <c r="M241" s="69"/>
      <c r="N241" s="69"/>
      <c r="O241" s="69"/>
      <c r="P241" s="71"/>
      <c r="Q241" s="69"/>
      <c r="R241" s="69"/>
      <c r="S241" s="69"/>
      <c r="T241" s="69"/>
      <c r="U241" s="69"/>
      <c r="V241" s="69"/>
      <c r="W241" s="69"/>
      <c r="X241" s="66" t="str">
        <f aca="false">IF(B241="","",COUNTIF(Q241:W241,"Yes"))</f>
        <v/>
      </c>
      <c r="Y241" s="68" t="str">
        <f aca="false">IF(B241="","",IF(X241&gt;=Settings!$C$16,"A+",IF(X241&gt;=Settings!$C$17,"A",IF(X241&gt;=Settings!$C$18,"B","C"))))</f>
        <v/>
      </c>
      <c r="Z241" s="72"/>
      <c r="AA241" s="72"/>
      <c r="AB241" s="72"/>
      <c r="AC241" s="72"/>
      <c r="AD241" s="72"/>
      <c r="AE241" s="72"/>
      <c r="AF241" s="73"/>
      <c r="AG241" s="74"/>
      <c r="AH241" s="75"/>
      <c r="AI241" s="76" t="str">
        <f aca="false">IF(B241="","",ROUND(IF(AG241="",Settings!$C$5,AG241)*AW241,2))</f>
        <v/>
      </c>
      <c r="AJ241" s="77" t="str">
        <f aca="false">IF(OR(B241="",AB241="",AC241="",AD241=""),"",IFERROR(ROUND(ABS(AD241-AB241)/ABS(AB241-AC241),2),""))</f>
        <v/>
      </c>
      <c r="AK241" s="78" t="str">
        <f aca="false">IF(OR(B241="",AB241="",AC241="",AE241=""),"",IFERROR(ROUND(IF(J241="Short",AB241-AE241,AE241-AB241)/ABS(AB241-AC241),2),""))</f>
        <v/>
      </c>
      <c r="AL241" s="68" t="str">
        <f aca="false">IF(AK241="","",IF(ABS(AK241)&lt;=Settings!$C$6,"BE",IF(AK241&gt;0,"Win","Loss")))</f>
        <v/>
      </c>
      <c r="AM241" s="79" t="str">
        <f aca="false">IF(OR(AK241="",AI241=""),"",ROUND(AK241*AI241-N(AH241),2))</f>
        <v/>
      </c>
      <c r="AN241" s="76" t="str">
        <f aca="false">IF(AM241="","",ROUND(BK241+SUMIFS(AM$6:AM241,BJ$6:BJ241,BJ241),2))</f>
        <v/>
      </c>
      <c r="AO241" s="78" t="str">
        <f aca="false">IF(AK241="","",ROUND(SUMIFS(AK$6:AK241,BJ$6:BJ241,BJ241),2))</f>
        <v/>
      </c>
      <c r="AP241" s="80" t="str">
        <f aca="false">IF(OR(AK241="",BL241=""),"",IFERROR(ROUND(IF(J241="Short",AB241-AE241,AE241-AB241)/BL241,1),""))</f>
        <v/>
      </c>
      <c r="AQ241" s="66" t="str">
        <f aca="false">IF(OR(G241="",H241=""),"",ROUND(MOD(H241-G241,1)*1440,0))</f>
        <v/>
      </c>
      <c r="AR241" s="68" t="str">
        <f aca="false">IF(AQ241="","",IF(AQ241&lt;15,"Under 15m",IF(AQ241&lt;60,"15-60m",IF(AQ241&lt;240,"1-4 hours","4+ hours"))))</f>
        <v/>
      </c>
      <c r="AS241" s="66" t="str">
        <f aca="false">IF(G241="","",HOUR(G241))</f>
        <v/>
      </c>
      <c r="AT241" s="80" t="str">
        <f aca="false">IF(OR(Z241="",AB241="",BL241=""),"",IFERROR(ROUND(IF(J241="Short",Z241-AB241,AB241-Z241)/BL241,1),""))</f>
        <v/>
      </c>
      <c r="AU241" s="68" t="str">
        <f aca="false">IF(OR(AA241="",AC241=""),"",IF(AA241=AC241,"No","Yes"))</f>
        <v/>
      </c>
      <c r="AV241" s="81" t="str">
        <f aca="false">IF(OR(B241="",BL241="",BM241="",AB241="",AC241=""),"",IFERROR(ROUND(AI241/(ABS(AB241-AC241)/BL241*BM241),2),""))</f>
        <v/>
      </c>
      <c r="AW241" s="76" t="str">
        <f aca="false">IF(B241="","",ROUND(BK241+SUMIFS(AM$5:AM240,BJ$5:BJ240,BJ241),2))</f>
        <v/>
      </c>
      <c r="AX241" s="66" t="str">
        <f aca="false">IF(B241="","",COUNTIFS(B$6:B241,B241,BJ$6:BJ241,BJ241))</f>
        <v/>
      </c>
      <c r="AY241" s="79" t="str">
        <f aca="false">IF(B241="","",ROUND(SUMIFS(AM$5:AM240,B$5:B240,B241,BJ$5:BJ240,BJ241),2))</f>
        <v/>
      </c>
      <c r="AZ241" s="79" t="str">
        <f aca="false">IF(AM241="","",ROUND(AY241+AM241,2))</f>
        <v/>
      </c>
      <c r="BA241" s="79" t="str">
        <f aca="false">IF(B241="","",ROUND(SUMIFS(AM$5:AM240,B$5:B240,"&gt;="&amp;(B241-WEEKDAY(B241,2)+1),B$5:B240,"&lt;="&amp;B241,BJ$5:BJ240,BJ241),2))</f>
        <v/>
      </c>
      <c r="BB241" s="68" t="str">
        <f aca="false">IF(B241="","",IF(AND(AF241&lt;&gt;"",AV241&lt;&gt;"",N(AF241)&gt;N(AV241)*(1+Settings!$C$13)),"Oversized",IF(AX241&gt;Settings!$C$10,"Overtraded",IF(AY241&lt;=-Settings!$C$11*(AW241-AY241),"Daily loss hit",IF(BA241&lt;=-Settings!$C$12*(AW241-BA241),"Weekly loss hit","OK")))))</f>
        <v/>
      </c>
      <c r="BC241" s="69"/>
      <c r="BD241" s="69"/>
      <c r="BE241" s="69"/>
      <c r="BF241" s="73"/>
      <c r="BG241" s="73"/>
      <c r="BH241" s="71"/>
      <c r="BI241" s="71"/>
      <c r="BJ241" s="68" t="str">
        <f aca="false">IF(B241="","",IF(E241="",Settings!$F$5,E241))</f>
        <v/>
      </c>
      <c r="BK241" s="76" t="str">
        <f aca="false">IF(B241="","",IFERROR(INDEX(Settings!$G$5:$G$10,MATCH(BJ241,Settings!$F$5:$F$10,0)),Settings!$G$5))</f>
        <v/>
      </c>
      <c r="BL241" s="82" t="str">
        <f aca="false">IF(I241="","",IFERROR(1/(1/INDEX(Lists!$C$6:$C$17,MATCH(I241,Lists!$B$6:$B$17,0))),""))</f>
        <v/>
      </c>
      <c r="BM241" s="81" t="str">
        <f aca="false">IF(I241="","",IFERROR(1/(1/INDEX(Lists!$D$6:$D$17,MATCH(I241,Lists!$B$6:$B$17,0))),""))</f>
        <v/>
      </c>
      <c r="BN241" s="76" t="str">
        <f aca="false">IF(AN241="","",MAX(BK241,_xlfn.MAXIFS(AN$6:AN241,BJ$6:BJ241,BJ241)))</f>
        <v/>
      </c>
      <c r="BO241" s="83" t="str">
        <f aca="false">IF(AN241="","",(AN241-BN241)/BN241)</f>
        <v/>
      </c>
      <c r="BP241" s="66" t="n">
        <f aca="false">IF(OR(B241="",AL241=""),0,IF(OR(Settings!$C$28="All Accounts",BJ241=Settings!$C$28),1,0))</f>
        <v>0</v>
      </c>
      <c r="BQ241" s="66" t="str">
        <f aca="false">IF(BP241=1,SUM(BP$6:BP241),"")</f>
        <v/>
      </c>
      <c r="BR241" s="76" t="str">
        <f aca="false">IF(BP241=1,ROUND(Settings!$C$29+SUMIFS(AM$6:AM241,BP$6:BP241,1),2),"")</f>
        <v/>
      </c>
      <c r="BS241" s="76" t="str">
        <f aca="false">IF(BP241=1,MAX(Settings!$C$29,MAX(BR$6:BR241)),"")</f>
        <v/>
      </c>
      <c r="BT241" s="83" t="str">
        <f aca="false">IF(BP241=1,(BR241-BS241)/BS241,"")</f>
        <v/>
      </c>
      <c r="BU241" s="66" t="str">
        <f aca="false">IF(BP241=1,IF(AL241="Win",1+IF(BQ241=1,0,INDEX(BU$5:BU240,MATCH(BQ241-1,BQ$5:BQ240,0))),0),"")</f>
        <v/>
      </c>
      <c r="BV241" s="66" t="str">
        <f aca="false">IF(BP241=1,IF(AL241="Loss",1+IF(BQ241=1,0,INDEX(BV$5:BV240,MATCH(BQ241-1,BQ$5:BQ240,0))),0),"")</f>
        <v/>
      </c>
    </row>
    <row r="242" customFormat="false" ht="15" hidden="false" customHeight="false" outlineLevel="0" collapsed="false">
      <c r="A242" s="66" t="str">
        <f aca="false">IF(B242="","",ROW()-5)</f>
        <v/>
      </c>
      <c r="B242" s="67"/>
      <c r="C242" s="68" t="str">
        <f aca="false">IF(B242="","",CHOOSE(WEEKDAY(B242,2),"Mon","Tue","Wed","Thu","Fri","Sat","Sun"))</f>
        <v/>
      </c>
      <c r="D242" s="66" t="str">
        <f aca="false">IF(B242="","",WEEKNUM(B242,2))</f>
        <v/>
      </c>
      <c r="E242" s="69"/>
      <c r="F242" s="69"/>
      <c r="G242" s="70"/>
      <c r="H242" s="70"/>
      <c r="I242" s="69"/>
      <c r="J242" s="69"/>
      <c r="K242" s="69"/>
      <c r="L242" s="71"/>
      <c r="M242" s="69"/>
      <c r="N242" s="69"/>
      <c r="O242" s="69"/>
      <c r="P242" s="71"/>
      <c r="Q242" s="69"/>
      <c r="R242" s="69"/>
      <c r="S242" s="69"/>
      <c r="T242" s="69"/>
      <c r="U242" s="69"/>
      <c r="V242" s="69"/>
      <c r="W242" s="69"/>
      <c r="X242" s="66" t="str">
        <f aca="false">IF(B242="","",COUNTIF(Q242:W242,"Yes"))</f>
        <v/>
      </c>
      <c r="Y242" s="68" t="str">
        <f aca="false">IF(B242="","",IF(X242&gt;=Settings!$C$16,"A+",IF(X242&gt;=Settings!$C$17,"A",IF(X242&gt;=Settings!$C$18,"B","C"))))</f>
        <v/>
      </c>
      <c r="Z242" s="72"/>
      <c r="AA242" s="72"/>
      <c r="AB242" s="72"/>
      <c r="AC242" s="72"/>
      <c r="AD242" s="72"/>
      <c r="AE242" s="72"/>
      <c r="AF242" s="73"/>
      <c r="AG242" s="74"/>
      <c r="AH242" s="75"/>
      <c r="AI242" s="76" t="str">
        <f aca="false">IF(B242="","",ROUND(IF(AG242="",Settings!$C$5,AG242)*AW242,2))</f>
        <v/>
      </c>
      <c r="AJ242" s="77" t="str">
        <f aca="false">IF(OR(B242="",AB242="",AC242="",AD242=""),"",IFERROR(ROUND(ABS(AD242-AB242)/ABS(AB242-AC242),2),""))</f>
        <v/>
      </c>
      <c r="AK242" s="78" t="str">
        <f aca="false">IF(OR(B242="",AB242="",AC242="",AE242=""),"",IFERROR(ROUND(IF(J242="Short",AB242-AE242,AE242-AB242)/ABS(AB242-AC242),2),""))</f>
        <v/>
      </c>
      <c r="AL242" s="68" t="str">
        <f aca="false">IF(AK242="","",IF(ABS(AK242)&lt;=Settings!$C$6,"BE",IF(AK242&gt;0,"Win","Loss")))</f>
        <v/>
      </c>
      <c r="AM242" s="79" t="str">
        <f aca="false">IF(OR(AK242="",AI242=""),"",ROUND(AK242*AI242-N(AH242),2))</f>
        <v/>
      </c>
      <c r="AN242" s="76" t="str">
        <f aca="false">IF(AM242="","",ROUND(BK242+SUMIFS(AM$6:AM242,BJ$6:BJ242,BJ242),2))</f>
        <v/>
      </c>
      <c r="AO242" s="78" t="str">
        <f aca="false">IF(AK242="","",ROUND(SUMIFS(AK$6:AK242,BJ$6:BJ242,BJ242),2))</f>
        <v/>
      </c>
      <c r="AP242" s="80" t="str">
        <f aca="false">IF(OR(AK242="",BL242=""),"",IFERROR(ROUND(IF(J242="Short",AB242-AE242,AE242-AB242)/BL242,1),""))</f>
        <v/>
      </c>
      <c r="AQ242" s="66" t="str">
        <f aca="false">IF(OR(G242="",H242=""),"",ROUND(MOD(H242-G242,1)*1440,0))</f>
        <v/>
      </c>
      <c r="AR242" s="68" t="str">
        <f aca="false">IF(AQ242="","",IF(AQ242&lt;15,"Under 15m",IF(AQ242&lt;60,"15-60m",IF(AQ242&lt;240,"1-4 hours","4+ hours"))))</f>
        <v/>
      </c>
      <c r="AS242" s="66" t="str">
        <f aca="false">IF(G242="","",HOUR(G242))</f>
        <v/>
      </c>
      <c r="AT242" s="80" t="str">
        <f aca="false">IF(OR(Z242="",AB242="",BL242=""),"",IFERROR(ROUND(IF(J242="Short",Z242-AB242,AB242-Z242)/BL242,1),""))</f>
        <v/>
      </c>
      <c r="AU242" s="68" t="str">
        <f aca="false">IF(OR(AA242="",AC242=""),"",IF(AA242=AC242,"No","Yes"))</f>
        <v/>
      </c>
      <c r="AV242" s="81" t="str">
        <f aca="false">IF(OR(B242="",BL242="",BM242="",AB242="",AC242=""),"",IFERROR(ROUND(AI242/(ABS(AB242-AC242)/BL242*BM242),2),""))</f>
        <v/>
      </c>
      <c r="AW242" s="76" t="str">
        <f aca="false">IF(B242="","",ROUND(BK242+SUMIFS(AM$5:AM241,BJ$5:BJ241,BJ242),2))</f>
        <v/>
      </c>
      <c r="AX242" s="66" t="str">
        <f aca="false">IF(B242="","",COUNTIFS(B$6:B242,B242,BJ$6:BJ242,BJ242))</f>
        <v/>
      </c>
      <c r="AY242" s="79" t="str">
        <f aca="false">IF(B242="","",ROUND(SUMIFS(AM$5:AM241,B$5:B241,B242,BJ$5:BJ241,BJ242),2))</f>
        <v/>
      </c>
      <c r="AZ242" s="79" t="str">
        <f aca="false">IF(AM242="","",ROUND(AY242+AM242,2))</f>
        <v/>
      </c>
      <c r="BA242" s="79" t="str">
        <f aca="false">IF(B242="","",ROUND(SUMIFS(AM$5:AM241,B$5:B241,"&gt;="&amp;(B242-WEEKDAY(B242,2)+1),B$5:B241,"&lt;="&amp;B242,BJ$5:BJ241,BJ242),2))</f>
        <v/>
      </c>
      <c r="BB242" s="68" t="str">
        <f aca="false">IF(B242="","",IF(AND(AF242&lt;&gt;"",AV242&lt;&gt;"",N(AF242)&gt;N(AV242)*(1+Settings!$C$13)),"Oversized",IF(AX242&gt;Settings!$C$10,"Overtraded",IF(AY242&lt;=-Settings!$C$11*(AW242-AY242),"Daily loss hit",IF(BA242&lt;=-Settings!$C$12*(AW242-BA242),"Weekly loss hit","OK")))))</f>
        <v/>
      </c>
      <c r="BC242" s="69"/>
      <c r="BD242" s="69"/>
      <c r="BE242" s="69"/>
      <c r="BF242" s="73"/>
      <c r="BG242" s="73"/>
      <c r="BH242" s="71"/>
      <c r="BI242" s="71"/>
      <c r="BJ242" s="68" t="str">
        <f aca="false">IF(B242="","",IF(E242="",Settings!$F$5,E242))</f>
        <v/>
      </c>
      <c r="BK242" s="76" t="str">
        <f aca="false">IF(B242="","",IFERROR(INDEX(Settings!$G$5:$G$10,MATCH(BJ242,Settings!$F$5:$F$10,0)),Settings!$G$5))</f>
        <v/>
      </c>
      <c r="BL242" s="82" t="str">
        <f aca="false">IF(I242="","",IFERROR(1/(1/INDEX(Lists!$C$6:$C$17,MATCH(I242,Lists!$B$6:$B$17,0))),""))</f>
        <v/>
      </c>
      <c r="BM242" s="81" t="str">
        <f aca="false">IF(I242="","",IFERROR(1/(1/INDEX(Lists!$D$6:$D$17,MATCH(I242,Lists!$B$6:$B$17,0))),""))</f>
        <v/>
      </c>
      <c r="BN242" s="76" t="str">
        <f aca="false">IF(AN242="","",MAX(BK242,_xlfn.MAXIFS(AN$6:AN242,BJ$6:BJ242,BJ242)))</f>
        <v/>
      </c>
      <c r="BO242" s="83" t="str">
        <f aca="false">IF(AN242="","",(AN242-BN242)/BN242)</f>
        <v/>
      </c>
      <c r="BP242" s="66" t="n">
        <f aca="false">IF(OR(B242="",AL242=""),0,IF(OR(Settings!$C$28="All Accounts",BJ242=Settings!$C$28),1,0))</f>
        <v>0</v>
      </c>
      <c r="BQ242" s="66" t="str">
        <f aca="false">IF(BP242=1,SUM(BP$6:BP242),"")</f>
        <v/>
      </c>
      <c r="BR242" s="76" t="str">
        <f aca="false">IF(BP242=1,ROUND(Settings!$C$29+SUMIFS(AM$6:AM242,BP$6:BP242,1),2),"")</f>
        <v/>
      </c>
      <c r="BS242" s="76" t="str">
        <f aca="false">IF(BP242=1,MAX(Settings!$C$29,MAX(BR$6:BR242)),"")</f>
        <v/>
      </c>
      <c r="BT242" s="83" t="str">
        <f aca="false">IF(BP242=1,(BR242-BS242)/BS242,"")</f>
        <v/>
      </c>
      <c r="BU242" s="66" t="str">
        <f aca="false">IF(BP242=1,IF(AL242="Win",1+IF(BQ242=1,0,INDEX(BU$5:BU241,MATCH(BQ242-1,BQ$5:BQ241,0))),0),"")</f>
        <v/>
      </c>
      <c r="BV242" s="66" t="str">
        <f aca="false">IF(BP242=1,IF(AL242="Loss",1+IF(BQ242=1,0,INDEX(BV$5:BV241,MATCH(BQ242-1,BQ$5:BQ241,0))),0),"")</f>
        <v/>
      </c>
    </row>
    <row r="243" customFormat="false" ht="15" hidden="false" customHeight="false" outlineLevel="0" collapsed="false">
      <c r="A243" s="66" t="str">
        <f aca="false">IF(B243="","",ROW()-5)</f>
        <v/>
      </c>
      <c r="B243" s="67"/>
      <c r="C243" s="68" t="str">
        <f aca="false">IF(B243="","",CHOOSE(WEEKDAY(B243,2),"Mon","Tue","Wed","Thu","Fri","Sat","Sun"))</f>
        <v/>
      </c>
      <c r="D243" s="66" t="str">
        <f aca="false">IF(B243="","",WEEKNUM(B243,2))</f>
        <v/>
      </c>
      <c r="E243" s="69"/>
      <c r="F243" s="69"/>
      <c r="G243" s="70"/>
      <c r="H243" s="70"/>
      <c r="I243" s="69"/>
      <c r="J243" s="69"/>
      <c r="K243" s="69"/>
      <c r="L243" s="71"/>
      <c r="M243" s="69"/>
      <c r="N243" s="69"/>
      <c r="O243" s="69"/>
      <c r="P243" s="71"/>
      <c r="Q243" s="69"/>
      <c r="R243" s="69"/>
      <c r="S243" s="69"/>
      <c r="T243" s="69"/>
      <c r="U243" s="69"/>
      <c r="V243" s="69"/>
      <c r="W243" s="69"/>
      <c r="X243" s="66" t="str">
        <f aca="false">IF(B243="","",COUNTIF(Q243:W243,"Yes"))</f>
        <v/>
      </c>
      <c r="Y243" s="68" t="str">
        <f aca="false">IF(B243="","",IF(X243&gt;=Settings!$C$16,"A+",IF(X243&gt;=Settings!$C$17,"A",IF(X243&gt;=Settings!$C$18,"B","C"))))</f>
        <v/>
      </c>
      <c r="Z243" s="72"/>
      <c r="AA243" s="72"/>
      <c r="AB243" s="72"/>
      <c r="AC243" s="72"/>
      <c r="AD243" s="72"/>
      <c r="AE243" s="72"/>
      <c r="AF243" s="73"/>
      <c r="AG243" s="74"/>
      <c r="AH243" s="75"/>
      <c r="AI243" s="76" t="str">
        <f aca="false">IF(B243="","",ROUND(IF(AG243="",Settings!$C$5,AG243)*AW243,2))</f>
        <v/>
      </c>
      <c r="AJ243" s="77" t="str">
        <f aca="false">IF(OR(B243="",AB243="",AC243="",AD243=""),"",IFERROR(ROUND(ABS(AD243-AB243)/ABS(AB243-AC243),2),""))</f>
        <v/>
      </c>
      <c r="AK243" s="78" t="str">
        <f aca="false">IF(OR(B243="",AB243="",AC243="",AE243=""),"",IFERROR(ROUND(IF(J243="Short",AB243-AE243,AE243-AB243)/ABS(AB243-AC243),2),""))</f>
        <v/>
      </c>
      <c r="AL243" s="68" t="str">
        <f aca="false">IF(AK243="","",IF(ABS(AK243)&lt;=Settings!$C$6,"BE",IF(AK243&gt;0,"Win","Loss")))</f>
        <v/>
      </c>
      <c r="AM243" s="79" t="str">
        <f aca="false">IF(OR(AK243="",AI243=""),"",ROUND(AK243*AI243-N(AH243),2))</f>
        <v/>
      </c>
      <c r="AN243" s="76" t="str">
        <f aca="false">IF(AM243="","",ROUND(BK243+SUMIFS(AM$6:AM243,BJ$6:BJ243,BJ243),2))</f>
        <v/>
      </c>
      <c r="AO243" s="78" t="str">
        <f aca="false">IF(AK243="","",ROUND(SUMIFS(AK$6:AK243,BJ$6:BJ243,BJ243),2))</f>
        <v/>
      </c>
      <c r="AP243" s="80" t="str">
        <f aca="false">IF(OR(AK243="",BL243=""),"",IFERROR(ROUND(IF(J243="Short",AB243-AE243,AE243-AB243)/BL243,1),""))</f>
        <v/>
      </c>
      <c r="AQ243" s="66" t="str">
        <f aca="false">IF(OR(G243="",H243=""),"",ROUND(MOD(H243-G243,1)*1440,0))</f>
        <v/>
      </c>
      <c r="AR243" s="68" t="str">
        <f aca="false">IF(AQ243="","",IF(AQ243&lt;15,"Under 15m",IF(AQ243&lt;60,"15-60m",IF(AQ243&lt;240,"1-4 hours","4+ hours"))))</f>
        <v/>
      </c>
      <c r="AS243" s="66" t="str">
        <f aca="false">IF(G243="","",HOUR(G243))</f>
        <v/>
      </c>
      <c r="AT243" s="80" t="str">
        <f aca="false">IF(OR(Z243="",AB243="",BL243=""),"",IFERROR(ROUND(IF(J243="Short",Z243-AB243,AB243-Z243)/BL243,1),""))</f>
        <v/>
      </c>
      <c r="AU243" s="68" t="str">
        <f aca="false">IF(OR(AA243="",AC243=""),"",IF(AA243=AC243,"No","Yes"))</f>
        <v/>
      </c>
      <c r="AV243" s="81" t="str">
        <f aca="false">IF(OR(B243="",BL243="",BM243="",AB243="",AC243=""),"",IFERROR(ROUND(AI243/(ABS(AB243-AC243)/BL243*BM243),2),""))</f>
        <v/>
      </c>
      <c r="AW243" s="76" t="str">
        <f aca="false">IF(B243="","",ROUND(BK243+SUMIFS(AM$5:AM242,BJ$5:BJ242,BJ243),2))</f>
        <v/>
      </c>
      <c r="AX243" s="66" t="str">
        <f aca="false">IF(B243="","",COUNTIFS(B$6:B243,B243,BJ$6:BJ243,BJ243))</f>
        <v/>
      </c>
      <c r="AY243" s="79" t="str">
        <f aca="false">IF(B243="","",ROUND(SUMIFS(AM$5:AM242,B$5:B242,B243,BJ$5:BJ242,BJ243),2))</f>
        <v/>
      </c>
      <c r="AZ243" s="79" t="str">
        <f aca="false">IF(AM243="","",ROUND(AY243+AM243,2))</f>
        <v/>
      </c>
      <c r="BA243" s="79" t="str">
        <f aca="false">IF(B243="","",ROUND(SUMIFS(AM$5:AM242,B$5:B242,"&gt;="&amp;(B243-WEEKDAY(B243,2)+1),B$5:B242,"&lt;="&amp;B243,BJ$5:BJ242,BJ243),2))</f>
        <v/>
      </c>
      <c r="BB243" s="68" t="str">
        <f aca="false">IF(B243="","",IF(AND(AF243&lt;&gt;"",AV243&lt;&gt;"",N(AF243)&gt;N(AV243)*(1+Settings!$C$13)),"Oversized",IF(AX243&gt;Settings!$C$10,"Overtraded",IF(AY243&lt;=-Settings!$C$11*(AW243-AY243),"Daily loss hit",IF(BA243&lt;=-Settings!$C$12*(AW243-BA243),"Weekly loss hit","OK")))))</f>
        <v/>
      </c>
      <c r="BC243" s="69"/>
      <c r="BD243" s="69"/>
      <c r="BE243" s="69"/>
      <c r="BF243" s="73"/>
      <c r="BG243" s="73"/>
      <c r="BH243" s="71"/>
      <c r="BI243" s="71"/>
      <c r="BJ243" s="68" t="str">
        <f aca="false">IF(B243="","",IF(E243="",Settings!$F$5,E243))</f>
        <v/>
      </c>
      <c r="BK243" s="76" t="str">
        <f aca="false">IF(B243="","",IFERROR(INDEX(Settings!$G$5:$G$10,MATCH(BJ243,Settings!$F$5:$F$10,0)),Settings!$G$5))</f>
        <v/>
      </c>
      <c r="BL243" s="82" t="str">
        <f aca="false">IF(I243="","",IFERROR(1/(1/INDEX(Lists!$C$6:$C$17,MATCH(I243,Lists!$B$6:$B$17,0))),""))</f>
        <v/>
      </c>
      <c r="BM243" s="81" t="str">
        <f aca="false">IF(I243="","",IFERROR(1/(1/INDEX(Lists!$D$6:$D$17,MATCH(I243,Lists!$B$6:$B$17,0))),""))</f>
        <v/>
      </c>
      <c r="BN243" s="76" t="str">
        <f aca="false">IF(AN243="","",MAX(BK243,_xlfn.MAXIFS(AN$6:AN243,BJ$6:BJ243,BJ243)))</f>
        <v/>
      </c>
      <c r="BO243" s="83" t="str">
        <f aca="false">IF(AN243="","",(AN243-BN243)/BN243)</f>
        <v/>
      </c>
      <c r="BP243" s="66" t="n">
        <f aca="false">IF(OR(B243="",AL243=""),0,IF(OR(Settings!$C$28="All Accounts",BJ243=Settings!$C$28),1,0))</f>
        <v>0</v>
      </c>
      <c r="BQ243" s="66" t="str">
        <f aca="false">IF(BP243=1,SUM(BP$6:BP243),"")</f>
        <v/>
      </c>
      <c r="BR243" s="76" t="str">
        <f aca="false">IF(BP243=1,ROUND(Settings!$C$29+SUMIFS(AM$6:AM243,BP$6:BP243,1),2),"")</f>
        <v/>
      </c>
      <c r="BS243" s="76" t="str">
        <f aca="false">IF(BP243=1,MAX(Settings!$C$29,MAX(BR$6:BR243)),"")</f>
        <v/>
      </c>
      <c r="BT243" s="83" t="str">
        <f aca="false">IF(BP243=1,(BR243-BS243)/BS243,"")</f>
        <v/>
      </c>
      <c r="BU243" s="66" t="str">
        <f aca="false">IF(BP243=1,IF(AL243="Win",1+IF(BQ243=1,0,INDEX(BU$5:BU242,MATCH(BQ243-1,BQ$5:BQ242,0))),0),"")</f>
        <v/>
      </c>
      <c r="BV243" s="66" t="str">
        <f aca="false">IF(BP243=1,IF(AL243="Loss",1+IF(BQ243=1,0,INDEX(BV$5:BV242,MATCH(BQ243-1,BQ$5:BQ242,0))),0),"")</f>
        <v/>
      </c>
    </row>
    <row r="244" customFormat="false" ht="15" hidden="false" customHeight="false" outlineLevel="0" collapsed="false">
      <c r="A244" s="66" t="str">
        <f aca="false">IF(B244="","",ROW()-5)</f>
        <v/>
      </c>
      <c r="B244" s="67"/>
      <c r="C244" s="68" t="str">
        <f aca="false">IF(B244="","",CHOOSE(WEEKDAY(B244,2),"Mon","Tue","Wed","Thu","Fri","Sat","Sun"))</f>
        <v/>
      </c>
      <c r="D244" s="66" t="str">
        <f aca="false">IF(B244="","",WEEKNUM(B244,2))</f>
        <v/>
      </c>
      <c r="E244" s="69"/>
      <c r="F244" s="69"/>
      <c r="G244" s="70"/>
      <c r="H244" s="70"/>
      <c r="I244" s="69"/>
      <c r="J244" s="69"/>
      <c r="K244" s="69"/>
      <c r="L244" s="71"/>
      <c r="M244" s="69"/>
      <c r="N244" s="69"/>
      <c r="O244" s="69"/>
      <c r="P244" s="71"/>
      <c r="Q244" s="69"/>
      <c r="R244" s="69"/>
      <c r="S244" s="69"/>
      <c r="T244" s="69"/>
      <c r="U244" s="69"/>
      <c r="V244" s="69"/>
      <c r="W244" s="69"/>
      <c r="X244" s="66" t="str">
        <f aca="false">IF(B244="","",COUNTIF(Q244:W244,"Yes"))</f>
        <v/>
      </c>
      <c r="Y244" s="68" t="str">
        <f aca="false">IF(B244="","",IF(X244&gt;=Settings!$C$16,"A+",IF(X244&gt;=Settings!$C$17,"A",IF(X244&gt;=Settings!$C$18,"B","C"))))</f>
        <v/>
      </c>
      <c r="Z244" s="72"/>
      <c r="AA244" s="72"/>
      <c r="AB244" s="72"/>
      <c r="AC244" s="72"/>
      <c r="AD244" s="72"/>
      <c r="AE244" s="72"/>
      <c r="AF244" s="73"/>
      <c r="AG244" s="74"/>
      <c r="AH244" s="75"/>
      <c r="AI244" s="76" t="str">
        <f aca="false">IF(B244="","",ROUND(IF(AG244="",Settings!$C$5,AG244)*AW244,2))</f>
        <v/>
      </c>
      <c r="AJ244" s="77" t="str">
        <f aca="false">IF(OR(B244="",AB244="",AC244="",AD244=""),"",IFERROR(ROUND(ABS(AD244-AB244)/ABS(AB244-AC244),2),""))</f>
        <v/>
      </c>
      <c r="AK244" s="78" t="str">
        <f aca="false">IF(OR(B244="",AB244="",AC244="",AE244=""),"",IFERROR(ROUND(IF(J244="Short",AB244-AE244,AE244-AB244)/ABS(AB244-AC244),2),""))</f>
        <v/>
      </c>
      <c r="AL244" s="68" t="str">
        <f aca="false">IF(AK244="","",IF(ABS(AK244)&lt;=Settings!$C$6,"BE",IF(AK244&gt;0,"Win","Loss")))</f>
        <v/>
      </c>
      <c r="AM244" s="79" t="str">
        <f aca="false">IF(OR(AK244="",AI244=""),"",ROUND(AK244*AI244-N(AH244),2))</f>
        <v/>
      </c>
      <c r="AN244" s="76" t="str">
        <f aca="false">IF(AM244="","",ROUND(BK244+SUMIFS(AM$6:AM244,BJ$6:BJ244,BJ244),2))</f>
        <v/>
      </c>
      <c r="AO244" s="78" t="str">
        <f aca="false">IF(AK244="","",ROUND(SUMIFS(AK$6:AK244,BJ$6:BJ244,BJ244),2))</f>
        <v/>
      </c>
      <c r="AP244" s="80" t="str">
        <f aca="false">IF(OR(AK244="",BL244=""),"",IFERROR(ROUND(IF(J244="Short",AB244-AE244,AE244-AB244)/BL244,1),""))</f>
        <v/>
      </c>
      <c r="AQ244" s="66" t="str">
        <f aca="false">IF(OR(G244="",H244=""),"",ROUND(MOD(H244-G244,1)*1440,0))</f>
        <v/>
      </c>
      <c r="AR244" s="68" t="str">
        <f aca="false">IF(AQ244="","",IF(AQ244&lt;15,"Under 15m",IF(AQ244&lt;60,"15-60m",IF(AQ244&lt;240,"1-4 hours","4+ hours"))))</f>
        <v/>
      </c>
      <c r="AS244" s="66" t="str">
        <f aca="false">IF(G244="","",HOUR(G244))</f>
        <v/>
      </c>
      <c r="AT244" s="80" t="str">
        <f aca="false">IF(OR(Z244="",AB244="",BL244=""),"",IFERROR(ROUND(IF(J244="Short",Z244-AB244,AB244-Z244)/BL244,1),""))</f>
        <v/>
      </c>
      <c r="AU244" s="68" t="str">
        <f aca="false">IF(OR(AA244="",AC244=""),"",IF(AA244=AC244,"No","Yes"))</f>
        <v/>
      </c>
      <c r="AV244" s="81" t="str">
        <f aca="false">IF(OR(B244="",BL244="",BM244="",AB244="",AC244=""),"",IFERROR(ROUND(AI244/(ABS(AB244-AC244)/BL244*BM244),2),""))</f>
        <v/>
      </c>
      <c r="AW244" s="76" t="str">
        <f aca="false">IF(B244="","",ROUND(BK244+SUMIFS(AM$5:AM243,BJ$5:BJ243,BJ244),2))</f>
        <v/>
      </c>
      <c r="AX244" s="66" t="str">
        <f aca="false">IF(B244="","",COUNTIFS(B$6:B244,B244,BJ$6:BJ244,BJ244))</f>
        <v/>
      </c>
      <c r="AY244" s="79" t="str">
        <f aca="false">IF(B244="","",ROUND(SUMIFS(AM$5:AM243,B$5:B243,B244,BJ$5:BJ243,BJ244),2))</f>
        <v/>
      </c>
      <c r="AZ244" s="79" t="str">
        <f aca="false">IF(AM244="","",ROUND(AY244+AM244,2))</f>
        <v/>
      </c>
      <c r="BA244" s="79" t="str">
        <f aca="false">IF(B244="","",ROUND(SUMIFS(AM$5:AM243,B$5:B243,"&gt;="&amp;(B244-WEEKDAY(B244,2)+1),B$5:B243,"&lt;="&amp;B244,BJ$5:BJ243,BJ244),2))</f>
        <v/>
      </c>
      <c r="BB244" s="68" t="str">
        <f aca="false">IF(B244="","",IF(AND(AF244&lt;&gt;"",AV244&lt;&gt;"",N(AF244)&gt;N(AV244)*(1+Settings!$C$13)),"Oversized",IF(AX244&gt;Settings!$C$10,"Overtraded",IF(AY244&lt;=-Settings!$C$11*(AW244-AY244),"Daily loss hit",IF(BA244&lt;=-Settings!$C$12*(AW244-BA244),"Weekly loss hit","OK")))))</f>
        <v/>
      </c>
      <c r="BC244" s="69"/>
      <c r="BD244" s="69"/>
      <c r="BE244" s="69"/>
      <c r="BF244" s="73"/>
      <c r="BG244" s="73"/>
      <c r="BH244" s="71"/>
      <c r="BI244" s="71"/>
      <c r="BJ244" s="68" t="str">
        <f aca="false">IF(B244="","",IF(E244="",Settings!$F$5,E244))</f>
        <v/>
      </c>
      <c r="BK244" s="76" t="str">
        <f aca="false">IF(B244="","",IFERROR(INDEX(Settings!$G$5:$G$10,MATCH(BJ244,Settings!$F$5:$F$10,0)),Settings!$G$5))</f>
        <v/>
      </c>
      <c r="BL244" s="82" t="str">
        <f aca="false">IF(I244="","",IFERROR(1/(1/INDEX(Lists!$C$6:$C$17,MATCH(I244,Lists!$B$6:$B$17,0))),""))</f>
        <v/>
      </c>
      <c r="BM244" s="81" t="str">
        <f aca="false">IF(I244="","",IFERROR(1/(1/INDEX(Lists!$D$6:$D$17,MATCH(I244,Lists!$B$6:$B$17,0))),""))</f>
        <v/>
      </c>
      <c r="BN244" s="76" t="str">
        <f aca="false">IF(AN244="","",MAX(BK244,_xlfn.MAXIFS(AN$6:AN244,BJ$6:BJ244,BJ244)))</f>
        <v/>
      </c>
      <c r="BO244" s="83" t="str">
        <f aca="false">IF(AN244="","",(AN244-BN244)/BN244)</f>
        <v/>
      </c>
      <c r="BP244" s="66" t="n">
        <f aca="false">IF(OR(B244="",AL244=""),0,IF(OR(Settings!$C$28="All Accounts",BJ244=Settings!$C$28),1,0))</f>
        <v>0</v>
      </c>
      <c r="BQ244" s="66" t="str">
        <f aca="false">IF(BP244=1,SUM(BP$6:BP244),"")</f>
        <v/>
      </c>
      <c r="BR244" s="76" t="str">
        <f aca="false">IF(BP244=1,ROUND(Settings!$C$29+SUMIFS(AM$6:AM244,BP$6:BP244,1),2),"")</f>
        <v/>
      </c>
      <c r="BS244" s="76" t="str">
        <f aca="false">IF(BP244=1,MAX(Settings!$C$29,MAX(BR$6:BR244)),"")</f>
        <v/>
      </c>
      <c r="BT244" s="83" t="str">
        <f aca="false">IF(BP244=1,(BR244-BS244)/BS244,"")</f>
        <v/>
      </c>
      <c r="BU244" s="66" t="str">
        <f aca="false">IF(BP244=1,IF(AL244="Win",1+IF(BQ244=1,0,INDEX(BU$5:BU243,MATCH(BQ244-1,BQ$5:BQ243,0))),0),"")</f>
        <v/>
      </c>
      <c r="BV244" s="66" t="str">
        <f aca="false">IF(BP244=1,IF(AL244="Loss",1+IF(BQ244=1,0,INDEX(BV$5:BV243,MATCH(BQ244-1,BQ$5:BQ243,0))),0),"")</f>
        <v/>
      </c>
    </row>
    <row r="245" customFormat="false" ht="15" hidden="false" customHeight="false" outlineLevel="0" collapsed="false">
      <c r="A245" s="66" t="str">
        <f aca="false">IF(B245="","",ROW()-5)</f>
        <v/>
      </c>
      <c r="B245" s="67"/>
      <c r="C245" s="68" t="str">
        <f aca="false">IF(B245="","",CHOOSE(WEEKDAY(B245,2),"Mon","Tue","Wed","Thu","Fri","Sat","Sun"))</f>
        <v/>
      </c>
      <c r="D245" s="66" t="str">
        <f aca="false">IF(B245="","",WEEKNUM(B245,2))</f>
        <v/>
      </c>
      <c r="E245" s="69"/>
      <c r="F245" s="69"/>
      <c r="G245" s="70"/>
      <c r="H245" s="70"/>
      <c r="I245" s="69"/>
      <c r="J245" s="69"/>
      <c r="K245" s="69"/>
      <c r="L245" s="71"/>
      <c r="M245" s="69"/>
      <c r="N245" s="69"/>
      <c r="O245" s="69"/>
      <c r="P245" s="71"/>
      <c r="Q245" s="69"/>
      <c r="R245" s="69"/>
      <c r="S245" s="69"/>
      <c r="T245" s="69"/>
      <c r="U245" s="69"/>
      <c r="V245" s="69"/>
      <c r="W245" s="69"/>
      <c r="X245" s="66" t="str">
        <f aca="false">IF(B245="","",COUNTIF(Q245:W245,"Yes"))</f>
        <v/>
      </c>
      <c r="Y245" s="68" t="str">
        <f aca="false">IF(B245="","",IF(X245&gt;=Settings!$C$16,"A+",IF(X245&gt;=Settings!$C$17,"A",IF(X245&gt;=Settings!$C$18,"B","C"))))</f>
        <v/>
      </c>
      <c r="Z245" s="72"/>
      <c r="AA245" s="72"/>
      <c r="AB245" s="72"/>
      <c r="AC245" s="72"/>
      <c r="AD245" s="72"/>
      <c r="AE245" s="72"/>
      <c r="AF245" s="73"/>
      <c r="AG245" s="74"/>
      <c r="AH245" s="75"/>
      <c r="AI245" s="76" t="str">
        <f aca="false">IF(B245="","",ROUND(IF(AG245="",Settings!$C$5,AG245)*AW245,2))</f>
        <v/>
      </c>
      <c r="AJ245" s="77" t="str">
        <f aca="false">IF(OR(B245="",AB245="",AC245="",AD245=""),"",IFERROR(ROUND(ABS(AD245-AB245)/ABS(AB245-AC245),2),""))</f>
        <v/>
      </c>
      <c r="AK245" s="78" t="str">
        <f aca="false">IF(OR(B245="",AB245="",AC245="",AE245=""),"",IFERROR(ROUND(IF(J245="Short",AB245-AE245,AE245-AB245)/ABS(AB245-AC245),2),""))</f>
        <v/>
      </c>
      <c r="AL245" s="68" t="str">
        <f aca="false">IF(AK245="","",IF(ABS(AK245)&lt;=Settings!$C$6,"BE",IF(AK245&gt;0,"Win","Loss")))</f>
        <v/>
      </c>
      <c r="AM245" s="79" t="str">
        <f aca="false">IF(OR(AK245="",AI245=""),"",ROUND(AK245*AI245-N(AH245),2))</f>
        <v/>
      </c>
      <c r="AN245" s="76" t="str">
        <f aca="false">IF(AM245="","",ROUND(BK245+SUMIFS(AM$6:AM245,BJ$6:BJ245,BJ245),2))</f>
        <v/>
      </c>
      <c r="AO245" s="78" t="str">
        <f aca="false">IF(AK245="","",ROUND(SUMIFS(AK$6:AK245,BJ$6:BJ245,BJ245),2))</f>
        <v/>
      </c>
      <c r="AP245" s="80" t="str">
        <f aca="false">IF(OR(AK245="",BL245=""),"",IFERROR(ROUND(IF(J245="Short",AB245-AE245,AE245-AB245)/BL245,1),""))</f>
        <v/>
      </c>
      <c r="AQ245" s="66" t="str">
        <f aca="false">IF(OR(G245="",H245=""),"",ROUND(MOD(H245-G245,1)*1440,0))</f>
        <v/>
      </c>
      <c r="AR245" s="68" t="str">
        <f aca="false">IF(AQ245="","",IF(AQ245&lt;15,"Under 15m",IF(AQ245&lt;60,"15-60m",IF(AQ245&lt;240,"1-4 hours","4+ hours"))))</f>
        <v/>
      </c>
      <c r="AS245" s="66" t="str">
        <f aca="false">IF(G245="","",HOUR(G245))</f>
        <v/>
      </c>
      <c r="AT245" s="80" t="str">
        <f aca="false">IF(OR(Z245="",AB245="",BL245=""),"",IFERROR(ROUND(IF(J245="Short",Z245-AB245,AB245-Z245)/BL245,1),""))</f>
        <v/>
      </c>
      <c r="AU245" s="68" t="str">
        <f aca="false">IF(OR(AA245="",AC245=""),"",IF(AA245=AC245,"No","Yes"))</f>
        <v/>
      </c>
      <c r="AV245" s="81" t="str">
        <f aca="false">IF(OR(B245="",BL245="",BM245="",AB245="",AC245=""),"",IFERROR(ROUND(AI245/(ABS(AB245-AC245)/BL245*BM245),2),""))</f>
        <v/>
      </c>
      <c r="AW245" s="76" t="str">
        <f aca="false">IF(B245="","",ROUND(BK245+SUMIFS(AM$5:AM244,BJ$5:BJ244,BJ245),2))</f>
        <v/>
      </c>
      <c r="AX245" s="66" t="str">
        <f aca="false">IF(B245="","",COUNTIFS(B$6:B245,B245,BJ$6:BJ245,BJ245))</f>
        <v/>
      </c>
      <c r="AY245" s="79" t="str">
        <f aca="false">IF(B245="","",ROUND(SUMIFS(AM$5:AM244,B$5:B244,B245,BJ$5:BJ244,BJ245),2))</f>
        <v/>
      </c>
      <c r="AZ245" s="79" t="str">
        <f aca="false">IF(AM245="","",ROUND(AY245+AM245,2))</f>
        <v/>
      </c>
      <c r="BA245" s="79" t="str">
        <f aca="false">IF(B245="","",ROUND(SUMIFS(AM$5:AM244,B$5:B244,"&gt;="&amp;(B245-WEEKDAY(B245,2)+1),B$5:B244,"&lt;="&amp;B245,BJ$5:BJ244,BJ245),2))</f>
        <v/>
      </c>
      <c r="BB245" s="68" t="str">
        <f aca="false">IF(B245="","",IF(AND(AF245&lt;&gt;"",AV245&lt;&gt;"",N(AF245)&gt;N(AV245)*(1+Settings!$C$13)),"Oversized",IF(AX245&gt;Settings!$C$10,"Overtraded",IF(AY245&lt;=-Settings!$C$11*(AW245-AY245),"Daily loss hit",IF(BA245&lt;=-Settings!$C$12*(AW245-BA245),"Weekly loss hit","OK")))))</f>
        <v/>
      </c>
      <c r="BC245" s="69"/>
      <c r="BD245" s="69"/>
      <c r="BE245" s="69"/>
      <c r="BF245" s="73"/>
      <c r="BG245" s="73"/>
      <c r="BH245" s="71"/>
      <c r="BI245" s="71"/>
      <c r="BJ245" s="68" t="str">
        <f aca="false">IF(B245="","",IF(E245="",Settings!$F$5,E245))</f>
        <v/>
      </c>
      <c r="BK245" s="76" t="str">
        <f aca="false">IF(B245="","",IFERROR(INDEX(Settings!$G$5:$G$10,MATCH(BJ245,Settings!$F$5:$F$10,0)),Settings!$G$5))</f>
        <v/>
      </c>
      <c r="BL245" s="82" t="str">
        <f aca="false">IF(I245="","",IFERROR(1/(1/INDEX(Lists!$C$6:$C$17,MATCH(I245,Lists!$B$6:$B$17,0))),""))</f>
        <v/>
      </c>
      <c r="BM245" s="81" t="str">
        <f aca="false">IF(I245="","",IFERROR(1/(1/INDEX(Lists!$D$6:$D$17,MATCH(I245,Lists!$B$6:$B$17,0))),""))</f>
        <v/>
      </c>
      <c r="BN245" s="76" t="str">
        <f aca="false">IF(AN245="","",MAX(BK245,_xlfn.MAXIFS(AN$6:AN245,BJ$6:BJ245,BJ245)))</f>
        <v/>
      </c>
      <c r="BO245" s="83" t="str">
        <f aca="false">IF(AN245="","",(AN245-BN245)/BN245)</f>
        <v/>
      </c>
      <c r="BP245" s="66" t="n">
        <f aca="false">IF(OR(B245="",AL245=""),0,IF(OR(Settings!$C$28="All Accounts",BJ245=Settings!$C$28),1,0))</f>
        <v>0</v>
      </c>
      <c r="BQ245" s="66" t="str">
        <f aca="false">IF(BP245=1,SUM(BP$6:BP245),"")</f>
        <v/>
      </c>
      <c r="BR245" s="76" t="str">
        <f aca="false">IF(BP245=1,ROUND(Settings!$C$29+SUMIFS(AM$6:AM245,BP$6:BP245,1),2),"")</f>
        <v/>
      </c>
      <c r="BS245" s="76" t="str">
        <f aca="false">IF(BP245=1,MAX(Settings!$C$29,MAX(BR$6:BR245)),"")</f>
        <v/>
      </c>
      <c r="BT245" s="83" t="str">
        <f aca="false">IF(BP245=1,(BR245-BS245)/BS245,"")</f>
        <v/>
      </c>
      <c r="BU245" s="66" t="str">
        <f aca="false">IF(BP245=1,IF(AL245="Win",1+IF(BQ245=1,0,INDEX(BU$5:BU244,MATCH(BQ245-1,BQ$5:BQ244,0))),0),"")</f>
        <v/>
      </c>
      <c r="BV245" s="66" t="str">
        <f aca="false">IF(BP245=1,IF(AL245="Loss",1+IF(BQ245=1,0,INDEX(BV$5:BV244,MATCH(BQ245-1,BQ$5:BQ244,0))),0),"")</f>
        <v/>
      </c>
    </row>
    <row r="246" customFormat="false" ht="15" hidden="false" customHeight="false" outlineLevel="0" collapsed="false">
      <c r="A246" s="66" t="str">
        <f aca="false">IF(B246="","",ROW()-5)</f>
        <v/>
      </c>
      <c r="B246" s="67"/>
      <c r="C246" s="68" t="str">
        <f aca="false">IF(B246="","",CHOOSE(WEEKDAY(B246,2),"Mon","Tue","Wed","Thu","Fri","Sat","Sun"))</f>
        <v/>
      </c>
      <c r="D246" s="66" t="str">
        <f aca="false">IF(B246="","",WEEKNUM(B246,2))</f>
        <v/>
      </c>
      <c r="E246" s="69"/>
      <c r="F246" s="69"/>
      <c r="G246" s="70"/>
      <c r="H246" s="70"/>
      <c r="I246" s="69"/>
      <c r="J246" s="69"/>
      <c r="K246" s="69"/>
      <c r="L246" s="71"/>
      <c r="M246" s="69"/>
      <c r="N246" s="69"/>
      <c r="O246" s="69"/>
      <c r="P246" s="71"/>
      <c r="Q246" s="69"/>
      <c r="R246" s="69"/>
      <c r="S246" s="69"/>
      <c r="T246" s="69"/>
      <c r="U246" s="69"/>
      <c r="V246" s="69"/>
      <c r="W246" s="69"/>
      <c r="X246" s="66" t="str">
        <f aca="false">IF(B246="","",COUNTIF(Q246:W246,"Yes"))</f>
        <v/>
      </c>
      <c r="Y246" s="68" t="str">
        <f aca="false">IF(B246="","",IF(X246&gt;=Settings!$C$16,"A+",IF(X246&gt;=Settings!$C$17,"A",IF(X246&gt;=Settings!$C$18,"B","C"))))</f>
        <v/>
      </c>
      <c r="Z246" s="72"/>
      <c r="AA246" s="72"/>
      <c r="AB246" s="72"/>
      <c r="AC246" s="72"/>
      <c r="AD246" s="72"/>
      <c r="AE246" s="72"/>
      <c r="AF246" s="73"/>
      <c r="AG246" s="74"/>
      <c r="AH246" s="75"/>
      <c r="AI246" s="76" t="str">
        <f aca="false">IF(B246="","",ROUND(IF(AG246="",Settings!$C$5,AG246)*AW246,2))</f>
        <v/>
      </c>
      <c r="AJ246" s="77" t="str">
        <f aca="false">IF(OR(B246="",AB246="",AC246="",AD246=""),"",IFERROR(ROUND(ABS(AD246-AB246)/ABS(AB246-AC246),2),""))</f>
        <v/>
      </c>
      <c r="AK246" s="78" t="str">
        <f aca="false">IF(OR(B246="",AB246="",AC246="",AE246=""),"",IFERROR(ROUND(IF(J246="Short",AB246-AE246,AE246-AB246)/ABS(AB246-AC246),2),""))</f>
        <v/>
      </c>
      <c r="AL246" s="68" t="str">
        <f aca="false">IF(AK246="","",IF(ABS(AK246)&lt;=Settings!$C$6,"BE",IF(AK246&gt;0,"Win","Loss")))</f>
        <v/>
      </c>
      <c r="AM246" s="79" t="str">
        <f aca="false">IF(OR(AK246="",AI246=""),"",ROUND(AK246*AI246-N(AH246),2))</f>
        <v/>
      </c>
      <c r="AN246" s="76" t="str">
        <f aca="false">IF(AM246="","",ROUND(BK246+SUMIFS(AM$6:AM246,BJ$6:BJ246,BJ246),2))</f>
        <v/>
      </c>
      <c r="AO246" s="78" t="str">
        <f aca="false">IF(AK246="","",ROUND(SUMIFS(AK$6:AK246,BJ$6:BJ246,BJ246),2))</f>
        <v/>
      </c>
      <c r="AP246" s="80" t="str">
        <f aca="false">IF(OR(AK246="",BL246=""),"",IFERROR(ROUND(IF(J246="Short",AB246-AE246,AE246-AB246)/BL246,1),""))</f>
        <v/>
      </c>
      <c r="AQ246" s="66" t="str">
        <f aca="false">IF(OR(G246="",H246=""),"",ROUND(MOD(H246-G246,1)*1440,0))</f>
        <v/>
      </c>
      <c r="AR246" s="68" t="str">
        <f aca="false">IF(AQ246="","",IF(AQ246&lt;15,"Under 15m",IF(AQ246&lt;60,"15-60m",IF(AQ246&lt;240,"1-4 hours","4+ hours"))))</f>
        <v/>
      </c>
      <c r="AS246" s="66" t="str">
        <f aca="false">IF(G246="","",HOUR(G246))</f>
        <v/>
      </c>
      <c r="AT246" s="80" t="str">
        <f aca="false">IF(OR(Z246="",AB246="",BL246=""),"",IFERROR(ROUND(IF(J246="Short",Z246-AB246,AB246-Z246)/BL246,1),""))</f>
        <v/>
      </c>
      <c r="AU246" s="68" t="str">
        <f aca="false">IF(OR(AA246="",AC246=""),"",IF(AA246=AC246,"No","Yes"))</f>
        <v/>
      </c>
      <c r="AV246" s="81" t="str">
        <f aca="false">IF(OR(B246="",BL246="",BM246="",AB246="",AC246=""),"",IFERROR(ROUND(AI246/(ABS(AB246-AC246)/BL246*BM246),2),""))</f>
        <v/>
      </c>
      <c r="AW246" s="76" t="str">
        <f aca="false">IF(B246="","",ROUND(BK246+SUMIFS(AM$5:AM245,BJ$5:BJ245,BJ246),2))</f>
        <v/>
      </c>
      <c r="AX246" s="66" t="str">
        <f aca="false">IF(B246="","",COUNTIFS(B$6:B246,B246,BJ$6:BJ246,BJ246))</f>
        <v/>
      </c>
      <c r="AY246" s="79" t="str">
        <f aca="false">IF(B246="","",ROUND(SUMIFS(AM$5:AM245,B$5:B245,B246,BJ$5:BJ245,BJ246),2))</f>
        <v/>
      </c>
      <c r="AZ246" s="79" t="str">
        <f aca="false">IF(AM246="","",ROUND(AY246+AM246,2))</f>
        <v/>
      </c>
      <c r="BA246" s="79" t="str">
        <f aca="false">IF(B246="","",ROUND(SUMIFS(AM$5:AM245,B$5:B245,"&gt;="&amp;(B246-WEEKDAY(B246,2)+1),B$5:B245,"&lt;="&amp;B246,BJ$5:BJ245,BJ246),2))</f>
        <v/>
      </c>
      <c r="BB246" s="68" t="str">
        <f aca="false">IF(B246="","",IF(AND(AF246&lt;&gt;"",AV246&lt;&gt;"",N(AF246)&gt;N(AV246)*(1+Settings!$C$13)),"Oversized",IF(AX246&gt;Settings!$C$10,"Overtraded",IF(AY246&lt;=-Settings!$C$11*(AW246-AY246),"Daily loss hit",IF(BA246&lt;=-Settings!$C$12*(AW246-BA246),"Weekly loss hit","OK")))))</f>
        <v/>
      </c>
      <c r="BC246" s="69"/>
      <c r="BD246" s="69"/>
      <c r="BE246" s="69"/>
      <c r="BF246" s="73"/>
      <c r="BG246" s="73"/>
      <c r="BH246" s="71"/>
      <c r="BI246" s="71"/>
      <c r="BJ246" s="68" t="str">
        <f aca="false">IF(B246="","",IF(E246="",Settings!$F$5,E246))</f>
        <v/>
      </c>
      <c r="BK246" s="76" t="str">
        <f aca="false">IF(B246="","",IFERROR(INDEX(Settings!$G$5:$G$10,MATCH(BJ246,Settings!$F$5:$F$10,0)),Settings!$G$5))</f>
        <v/>
      </c>
      <c r="BL246" s="82" t="str">
        <f aca="false">IF(I246="","",IFERROR(1/(1/INDEX(Lists!$C$6:$C$17,MATCH(I246,Lists!$B$6:$B$17,0))),""))</f>
        <v/>
      </c>
      <c r="BM246" s="81" t="str">
        <f aca="false">IF(I246="","",IFERROR(1/(1/INDEX(Lists!$D$6:$D$17,MATCH(I246,Lists!$B$6:$B$17,0))),""))</f>
        <v/>
      </c>
      <c r="BN246" s="76" t="str">
        <f aca="false">IF(AN246="","",MAX(BK246,_xlfn.MAXIFS(AN$6:AN246,BJ$6:BJ246,BJ246)))</f>
        <v/>
      </c>
      <c r="BO246" s="83" t="str">
        <f aca="false">IF(AN246="","",(AN246-BN246)/BN246)</f>
        <v/>
      </c>
      <c r="BP246" s="66" t="n">
        <f aca="false">IF(OR(B246="",AL246=""),0,IF(OR(Settings!$C$28="All Accounts",BJ246=Settings!$C$28),1,0))</f>
        <v>0</v>
      </c>
      <c r="BQ246" s="66" t="str">
        <f aca="false">IF(BP246=1,SUM(BP$6:BP246),"")</f>
        <v/>
      </c>
      <c r="BR246" s="76" t="str">
        <f aca="false">IF(BP246=1,ROUND(Settings!$C$29+SUMIFS(AM$6:AM246,BP$6:BP246,1),2),"")</f>
        <v/>
      </c>
      <c r="BS246" s="76" t="str">
        <f aca="false">IF(BP246=1,MAX(Settings!$C$29,MAX(BR$6:BR246)),"")</f>
        <v/>
      </c>
      <c r="BT246" s="83" t="str">
        <f aca="false">IF(BP246=1,(BR246-BS246)/BS246,"")</f>
        <v/>
      </c>
      <c r="BU246" s="66" t="str">
        <f aca="false">IF(BP246=1,IF(AL246="Win",1+IF(BQ246=1,0,INDEX(BU$5:BU245,MATCH(BQ246-1,BQ$5:BQ245,0))),0),"")</f>
        <v/>
      </c>
      <c r="BV246" s="66" t="str">
        <f aca="false">IF(BP246=1,IF(AL246="Loss",1+IF(BQ246=1,0,INDEX(BV$5:BV245,MATCH(BQ246-1,BQ$5:BQ245,0))),0),"")</f>
        <v/>
      </c>
    </row>
    <row r="247" customFormat="false" ht="15" hidden="false" customHeight="false" outlineLevel="0" collapsed="false">
      <c r="A247" s="66" t="str">
        <f aca="false">IF(B247="","",ROW()-5)</f>
        <v/>
      </c>
      <c r="B247" s="67"/>
      <c r="C247" s="68" t="str">
        <f aca="false">IF(B247="","",CHOOSE(WEEKDAY(B247,2),"Mon","Tue","Wed","Thu","Fri","Sat","Sun"))</f>
        <v/>
      </c>
      <c r="D247" s="66" t="str">
        <f aca="false">IF(B247="","",WEEKNUM(B247,2))</f>
        <v/>
      </c>
      <c r="E247" s="69"/>
      <c r="F247" s="69"/>
      <c r="G247" s="70"/>
      <c r="H247" s="70"/>
      <c r="I247" s="69"/>
      <c r="J247" s="69"/>
      <c r="K247" s="69"/>
      <c r="L247" s="71"/>
      <c r="M247" s="69"/>
      <c r="N247" s="69"/>
      <c r="O247" s="69"/>
      <c r="P247" s="71"/>
      <c r="Q247" s="69"/>
      <c r="R247" s="69"/>
      <c r="S247" s="69"/>
      <c r="T247" s="69"/>
      <c r="U247" s="69"/>
      <c r="V247" s="69"/>
      <c r="W247" s="69"/>
      <c r="X247" s="66" t="str">
        <f aca="false">IF(B247="","",COUNTIF(Q247:W247,"Yes"))</f>
        <v/>
      </c>
      <c r="Y247" s="68" t="str">
        <f aca="false">IF(B247="","",IF(X247&gt;=Settings!$C$16,"A+",IF(X247&gt;=Settings!$C$17,"A",IF(X247&gt;=Settings!$C$18,"B","C"))))</f>
        <v/>
      </c>
      <c r="Z247" s="72"/>
      <c r="AA247" s="72"/>
      <c r="AB247" s="72"/>
      <c r="AC247" s="72"/>
      <c r="AD247" s="72"/>
      <c r="AE247" s="72"/>
      <c r="AF247" s="73"/>
      <c r="AG247" s="74"/>
      <c r="AH247" s="75"/>
      <c r="AI247" s="76" t="str">
        <f aca="false">IF(B247="","",ROUND(IF(AG247="",Settings!$C$5,AG247)*AW247,2))</f>
        <v/>
      </c>
      <c r="AJ247" s="77" t="str">
        <f aca="false">IF(OR(B247="",AB247="",AC247="",AD247=""),"",IFERROR(ROUND(ABS(AD247-AB247)/ABS(AB247-AC247),2),""))</f>
        <v/>
      </c>
      <c r="AK247" s="78" t="str">
        <f aca="false">IF(OR(B247="",AB247="",AC247="",AE247=""),"",IFERROR(ROUND(IF(J247="Short",AB247-AE247,AE247-AB247)/ABS(AB247-AC247),2),""))</f>
        <v/>
      </c>
      <c r="AL247" s="68" t="str">
        <f aca="false">IF(AK247="","",IF(ABS(AK247)&lt;=Settings!$C$6,"BE",IF(AK247&gt;0,"Win","Loss")))</f>
        <v/>
      </c>
      <c r="AM247" s="79" t="str">
        <f aca="false">IF(OR(AK247="",AI247=""),"",ROUND(AK247*AI247-N(AH247),2))</f>
        <v/>
      </c>
      <c r="AN247" s="76" t="str">
        <f aca="false">IF(AM247="","",ROUND(BK247+SUMIFS(AM$6:AM247,BJ$6:BJ247,BJ247),2))</f>
        <v/>
      </c>
      <c r="AO247" s="78" t="str">
        <f aca="false">IF(AK247="","",ROUND(SUMIFS(AK$6:AK247,BJ$6:BJ247,BJ247),2))</f>
        <v/>
      </c>
      <c r="AP247" s="80" t="str">
        <f aca="false">IF(OR(AK247="",BL247=""),"",IFERROR(ROUND(IF(J247="Short",AB247-AE247,AE247-AB247)/BL247,1),""))</f>
        <v/>
      </c>
      <c r="AQ247" s="66" t="str">
        <f aca="false">IF(OR(G247="",H247=""),"",ROUND(MOD(H247-G247,1)*1440,0))</f>
        <v/>
      </c>
      <c r="AR247" s="68" t="str">
        <f aca="false">IF(AQ247="","",IF(AQ247&lt;15,"Under 15m",IF(AQ247&lt;60,"15-60m",IF(AQ247&lt;240,"1-4 hours","4+ hours"))))</f>
        <v/>
      </c>
      <c r="AS247" s="66" t="str">
        <f aca="false">IF(G247="","",HOUR(G247))</f>
        <v/>
      </c>
      <c r="AT247" s="80" t="str">
        <f aca="false">IF(OR(Z247="",AB247="",BL247=""),"",IFERROR(ROUND(IF(J247="Short",Z247-AB247,AB247-Z247)/BL247,1),""))</f>
        <v/>
      </c>
      <c r="AU247" s="68" t="str">
        <f aca="false">IF(OR(AA247="",AC247=""),"",IF(AA247=AC247,"No","Yes"))</f>
        <v/>
      </c>
      <c r="AV247" s="81" t="str">
        <f aca="false">IF(OR(B247="",BL247="",BM247="",AB247="",AC247=""),"",IFERROR(ROUND(AI247/(ABS(AB247-AC247)/BL247*BM247),2),""))</f>
        <v/>
      </c>
      <c r="AW247" s="76" t="str">
        <f aca="false">IF(B247="","",ROUND(BK247+SUMIFS(AM$5:AM246,BJ$5:BJ246,BJ247),2))</f>
        <v/>
      </c>
      <c r="AX247" s="66" t="str">
        <f aca="false">IF(B247="","",COUNTIFS(B$6:B247,B247,BJ$6:BJ247,BJ247))</f>
        <v/>
      </c>
      <c r="AY247" s="79" t="str">
        <f aca="false">IF(B247="","",ROUND(SUMIFS(AM$5:AM246,B$5:B246,B247,BJ$5:BJ246,BJ247),2))</f>
        <v/>
      </c>
      <c r="AZ247" s="79" t="str">
        <f aca="false">IF(AM247="","",ROUND(AY247+AM247,2))</f>
        <v/>
      </c>
      <c r="BA247" s="79" t="str">
        <f aca="false">IF(B247="","",ROUND(SUMIFS(AM$5:AM246,B$5:B246,"&gt;="&amp;(B247-WEEKDAY(B247,2)+1),B$5:B246,"&lt;="&amp;B247,BJ$5:BJ246,BJ247),2))</f>
        <v/>
      </c>
      <c r="BB247" s="68" t="str">
        <f aca="false">IF(B247="","",IF(AND(AF247&lt;&gt;"",AV247&lt;&gt;"",N(AF247)&gt;N(AV247)*(1+Settings!$C$13)),"Oversized",IF(AX247&gt;Settings!$C$10,"Overtraded",IF(AY247&lt;=-Settings!$C$11*(AW247-AY247),"Daily loss hit",IF(BA247&lt;=-Settings!$C$12*(AW247-BA247),"Weekly loss hit","OK")))))</f>
        <v/>
      </c>
      <c r="BC247" s="69"/>
      <c r="BD247" s="69"/>
      <c r="BE247" s="69"/>
      <c r="BF247" s="73"/>
      <c r="BG247" s="73"/>
      <c r="BH247" s="71"/>
      <c r="BI247" s="71"/>
      <c r="BJ247" s="68" t="str">
        <f aca="false">IF(B247="","",IF(E247="",Settings!$F$5,E247))</f>
        <v/>
      </c>
      <c r="BK247" s="76" t="str">
        <f aca="false">IF(B247="","",IFERROR(INDEX(Settings!$G$5:$G$10,MATCH(BJ247,Settings!$F$5:$F$10,0)),Settings!$G$5))</f>
        <v/>
      </c>
      <c r="BL247" s="82" t="str">
        <f aca="false">IF(I247="","",IFERROR(1/(1/INDEX(Lists!$C$6:$C$17,MATCH(I247,Lists!$B$6:$B$17,0))),""))</f>
        <v/>
      </c>
      <c r="BM247" s="81" t="str">
        <f aca="false">IF(I247="","",IFERROR(1/(1/INDEX(Lists!$D$6:$D$17,MATCH(I247,Lists!$B$6:$B$17,0))),""))</f>
        <v/>
      </c>
      <c r="BN247" s="76" t="str">
        <f aca="false">IF(AN247="","",MAX(BK247,_xlfn.MAXIFS(AN$6:AN247,BJ$6:BJ247,BJ247)))</f>
        <v/>
      </c>
      <c r="BO247" s="83" t="str">
        <f aca="false">IF(AN247="","",(AN247-BN247)/BN247)</f>
        <v/>
      </c>
      <c r="BP247" s="66" t="n">
        <f aca="false">IF(OR(B247="",AL247=""),0,IF(OR(Settings!$C$28="All Accounts",BJ247=Settings!$C$28),1,0))</f>
        <v>0</v>
      </c>
      <c r="BQ247" s="66" t="str">
        <f aca="false">IF(BP247=1,SUM(BP$6:BP247),"")</f>
        <v/>
      </c>
      <c r="BR247" s="76" t="str">
        <f aca="false">IF(BP247=1,ROUND(Settings!$C$29+SUMIFS(AM$6:AM247,BP$6:BP247,1),2),"")</f>
        <v/>
      </c>
      <c r="BS247" s="76" t="str">
        <f aca="false">IF(BP247=1,MAX(Settings!$C$29,MAX(BR$6:BR247)),"")</f>
        <v/>
      </c>
      <c r="BT247" s="83" t="str">
        <f aca="false">IF(BP247=1,(BR247-BS247)/BS247,"")</f>
        <v/>
      </c>
      <c r="BU247" s="66" t="str">
        <f aca="false">IF(BP247=1,IF(AL247="Win",1+IF(BQ247=1,0,INDEX(BU$5:BU246,MATCH(BQ247-1,BQ$5:BQ246,0))),0),"")</f>
        <v/>
      </c>
      <c r="BV247" s="66" t="str">
        <f aca="false">IF(BP247=1,IF(AL247="Loss",1+IF(BQ247=1,0,INDEX(BV$5:BV246,MATCH(BQ247-1,BQ$5:BQ246,0))),0),"")</f>
        <v/>
      </c>
    </row>
    <row r="248" customFormat="false" ht="15" hidden="false" customHeight="false" outlineLevel="0" collapsed="false">
      <c r="A248" s="66" t="str">
        <f aca="false">IF(B248="","",ROW()-5)</f>
        <v/>
      </c>
      <c r="B248" s="67"/>
      <c r="C248" s="68" t="str">
        <f aca="false">IF(B248="","",CHOOSE(WEEKDAY(B248,2),"Mon","Tue","Wed","Thu","Fri","Sat","Sun"))</f>
        <v/>
      </c>
      <c r="D248" s="66" t="str">
        <f aca="false">IF(B248="","",WEEKNUM(B248,2))</f>
        <v/>
      </c>
      <c r="E248" s="69"/>
      <c r="F248" s="69"/>
      <c r="G248" s="70"/>
      <c r="H248" s="70"/>
      <c r="I248" s="69"/>
      <c r="J248" s="69"/>
      <c r="K248" s="69"/>
      <c r="L248" s="71"/>
      <c r="M248" s="69"/>
      <c r="N248" s="69"/>
      <c r="O248" s="69"/>
      <c r="P248" s="71"/>
      <c r="Q248" s="69"/>
      <c r="R248" s="69"/>
      <c r="S248" s="69"/>
      <c r="T248" s="69"/>
      <c r="U248" s="69"/>
      <c r="V248" s="69"/>
      <c r="W248" s="69"/>
      <c r="X248" s="66" t="str">
        <f aca="false">IF(B248="","",COUNTIF(Q248:W248,"Yes"))</f>
        <v/>
      </c>
      <c r="Y248" s="68" t="str">
        <f aca="false">IF(B248="","",IF(X248&gt;=Settings!$C$16,"A+",IF(X248&gt;=Settings!$C$17,"A",IF(X248&gt;=Settings!$C$18,"B","C"))))</f>
        <v/>
      </c>
      <c r="Z248" s="72"/>
      <c r="AA248" s="72"/>
      <c r="AB248" s="72"/>
      <c r="AC248" s="72"/>
      <c r="AD248" s="72"/>
      <c r="AE248" s="72"/>
      <c r="AF248" s="73"/>
      <c r="AG248" s="74"/>
      <c r="AH248" s="75"/>
      <c r="AI248" s="76" t="str">
        <f aca="false">IF(B248="","",ROUND(IF(AG248="",Settings!$C$5,AG248)*AW248,2))</f>
        <v/>
      </c>
      <c r="AJ248" s="77" t="str">
        <f aca="false">IF(OR(B248="",AB248="",AC248="",AD248=""),"",IFERROR(ROUND(ABS(AD248-AB248)/ABS(AB248-AC248),2),""))</f>
        <v/>
      </c>
      <c r="AK248" s="78" t="str">
        <f aca="false">IF(OR(B248="",AB248="",AC248="",AE248=""),"",IFERROR(ROUND(IF(J248="Short",AB248-AE248,AE248-AB248)/ABS(AB248-AC248),2),""))</f>
        <v/>
      </c>
      <c r="AL248" s="68" t="str">
        <f aca="false">IF(AK248="","",IF(ABS(AK248)&lt;=Settings!$C$6,"BE",IF(AK248&gt;0,"Win","Loss")))</f>
        <v/>
      </c>
      <c r="AM248" s="79" t="str">
        <f aca="false">IF(OR(AK248="",AI248=""),"",ROUND(AK248*AI248-N(AH248),2))</f>
        <v/>
      </c>
      <c r="AN248" s="76" t="str">
        <f aca="false">IF(AM248="","",ROUND(BK248+SUMIFS(AM$6:AM248,BJ$6:BJ248,BJ248),2))</f>
        <v/>
      </c>
      <c r="AO248" s="78" t="str">
        <f aca="false">IF(AK248="","",ROUND(SUMIFS(AK$6:AK248,BJ$6:BJ248,BJ248),2))</f>
        <v/>
      </c>
      <c r="AP248" s="80" t="str">
        <f aca="false">IF(OR(AK248="",BL248=""),"",IFERROR(ROUND(IF(J248="Short",AB248-AE248,AE248-AB248)/BL248,1),""))</f>
        <v/>
      </c>
      <c r="AQ248" s="66" t="str">
        <f aca="false">IF(OR(G248="",H248=""),"",ROUND(MOD(H248-G248,1)*1440,0))</f>
        <v/>
      </c>
      <c r="AR248" s="68" t="str">
        <f aca="false">IF(AQ248="","",IF(AQ248&lt;15,"Under 15m",IF(AQ248&lt;60,"15-60m",IF(AQ248&lt;240,"1-4 hours","4+ hours"))))</f>
        <v/>
      </c>
      <c r="AS248" s="66" t="str">
        <f aca="false">IF(G248="","",HOUR(G248))</f>
        <v/>
      </c>
      <c r="AT248" s="80" t="str">
        <f aca="false">IF(OR(Z248="",AB248="",BL248=""),"",IFERROR(ROUND(IF(J248="Short",Z248-AB248,AB248-Z248)/BL248,1),""))</f>
        <v/>
      </c>
      <c r="AU248" s="68" t="str">
        <f aca="false">IF(OR(AA248="",AC248=""),"",IF(AA248=AC248,"No","Yes"))</f>
        <v/>
      </c>
      <c r="AV248" s="81" t="str">
        <f aca="false">IF(OR(B248="",BL248="",BM248="",AB248="",AC248=""),"",IFERROR(ROUND(AI248/(ABS(AB248-AC248)/BL248*BM248),2),""))</f>
        <v/>
      </c>
      <c r="AW248" s="76" t="str">
        <f aca="false">IF(B248="","",ROUND(BK248+SUMIFS(AM$5:AM247,BJ$5:BJ247,BJ248),2))</f>
        <v/>
      </c>
      <c r="AX248" s="66" t="str">
        <f aca="false">IF(B248="","",COUNTIFS(B$6:B248,B248,BJ$6:BJ248,BJ248))</f>
        <v/>
      </c>
      <c r="AY248" s="79" t="str">
        <f aca="false">IF(B248="","",ROUND(SUMIFS(AM$5:AM247,B$5:B247,B248,BJ$5:BJ247,BJ248),2))</f>
        <v/>
      </c>
      <c r="AZ248" s="79" t="str">
        <f aca="false">IF(AM248="","",ROUND(AY248+AM248,2))</f>
        <v/>
      </c>
      <c r="BA248" s="79" t="str">
        <f aca="false">IF(B248="","",ROUND(SUMIFS(AM$5:AM247,B$5:B247,"&gt;="&amp;(B248-WEEKDAY(B248,2)+1),B$5:B247,"&lt;="&amp;B248,BJ$5:BJ247,BJ248),2))</f>
        <v/>
      </c>
      <c r="BB248" s="68" t="str">
        <f aca="false">IF(B248="","",IF(AND(AF248&lt;&gt;"",AV248&lt;&gt;"",N(AF248)&gt;N(AV248)*(1+Settings!$C$13)),"Oversized",IF(AX248&gt;Settings!$C$10,"Overtraded",IF(AY248&lt;=-Settings!$C$11*(AW248-AY248),"Daily loss hit",IF(BA248&lt;=-Settings!$C$12*(AW248-BA248),"Weekly loss hit","OK")))))</f>
        <v/>
      </c>
      <c r="BC248" s="69"/>
      <c r="BD248" s="69"/>
      <c r="BE248" s="69"/>
      <c r="BF248" s="73"/>
      <c r="BG248" s="73"/>
      <c r="BH248" s="71"/>
      <c r="BI248" s="71"/>
      <c r="BJ248" s="68" t="str">
        <f aca="false">IF(B248="","",IF(E248="",Settings!$F$5,E248))</f>
        <v/>
      </c>
      <c r="BK248" s="76" t="str">
        <f aca="false">IF(B248="","",IFERROR(INDEX(Settings!$G$5:$G$10,MATCH(BJ248,Settings!$F$5:$F$10,0)),Settings!$G$5))</f>
        <v/>
      </c>
      <c r="BL248" s="82" t="str">
        <f aca="false">IF(I248="","",IFERROR(1/(1/INDEX(Lists!$C$6:$C$17,MATCH(I248,Lists!$B$6:$B$17,0))),""))</f>
        <v/>
      </c>
      <c r="BM248" s="81" t="str">
        <f aca="false">IF(I248="","",IFERROR(1/(1/INDEX(Lists!$D$6:$D$17,MATCH(I248,Lists!$B$6:$B$17,0))),""))</f>
        <v/>
      </c>
      <c r="BN248" s="76" t="str">
        <f aca="false">IF(AN248="","",MAX(BK248,_xlfn.MAXIFS(AN$6:AN248,BJ$6:BJ248,BJ248)))</f>
        <v/>
      </c>
      <c r="BO248" s="83" t="str">
        <f aca="false">IF(AN248="","",(AN248-BN248)/BN248)</f>
        <v/>
      </c>
      <c r="BP248" s="66" t="n">
        <f aca="false">IF(OR(B248="",AL248=""),0,IF(OR(Settings!$C$28="All Accounts",BJ248=Settings!$C$28),1,0))</f>
        <v>0</v>
      </c>
      <c r="BQ248" s="66" t="str">
        <f aca="false">IF(BP248=1,SUM(BP$6:BP248),"")</f>
        <v/>
      </c>
      <c r="BR248" s="76" t="str">
        <f aca="false">IF(BP248=1,ROUND(Settings!$C$29+SUMIFS(AM$6:AM248,BP$6:BP248,1),2),"")</f>
        <v/>
      </c>
      <c r="BS248" s="76" t="str">
        <f aca="false">IF(BP248=1,MAX(Settings!$C$29,MAX(BR$6:BR248)),"")</f>
        <v/>
      </c>
      <c r="BT248" s="83" t="str">
        <f aca="false">IF(BP248=1,(BR248-BS248)/BS248,"")</f>
        <v/>
      </c>
      <c r="BU248" s="66" t="str">
        <f aca="false">IF(BP248=1,IF(AL248="Win",1+IF(BQ248=1,0,INDEX(BU$5:BU247,MATCH(BQ248-1,BQ$5:BQ247,0))),0),"")</f>
        <v/>
      </c>
      <c r="BV248" s="66" t="str">
        <f aca="false">IF(BP248=1,IF(AL248="Loss",1+IF(BQ248=1,0,INDEX(BV$5:BV247,MATCH(BQ248-1,BQ$5:BQ247,0))),0),"")</f>
        <v/>
      </c>
    </row>
    <row r="249" customFormat="false" ht="15" hidden="false" customHeight="false" outlineLevel="0" collapsed="false">
      <c r="A249" s="66" t="str">
        <f aca="false">IF(B249="","",ROW()-5)</f>
        <v/>
      </c>
      <c r="B249" s="67"/>
      <c r="C249" s="68" t="str">
        <f aca="false">IF(B249="","",CHOOSE(WEEKDAY(B249,2),"Mon","Tue","Wed","Thu","Fri","Sat","Sun"))</f>
        <v/>
      </c>
      <c r="D249" s="66" t="str">
        <f aca="false">IF(B249="","",WEEKNUM(B249,2))</f>
        <v/>
      </c>
      <c r="E249" s="69"/>
      <c r="F249" s="69"/>
      <c r="G249" s="70"/>
      <c r="H249" s="70"/>
      <c r="I249" s="69"/>
      <c r="J249" s="69"/>
      <c r="K249" s="69"/>
      <c r="L249" s="71"/>
      <c r="M249" s="69"/>
      <c r="N249" s="69"/>
      <c r="O249" s="69"/>
      <c r="P249" s="71"/>
      <c r="Q249" s="69"/>
      <c r="R249" s="69"/>
      <c r="S249" s="69"/>
      <c r="T249" s="69"/>
      <c r="U249" s="69"/>
      <c r="V249" s="69"/>
      <c r="W249" s="69"/>
      <c r="X249" s="66" t="str">
        <f aca="false">IF(B249="","",COUNTIF(Q249:W249,"Yes"))</f>
        <v/>
      </c>
      <c r="Y249" s="68" t="str">
        <f aca="false">IF(B249="","",IF(X249&gt;=Settings!$C$16,"A+",IF(X249&gt;=Settings!$C$17,"A",IF(X249&gt;=Settings!$C$18,"B","C"))))</f>
        <v/>
      </c>
      <c r="Z249" s="72"/>
      <c r="AA249" s="72"/>
      <c r="AB249" s="72"/>
      <c r="AC249" s="72"/>
      <c r="AD249" s="72"/>
      <c r="AE249" s="72"/>
      <c r="AF249" s="73"/>
      <c r="AG249" s="74"/>
      <c r="AH249" s="75"/>
      <c r="AI249" s="76" t="str">
        <f aca="false">IF(B249="","",ROUND(IF(AG249="",Settings!$C$5,AG249)*AW249,2))</f>
        <v/>
      </c>
      <c r="AJ249" s="77" t="str">
        <f aca="false">IF(OR(B249="",AB249="",AC249="",AD249=""),"",IFERROR(ROUND(ABS(AD249-AB249)/ABS(AB249-AC249),2),""))</f>
        <v/>
      </c>
      <c r="AK249" s="78" t="str">
        <f aca="false">IF(OR(B249="",AB249="",AC249="",AE249=""),"",IFERROR(ROUND(IF(J249="Short",AB249-AE249,AE249-AB249)/ABS(AB249-AC249),2),""))</f>
        <v/>
      </c>
      <c r="AL249" s="68" t="str">
        <f aca="false">IF(AK249="","",IF(ABS(AK249)&lt;=Settings!$C$6,"BE",IF(AK249&gt;0,"Win","Loss")))</f>
        <v/>
      </c>
      <c r="AM249" s="79" t="str">
        <f aca="false">IF(OR(AK249="",AI249=""),"",ROUND(AK249*AI249-N(AH249),2))</f>
        <v/>
      </c>
      <c r="AN249" s="76" t="str">
        <f aca="false">IF(AM249="","",ROUND(BK249+SUMIFS(AM$6:AM249,BJ$6:BJ249,BJ249),2))</f>
        <v/>
      </c>
      <c r="AO249" s="78" t="str">
        <f aca="false">IF(AK249="","",ROUND(SUMIFS(AK$6:AK249,BJ$6:BJ249,BJ249),2))</f>
        <v/>
      </c>
      <c r="AP249" s="80" t="str">
        <f aca="false">IF(OR(AK249="",BL249=""),"",IFERROR(ROUND(IF(J249="Short",AB249-AE249,AE249-AB249)/BL249,1),""))</f>
        <v/>
      </c>
      <c r="AQ249" s="66" t="str">
        <f aca="false">IF(OR(G249="",H249=""),"",ROUND(MOD(H249-G249,1)*1440,0))</f>
        <v/>
      </c>
      <c r="AR249" s="68" t="str">
        <f aca="false">IF(AQ249="","",IF(AQ249&lt;15,"Under 15m",IF(AQ249&lt;60,"15-60m",IF(AQ249&lt;240,"1-4 hours","4+ hours"))))</f>
        <v/>
      </c>
      <c r="AS249" s="66" t="str">
        <f aca="false">IF(G249="","",HOUR(G249))</f>
        <v/>
      </c>
      <c r="AT249" s="80" t="str">
        <f aca="false">IF(OR(Z249="",AB249="",BL249=""),"",IFERROR(ROUND(IF(J249="Short",Z249-AB249,AB249-Z249)/BL249,1),""))</f>
        <v/>
      </c>
      <c r="AU249" s="68" t="str">
        <f aca="false">IF(OR(AA249="",AC249=""),"",IF(AA249=AC249,"No","Yes"))</f>
        <v/>
      </c>
      <c r="AV249" s="81" t="str">
        <f aca="false">IF(OR(B249="",BL249="",BM249="",AB249="",AC249=""),"",IFERROR(ROUND(AI249/(ABS(AB249-AC249)/BL249*BM249),2),""))</f>
        <v/>
      </c>
      <c r="AW249" s="76" t="str">
        <f aca="false">IF(B249="","",ROUND(BK249+SUMIFS(AM$5:AM248,BJ$5:BJ248,BJ249),2))</f>
        <v/>
      </c>
      <c r="AX249" s="66" t="str">
        <f aca="false">IF(B249="","",COUNTIFS(B$6:B249,B249,BJ$6:BJ249,BJ249))</f>
        <v/>
      </c>
      <c r="AY249" s="79" t="str">
        <f aca="false">IF(B249="","",ROUND(SUMIFS(AM$5:AM248,B$5:B248,B249,BJ$5:BJ248,BJ249),2))</f>
        <v/>
      </c>
      <c r="AZ249" s="79" t="str">
        <f aca="false">IF(AM249="","",ROUND(AY249+AM249,2))</f>
        <v/>
      </c>
      <c r="BA249" s="79" t="str">
        <f aca="false">IF(B249="","",ROUND(SUMIFS(AM$5:AM248,B$5:B248,"&gt;="&amp;(B249-WEEKDAY(B249,2)+1),B$5:B248,"&lt;="&amp;B249,BJ$5:BJ248,BJ249),2))</f>
        <v/>
      </c>
      <c r="BB249" s="68" t="str">
        <f aca="false">IF(B249="","",IF(AND(AF249&lt;&gt;"",AV249&lt;&gt;"",N(AF249)&gt;N(AV249)*(1+Settings!$C$13)),"Oversized",IF(AX249&gt;Settings!$C$10,"Overtraded",IF(AY249&lt;=-Settings!$C$11*(AW249-AY249),"Daily loss hit",IF(BA249&lt;=-Settings!$C$12*(AW249-BA249),"Weekly loss hit","OK")))))</f>
        <v/>
      </c>
      <c r="BC249" s="69"/>
      <c r="BD249" s="69"/>
      <c r="BE249" s="69"/>
      <c r="BF249" s="73"/>
      <c r="BG249" s="73"/>
      <c r="BH249" s="71"/>
      <c r="BI249" s="71"/>
      <c r="BJ249" s="68" t="str">
        <f aca="false">IF(B249="","",IF(E249="",Settings!$F$5,E249))</f>
        <v/>
      </c>
      <c r="BK249" s="76" t="str">
        <f aca="false">IF(B249="","",IFERROR(INDEX(Settings!$G$5:$G$10,MATCH(BJ249,Settings!$F$5:$F$10,0)),Settings!$G$5))</f>
        <v/>
      </c>
      <c r="BL249" s="82" t="str">
        <f aca="false">IF(I249="","",IFERROR(1/(1/INDEX(Lists!$C$6:$C$17,MATCH(I249,Lists!$B$6:$B$17,0))),""))</f>
        <v/>
      </c>
      <c r="BM249" s="81" t="str">
        <f aca="false">IF(I249="","",IFERROR(1/(1/INDEX(Lists!$D$6:$D$17,MATCH(I249,Lists!$B$6:$B$17,0))),""))</f>
        <v/>
      </c>
      <c r="BN249" s="76" t="str">
        <f aca="false">IF(AN249="","",MAX(BK249,_xlfn.MAXIFS(AN$6:AN249,BJ$6:BJ249,BJ249)))</f>
        <v/>
      </c>
      <c r="BO249" s="83" t="str">
        <f aca="false">IF(AN249="","",(AN249-BN249)/BN249)</f>
        <v/>
      </c>
      <c r="BP249" s="66" t="n">
        <f aca="false">IF(OR(B249="",AL249=""),0,IF(OR(Settings!$C$28="All Accounts",BJ249=Settings!$C$28),1,0))</f>
        <v>0</v>
      </c>
      <c r="BQ249" s="66" t="str">
        <f aca="false">IF(BP249=1,SUM(BP$6:BP249),"")</f>
        <v/>
      </c>
      <c r="BR249" s="76" t="str">
        <f aca="false">IF(BP249=1,ROUND(Settings!$C$29+SUMIFS(AM$6:AM249,BP$6:BP249,1),2),"")</f>
        <v/>
      </c>
      <c r="BS249" s="76" t="str">
        <f aca="false">IF(BP249=1,MAX(Settings!$C$29,MAX(BR$6:BR249)),"")</f>
        <v/>
      </c>
      <c r="BT249" s="83" t="str">
        <f aca="false">IF(BP249=1,(BR249-BS249)/BS249,"")</f>
        <v/>
      </c>
      <c r="BU249" s="66" t="str">
        <f aca="false">IF(BP249=1,IF(AL249="Win",1+IF(BQ249=1,0,INDEX(BU$5:BU248,MATCH(BQ249-1,BQ$5:BQ248,0))),0),"")</f>
        <v/>
      </c>
      <c r="BV249" s="66" t="str">
        <f aca="false">IF(BP249=1,IF(AL249="Loss",1+IF(BQ249=1,0,INDEX(BV$5:BV248,MATCH(BQ249-1,BQ$5:BQ248,0))),0),"")</f>
        <v/>
      </c>
    </row>
    <row r="250" customFormat="false" ht="15" hidden="false" customHeight="false" outlineLevel="0" collapsed="false">
      <c r="A250" s="66" t="str">
        <f aca="false">IF(B250="","",ROW()-5)</f>
        <v/>
      </c>
      <c r="B250" s="67"/>
      <c r="C250" s="68" t="str">
        <f aca="false">IF(B250="","",CHOOSE(WEEKDAY(B250,2),"Mon","Tue","Wed","Thu","Fri","Sat","Sun"))</f>
        <v/>
      </c>
      <c r="D250" s="66" t="str">
        <f aca="false">IF(B250="","",WEEKNUM(B250,2))</f>
        <v/>
      </c>
      <c r="E250" s="69"/>
      <c r="F250" s="69"/>
      <c r="G250" s="70"/>
      <c r="H250" s="70"/>
      <c r="I250" s="69"/>
      <c r="J250" s="69"/>
      <c r="K250" s="69"/>
      <c r="L250" s="71"/>
      <c r="M250" s="69"/>
      <c r="N250" s="69"/>
      <c r="O250" s="69"/>
      <c r="P250" s="71"/>
      <c r="Q250" s="69"/>
      <c r="R250" s="69"/>
      <c r="S250" s="69"/>
      <c r="T250" s="69"/>
      <c r="U250" s="69"/>
      <c r="V250" s="69"/>
      <c r="W250" s="69"/>
      <c r="X250" s="66" t="str">
        <f aca="false">IF(B250="","",COUNTIF(Q250:W250,"Yes"))</f>
        <v/>
      </c>
      <c r="Y250" s="68" t="str">
        <f aca="false">IF(B250="","",IF(X250&gt;=Settings!$C$16,"A+",IF(X250&gt;=Settings!$C$17,"A",IF(X250&gt;=Settings!$C$18,"B","C"))))</f>
        <v/>
      </c>
      <c r="Z250" s="72"/>
      <c r="AA250" s="72"/>
      <c r="AB250" s="72"/>
      <c r="AC250" s="72"/>
      <c r="AD250" s="72"/>
      <c r="AE250" s="72"/>
      <c r="AF250" s="73"/>
      <c r="AG250" s="74"/>
      <c r="AH250" s="75"/>
      <c r="AI250" s="76" t="str">
        <f aca="false">IF(B250="","",ROUND(IF(AG250="",Settings!$C$5,AG250)*AW250,2))</f>
        <v/>
      </c>
      <c r="AJ250" s="77" t="str">
        <f aca="false">IF(OR(B250="",AB250="",AC250="",AD250=""),"",IFERROR(ROUND(ABS(AD250-AB250)/ABS(AB250-AC250),2),""))</f>
        <v/>
      </c>
      <c r="AK250" s="78" t="str">
        <f aca="false">IF(OR(B250="",AB250="",AC250="",AE250=""),"",IFERROR(ROUND(IF(J250="Short",AB250-AE250,AE250-AB250)/ABS(AB250-AC250),2),""))</f>
        <v/>
      </c>
      <c r="AL250" s="68" t="str">
        <f aca="false">IF(AK250="","",IF(ABS(AK250)&lt;=Settings!$C$6,"BE",IF(AK250&gt;0,"Win","Loss")))</f>
        <v/>
      </c>
      <c r="AM250" s="79" t="str">
        <f aca="false">IF(OR(AK250="",AI250=""),"",ROUND(AK250*AI250-N(AH250),2))</f>
        <v/>
      </c>
      <c r="AN250" s="76" t="str">
        <f aca="false">IF(AM250="","",ROUND(BK250+SUMIFS(AM$6:AM250,BJ$6:BJ250,BJ250),2))</f>
        <v/>
      </c>
      <c r="AO250" s="78" t="str">
        <f aca="false">IF(AK250="","",ROUND(SUMIFS(AK$6:AK250,BJ$6:BJ250,BJ250),2))</f>
        <v/>
      </c>
      <c r="AP250" s="80" t="str">
        <f aca="false">IF(OR(AK250="",BL250=""),"",IFERROR(ROUND(IF(J250="Short",AB250-AE250,AE250-AB250)/BL250,1),""))</f>
        <v/>
      </c>
      <c r="AQ250" s="66" t="str">
        <f aca="false">IF(OR(G250="",H250=""),"",ROUND(MOD(H250-G250,1)*1440,0))</f>
        <v/>
      </c>
      <c r="AR250" s="68" t="str">
        <f aca="false">IF(AQ250="","",IF(AQ250&lt;15,"Under 15m",IF(AQ250&lt;60,"15-60m",IF(AQ250&lt;240,"1-4 hours","4+ hours"))))</f>
        <v/>
      </c>
      <c r="AS250" s="66" t="str">
        <f aca="false">IF(G250="","",HOUR(G250))</f>
        <v/>
      </c>
      <c r="AT250" s="80" t="str">
        <f aca="false">IF(OR(Z250="",AB250="",BL250=""),"",IFERROR(ROUND(IF(J250="Short",Z250-AB250,AB250-Z250)/BL250,1),""))</f>
        <v/>
      </c>
      <c r="AU250" s="68" t="str">
        <f aca="false">IF(OR(AA250="",AC250=""),"",IF(AA250=AC250,"No","Yes"))</f>
        <v/>
      </c>
      <c r="AV250" s="81" t="str">
        <f aca="false">IF(OR(B250="",BL250="",BM250="",AB250="",AC250=""),"",IFERROR(ROUND(AI250/(ABS(AB250-AC250)/BL250*BM250),2),""))</f>
        <v/>
      </c>
      <c r="AW250" s="76" t="str">
        <f aca="false">IF(B250="","",ROUND(BK250+SUMIFS(AM$5:AM249,BJ$5:BJ249,BJ250),2))</f>
        <v/>
      </c>
      <c r="AX250" s="66" t="str">
        <f aca="false">IF(B250="","",COUNTIFS(B$6:B250,B250,BJ$6:BJ250,BJ250))</f>
        <v/>
      </c>
      <c r="AY250" s="79" t="str">
        <f aca="false">IF(B250="","",ROUND(SUMIFS(AM$5:AM249,B$5:B249,B250,BJ$5:BJ249,BJ250),2))</f>
        <v/>
      </c>
      <c r="AZ250" s="79" t="str">
        <f aca="false">IF(AM250="","",ROUND(AY250+AM250,2))</f>
        <v/>
      </c>
      <c r="BA250" s="79" t="str">
        <f aca="false">IF(B250="","",ROUND(SUMIFS(AM$5:AM249,B$5:B249,"&gt;="&amp;(B250-WEEKDAY(B250,2)+1),B$5:B249,"&lt;="&amp;B250,BJ$5:BJ249,BJ250),2))</f>
        <v/>
      </c>
      <c r="BB250" s="68" t="str">
        <f aca="false">IF(B250="","",IF(AND(AF250&lt;&gt;"",AV250&lt;&gt;"",N(AF250)&gt;N(AV250)*(1+Settings!$C$13)),"Oversized",IF(AX250&gt;Settings!$C$10,"Overtraded",IF(AY250&lt;=-Settings!$C$11*(AW250-AY250),"Daily loss hit",IF(BA250&lt;=-Settings!$C$12*(AW250-BA250),"Weekly loss hit","OK")))))</f>
        <v/>
      </c>
      <c r="BC250" s="69"/>
      <c r="BD250" s="69"/>
      <c r="BE250" s="69"/>
      <c r="BF250" s="73"/>
      <c r="BG250" s="73"/>
      <c r="BH250" s="71"/>
      <c r="BI250" s="71"/>
      <c r="BJ250" s="68" t="str">
        <f aca="false">IF(B250="","",IF(E250="",Settings!$F$5,E250))</f>
        <v/>
      </c>
      <c r="BK250" s="76" t="str">
        <f aca="false">IF(B250="","",IFERROR(INDEX(Settings!$G$5:$G$10,MATCH(BJ250,Settings!$F$5:$F$10,0)),Settings!$G$5))</f>
        <v/>
      </c>
      <c r="BL250" s="82" t="str">
        <f aca="false">IF(I250="","",IFERROR(1/(1/INDEX(Lists!$C$6:$C$17,MATCH(I250,Lists!$B$6:$B$17,0))),""))</f>
        <v/>
      </c>
      <c r="BM250" s="81" t="str">
        <f aca="false">IF(I250="","",IFERROR(1/(1/INDEX(Lists!$D$6:$D$17,MATCH(I250,Lists!$B$6:$B$17,0))),""))</f>
        <v/>
      </c>
      <c r="BN250" s="76" t="str">
        <f aca="false">IF(AN250="","",MAX(BK250,_xlfn.MAXIFS(AN$6:AN250,BJ$6:BJ250,BJ250)))</f>
        <v/>
      </c>
      <c r="BO250" s="83" t="str">
        <f aca="false">IF(AN250="","",(AN250-BN250)/BN250)</f>
        <v/>
      </c>
      <c r="BP250" s="66" t="n">
        <f aca="false">IF(OR(B250="",AL250=""),0,IF(OR(Settings!$C$28="All Accounts",BJ250=Settings!$C$28),1,0))</f>
        <v>0</v>
      </c>
      <c r="BQ250" s="66" t="str">
        <f aca="false">IF(BP250=1,SUM(BP$6:BP250),"")</f>
        <v/>
      </c>
      <c r="BR250" s="76" t="str">
        <f aca="false">IF(BP250=1,ROUND(Settings!$C$29+SUMIFS(AM$6:AM250,BP$6:BP250,1),2),"")</f>
        <v/>
      </c>
      <c r="BS250" s="76" t="str">
        <f aca="false">IF(BP250=1,MAX(Settings!$C$29,MAX(BR$6:BR250)),"")</f>
        <v/>
      </c>
      <c r="BT250" s="83" t="str">
        <f aca="false">IF(BP250=1,(BR250-BS250)/BS250,"")</f>
        <v/>
      </c>
      <c r="BU250" s="66" t="str">
        <f aca="false">IF(BP250=1,IF(AL250="Win",1+IF(BQ250=1,0,INDEX(BU$5:BU249,MATCH(BQ250-1,BQ$5:BQ249,0))),0),"")</f>
        <v/>
      </c>
      <c r="BV250" s="66" t="str">
        <f aca="false">IF(BP250=1,IF(AL250="Loss",1+IF(BQ250=1,0,INDEX(BV$5:BV249,MATCH(BQ250-1,BQ$5:BQ249,0))),0),"")</f>
        <v/>
      </c>
    </row>
    <row r="251" customFormat="false" ht="15" hidden="false" customHeight="false" outlineLevel="0" collapsed="false">
      <c r="A251" s="66" t="str">
        <f aca="false">IF(B251="","",ROW()-5)</f>
        <v/>
      </c>
      <c r="B251" s="67"/>
      <c r="C251" s="68" t="str">
        <f aca="false">IF(B251="","",CHOOSE(WEEKDAY(B251,2),"Mon","Tue","Wed","Thu","Fri","Sat","Sun"))</f>
        <v/>
      </c>
      <c r="D251" s="66" t="str">
        <f aca="false">IF(B251="","",WEEKNUM(B251,2))</f>
        <v/>
      </c>
      <c r="E251" s="69"/>
      <c r="F251" s="69"/>
      <c r="G251" s="70"/>
      <c r="H251" s="70"/>
      <c r="I251" s="69"/>
      <c r="J251" s="69"/>
      <c r="K251" s="69"/>
      <c r="L251" s="71"/>
      <c r="M251" s="69"/>
      <c r="N251" s="69"/>
      <c r="O251" s="69"/>
      <c r="P251" s="71"/>
      <c r="Q251" s="69"/>
      <c r="R251" s="69"/>
      <c r="S251" s="69"/>
      <c r="T251" s="69"/>
      <c r="U251" s="69"/>
      <c r="V251" s="69"/>
      <c r="W251" s="69"/>
      <c r="X251" s="66" t="str">
        <f aca="false">IF(B251="","",COUNTIF(Q251:W251,"Yes"))</f>
        <v/>
      </c>
      <c r="Y251" s="68" t="str">
        <f aca="false">IF(B251="","",IF(X251&gt;=Settings!$C$16,"A+",IF(X251&gt;=Settings!$C$17,"A",IF(X251&gt;=Settings!$C$18,"B","C"))))</f>
        <v/>
      </c>
      <c r="Z251" s="72"/>
      <c r="AA251" s="72"/>
      <c r="AB251" s="72"/>
      <c r="AC251" s="72"/>
      <c r="AD251" s="72"/>
      <c r="AE251" s="72"/>
      <c r="AF251" s="73"/>
      <c r="AG251" s="74"/>
      <c r="AH251" s="75"/>
      <c r="AI251" s="76" t="str">
        <f aca="false">IF(B251="","",ROUND(IF(AG251="",Settings!$C$5,AG251)*AW251,2))</f>
        <v/>
      </c>
      <c r="AJ251" s="77" t="str">
        <f aca="false">IF(OR(B251="",AB251="",AC251="",AD251=""),"",IFERROR(ROUND(ABS(AD251-AB251)/ABS(AB251-AC251),2),""))</f>
        <v/>
      </c>
      <c r="AK251" s="78" t="str">
        <f aca="false">IF(OR(B251="",AB251="",AC251="",AE251=""),"",IFERROR(ROUND(IF(J251="Short",AB251-AE251,AE251-AB251)/ABS(AB251-AC251),2),""))</f>
        <v/>
      </c>
      <c r="AL251" s="68" t="str">
        <f aca="false">IF(AK251="","",IF(ABS(AK251)&lt;=Settings!$C$6,"BE",IF(AK251&gt;0,"Win","Loss")))</f>
        <v/>
      </c>
      <c r="AM251" s="79" t="str">
        <f aca="false">IF(OR(AK251="",AI251=""),"",ROUND(AK251*AI251-N(AH251),2))</f>
        <v/>
      </c>
      <c r="AN251" s="76" t="str">
        <f aca="false">IF(AM251="","",ROUND(BK251+SUMIFS(AM$6:AM251,BJ$6:BJ251,BJ251),2))</f>
        <v/>
      </c>
      <c r="AO251" s="78" t="str">
        <f aca="false">IF(AK251="","",ROUND(SUMIFS(AK$6:AK251,BJ$6:BJ251,BJ251),2))</f>
        <v/>
      </c>
      <c r="AP251" s="80" t="str">
        <f aca="false">IF(OR(AK251="",BL251=""),"",IFERROR(ROUND(IF(J251="Short",AB251-AE251,AE251-AB251)/BL251,1),""))</f>
        <v/>
      </c>
      <c r="AQ251" s="66" t="str">
        <f aca="false">IF(OR(G251="",H251=""),"",ROUND(MOD(H251-G251,1)*1440,0))</f>
        <v/>
      </c>
      <c r="AR251" s="68" t="str">
        <f aca="false">IF(AQ251="","",IF(AQ251&lt;15,"Under 15m",IF(AQ251&lt;60,"15-60m",IF(AQ251&lt;240,"1-4 hours","4+ hours"))))</f>
        <v/>
      </c>
      <c r="AS251" s="66" t="str">
        <f aca="false">IF(G251="","",HOUR(G251))</f>
        <v/>
      </c>
      <c r="AT251" s="80" t="str">
        <f aca="false">IF(OR(Z251="",AB251="",BL251=""),"",IFERROR(ROUND(IF(J251="Short",Z251-AB251,AB251-Z251)/BL251,1),""))</f>
        <v/>
      </c>
      <c r="AU251" s="68" t="str">
        <f aca="false">IF(OR(AA251="",AC251=""),"",IF(AA251=AC251,"No","Yes"))</f>
        <v/>
      </c>
      <c r="AV251" s="81" t="str">
        <f aca="false">IF(OR(B251="",BL251="",BM251="",AB251="",AC251=""),"",IFERROR(ROUND(AI251/(ABS(AB251-AC251)/BL251*BM251),2),""))</f>
        <v/>
      </c>
      <c r="AW251" s="76" t="str">
        <f aca="false">IF(B251="","",ROUND(BK251+SUMIFS(AM$5:AM250,BJ$5:BJ250,BJ251),2))</f>
        <v/>
      </c>
      <c r="AX251" s="66" t="str">
        <f aca="false">IF(B251="","",COUNTIFS(B$6:B251,B251,BJ$6:BJ251,BJ251))</f>
        <v/>
      </c>
      <c r="AY251" s="79" t="str">
        <f aca="false">IF(B251="","",ROUND(SUMIFS(AM$5:AM250,B$5:B250,B251,BJ$5:BJ250,BJ251),2))</f>
        <v/>
      </c>
      <c r="AZ251" s="79" t="str">
        <f aca="false">IF(AM251="","",ROUND(AY251+AM251,2))</f>
        <v/>
      </c>
      <c r="BA251" s="79" t="str">
        <f aca="false">IF(B251="","",ROUND(SUMIFS(AM$5:AM250,B$5:B250,"&gt;="&amp;(B251-WEEKDAY(B251,2)+1),B$5:B250,"&lt;="&amp;B251,BJ$5:BJ250,BJ251),2))</f>
        <v/>
      </c>
      <c r="BB251" s="68" t="str">
        <f aca="false">IF(B251="","",IF(AND(AF251&lt;&gt;"",AV251&lt;&gt;"",N(AF251)&gt;N(AV251)*(1+Settings!$C$13)),"Oversized",IF(AX251&gt;Settings!$C$10,"Overtraded",IF(AY251&lt;=-Settings!$C$11*(AW251-AY251),"Daily loss hit",IF(BA251&lt;=-Settings!$C$12*(AW251-BA251),"Weekly loss hit","OK")))))</f>
        <v/>
      </c>
      <c r="BC251" s="69"/>
      <c r="BD251" s="69"/>
      <c r="BE251" s="69"/>
      <c r="BF251" s="73"/>
      <c r="BG251" s="73"/>
      <c r="BH251" s="71"/>
      <c r="BI251" s="71"/>
      <c r="BJ251" s="68" t="str">
        <f aca="false">IF(B251="","",IF(E251="",Settings!$F$5,E251))</f>
        <v/>
      </c>
      <c r="BK251" s="76" t="str">
        <f aca="false">IF(B251="","",IFERROR(INDEX(Settings!$G$5:$G$10,MATCH(BJ251,Settings!$F$5:$F$10,0)),Settings!$G$5))</f>
        <v/>
      </c>
      <c r="BL251" s="82" t="str">
        <f aca="false">IF(I251="","",IFERROR(1/(1/INDEX(Lists!$C$6:$C$17,MATCH(I251,Lists!$B$6:$B$17,0))),""))</f>
        <v/>
      </c>
      <c r="BM251" s="81" t="str">
        <f aca="false">IF(I251="","",IFERROR(1/(1/INDEX(Lists!$D$6:$D$17,MATCH(I251,Lists!$B$6:$B$17,0))),""))</f>
        <v/>
      </c>
      <c r="BN251" s="76" t="str">
        <f aca="false">IF(AN251="","",MAX(BK251,_xlfn.MAXIFS(AN$6:AN251,BJ$6:BJ251,BJ251)))</f>
        <v/>
      </c>
      <c r="BO251" s="83" t="str">
        <f aca="false">IF(AN251="","",(AN251-BN251)/BN251)</f>
        <v/>
      </c>
      <c r="BP251" s="66" t="n">
        <f aca="false">IF(OR(B251="",AL251=""),0,IF(OR(Settings!$C$28="All Accounts",BJ251=Settings!$C$28),1,0))</f>
        <v>0</v>
      </c>
      <c r="BQ251" s="66" t="str">
        <f aca="false">IF(BP251=1,SUM(BP$6:BP251),"")</f>
        <v/>
      </c>
      <c r="BR251" s="76" t="str">
        <f aca="false">IF(BP251=1,ROUND(Settings!$C$29+SUMIFS(AM$6:AM251,BP$6:BP251,1),2),"")</f>
        <v/>
      </c>
      <c r="BS251" s="76" t="str">
        <f aca="false">IF(BP251=1,MAX(Settings!$C$29,MAX(BR$6:BR251)),"")</f>
        <v/>
      </c>
      <c r="BT251" s="83" t="str">
        <f aca="false">IF(BP251=1,(BR251-BS251)/BS251,"")</f>
        <v/>
      </c>
      <c r="BU251" s="66" t="str">
        <f aca="false">IF(BP251=1,IF(AL251="Win",1+IF(BQ251=1,0,INDEX(BU$5:BU250,MATCH(BQ251-1,BQ$5:BQ250,0))),0),"")</f>
        <v/>
      </c>
      <c r="BV251" s="66" t="str">
        <f aca="false">IF(BP251=1,IF(AL251="Loss",1+IF(BQ251=1,0,INDEX(BV$5:BV250,MATCH(BQ251-1,BQ$5:BQ250,0))),0),"")</f>
        <v/>
      </c>
    </row>
    <row r="252" customFormat="false" ht="15" hidden="false" customHeight="false" outlineLevel="0" collapsed="false">
      <c r="A252" s="66" t="str">
        <f aca="false">IF(B252="","",ROW()-5)</f>
        <v/>
      </c>
      <c r="B252" s="67"/>
      <c r="C252" s="68" t="str">
        <f aca="false">IF(B252="","",CHOOSE(WEEKDAY(B252,2),"Mon","Tue","Wed","Thu","Fri","Sat","Sun"))</f>
        <v/>
      </c>
      <c r="D252" s="66" t="str">
        <f aca="false">IF(B252="","",WEEKNUM(B252,2))</f>
        <v/>
      </c>
      <c r="E252" s="69"/>
      <c r="F252" s="69"/>
      <c r="G252" s="70"/>
      <c r="H252" s="70"/>
      <c r="I252" s="69"/>
      <c r="J252" s="69"/>
      <c r="K252" s="69"/>
      <c r="L252" s="71"/>
      <c r="M252" s="69"/>
      <c r="N252" s="69"/>
      <c r="O252" s="69"/>
      <c r="P252" s="71"/>
      <c r="Q252" s="69"/>
      <c r="R252" s="69"/>
      <c r="S252" s="69"/>
      <c r="T252" s="69"/>
      <c r="U252" s="69"/>
      <c r="V252" s="69"/>
      <c r="W252" s="69"/>
      <c r="X252" s="66" t="str">
        <f aca="false">IF(B252="","",COUNTIF(Q252:W252,"Yes"))</f>
        <v/>
      </c>
      <c r="Y252" s="68" t="str">
        <f aca="false">IF(B252="","",IF(X252&gt;=Settings!$C$16,"A+",IF(X252&gt;=Settings!$C$17,"A",IF(X252&gt;=Settings!$C$18,"B","C"))))</f>
        <v/>
      </c>
      <c r="Z252" s="72"/>
      <c r="AA252" s="72"/>
      <c r="AB252" s="72"/>
      <c r="AC252" s="72"/>
      <c r="AD252" s="72"/>
      <c r="AE252" s="72"/>
      <c r="AF252" s="73"/>
      <c r="AG252" s="74"/>
      <c r="AH252" s="75"/>
      <c r="AI252" s="76" t="str">
        <f aca="false">IF(B252="","",ROUND(IF(AG252="",Settings!$C$5,AG252)*AW252,2))</f>
        <v/>
      </c>
      <c r="AJ252" s="77" t="str">
        <f aca="false">IF(OR(B252="",AB252="",AC252="",AD252=""),"",IFERROR(ROUND(ABS(AD252-AB252)/ABS(AB252-AC252),2),""))</f>
        <v/>
      </c>
      <c r="AK252" s="78" t="str">
        <f aca="false">IF(OR(B252="",AB252="",AC252="",AE252=""),"",IFERROR(ROUND(IF(J252="Short",AB252-AE252,AE252-AB252)/ABS(AB252-AC252),2),""))</f>
        <v/>
      </c>
      <c r="AL252" s="68" t="str">
        <f aca="false">IF(AK252="","",IF(ABS(AK252)&lt;=Settings!$C$6,"BE",IF(AK252&gt;0,"Win","Loss")))</f>
        <v/>
      </c>
      <c r="AM252" s="79" t="str">
        <f aca="false">IF(OR(AK252="",AI252=""),"",ROUND(AK252*AI252-N(AH252),2))</f>
        <v/>
      </c>
      <c r="AN252" s="76" t="str">
        <f aca="false">IF(AM252="","",ROUND(BK252+SUMIFS(AM$6:AM252,BJ$6:BJ252,BJ252),2))</f>
        <v/>
      </c>
      <c r="AO252" s="78" t="str">
        <f aca="false">IF(AK252="","",ROUND(SUMIFS(AK$6:AK252,BJ$6:BJ252,BJ252),2))</f>
        <v/>
      </c>
      <c r="AP252" s="80" t="str">
        <f aca="false">IF(OR(AK252="",BL252=""),"",IFERROR(ROUND(IF(J252="Short",AB252-AE252,AE252-AB252)/BL252,1),""))</f>
        <v/>
      </c>
      <c r="AQ252" s="66" t="str">
        <f aca="false">IF(OR(G252="",H252=""),"",ROUND(MOD(H252-G252,1)*1440,0))</f>
        <v/>
      </c>
      <c r="AR252" s="68" t="str">
        <f aca="false">IF(AQ252="","",IF(AQ252&lt;15,"Under 15m",IF(AQ252&lt;60,"15-60m",IF(AQ252&lt;240,"1-4 hours","4+ hours"))))</f>
        <v/>
      </c>
      <c r="AS252" s="66" t="str">
        <f aca="false">IF(G252="","",HOUR(G252))</f>
        <v/>
      </c>
      <c r="AT252" s="80" t="str">
        <f aca="false">IF(OR(Z252="",AB252="",BL252=""),"",IFERROR(ROUND(IF(J252="Short",Z252-AB252,AB252-Z252)/BL252,1),""))</f>
        <v/>
      </c>
      <c r="AU252" s="68" t="str">
        <f aca="false">IF(OR(AA252="",AC252=""),"",IF(AA252=AC252,"No","Yes"))</f>
        <v/>
      </c>
      <c r="AV252" s="81" t="str">
        <f aca="false">IF(OR(B252="",BL252="",BM252="",AB252="",AC252=""),"",IFERROR(ROUND(AI252/(ABS(AB252-AC252)/BL252*BM252),2),""))</f>
        <v/>
      </c>
      <c r="AW252" s="76" t="str">
        <f aca="false">IF(B252="","",ROUND(BK252+SUMIFS(AM$5:AM251,BJ$5:BJ251,BJ252),2))</f>
        <v/>
      </c>
      <c r="AX252" s="66" t="str">
        <f aca="false">IF(B252="","",COUNTIFS(B$6:B252,B252,BJ$6:BJ252,BJ252))</f>
        <v/>
      </c>
      <c r="AY252" s="79" t="str">
        <f aca="false">IF(B252="","",ROUND(SUMIFS(AM$5:AM251,B$5:B251,B252,BJ$5:BJ251,BJ252),2))</f>
        <v/>
      </c>
      <c r="AZ252" s="79" t="str">
        <f aca="false">IF(AM252="","",ROUND(AY252+AM252,2))</f>
        <v/>
      </c>
      <c r="BA252" s="79" t="str">
        <f aca="false">IF(B252="","",ROUND(SUMIFS(AM$5:AM251,B$5:B251,"&gt;="&amp;(B252-WEEKDAY(B252,2)+1),B$5:B251,"&lt;="&amp;B252,BJ$5:BJ251,BJ252),2))</f>
        <v/>
      </c>
      <c r="BB252" s="68" t="str">
        <f aca="false">IF(B252="","",IF(AND(AF252&lt;&gt;"",AV252&lt;&gt;"",N(AF252)&gt;N(AV252)*(1+Settings!$C$13)),"Oversized",IF(AX252&gt;Settings!$C$10,"Overtraded",IF(AY252&lt;=-Settings!$C$11*(AW252-AY252),"Daily loss hit",IF(BA252&lt;=-Settings!$C$12*(AW252-BA252),"Weekly loss hit","OK")))))</f>
        <v/>
      </c>
      <c r="BC252" s="69"/>
      <c r="BD252" s="69"/>
      <c r="BE252" s="69"/>
      <c r="BF252" s="73"/>
      <c r="BG252" s="73"/>
      <c r="BH252" s="71"/>
      <c r="BI252" s="71"/>
      <c r="BJ252" s="68" t="str">
        <f aca="false">IF(B252="","",IF(E252="",Settings!$F$5,E252))</f>
        <v/>
      </c>
      <c r="BK252" s="76" t="str">
        <f aca="false">IF(B252="","",IFERROR(INDEX(Settings!$G$5:$G$10,MATCH(BJ252,Settings!$F$5:$F$10,0)),Settings!$G$5))</f>
        <v/>
      </c>
      <c r="BL252" s="82" t="str">
        <f aca="false">IF(I252="","",IFERROR(1/(1/INDEX(Lists!$C$6:$C$17,MATCH(I252,Lists!$B$6:$B$17,0))),""))</f>
        <v/>
      </c>
      <c r="BM252" s="81" t="str">
        <f aca="false">IF(I252="","",IFERROR(1/(1/INDEX(Lists!$D$6:$D$17,MATCH(I252,Lists!$B$6:$B$17,0))),""))</f>
        <v/>
      </c>
      <c r="BN252" s="76" t="str">
        <f aca="false">IF(AN252="","",MAX(BK252,_xlfn.MAXIFS(AN$6:AN252,BJ$6:BJ252,BJ252)))</f>
        <v/>
      </c>
      <c r="BO252" s="83" t="str">
        <f aca="false">IF(AN252="","",(AN252-BN252)/BN252)</f>
        <v/>
      </c>
      <c r="BP252" s="66" t="n">
        <f aca="false">IF(OR(B252="",AL252=""),0,IF(OR(Settings!$C$28="All Accounts",BJ252=Settings!$C$28),1,0))</f>
        <v>0</v>
      </c>
      <c r="BQ252" s="66" t="str">
        <f aca="false">IF(BP252=1,SUM(BP$6:BP252),"")</f>
        <v/>
      </c>
      <c r="BR252" s="76" t="str">
        <f aca="false">IF(BP252=1,ROUND(Settings!$C$29+SUMIFS(AM$6:AM252,BP$6:BP252,1),2),"")</f>
        <v/>
      </c>
      <c r="BS252" s="76" t="str">
        <f aca="false">IF(BP252=1,MAX(Settings!$C$29,MAX(BR$6:BR252)),"")</f>
        <v/>
      </c>
      <c r="BT252" s="83" t="str">
        <f aca="false">IF(BP252=1,(BR252-BS252)/BS252,"")</f>
        <v/>
      </c>
      <c r="BU252" s="66" t="str">
        <f aca="false">IF(BP252=1,IF(AL252="Win",1+IF(BQ252=1,0,INDEX(BU$5:BU251,MATCH(BQ252-1,BQ$5:BQ251,0))),0),"")</f>
        <v/>
      </c>
      <c r="BV252" s="66" t="str">
        <f aca="false">IF(BP252=1,IF(AL252="Loss",1+IF(BQ252=1,0,INDEX(BV$5:BV251,MATCH(BQ252-1,BQ$5:BQ251,0))),0),"")</f>
        <v/>
      </c>
    </row>
    <row r="253" customFormat="false" ht="15" hidden="false" customHeight="false" outlineLevel="0" collapsed="false">
      <c r="A253" s="66" t="str">
        <f aca="false">IF(B253="","",ROW()-5)</f>
        <v/>
      </c>
      <c r="B253" s="67"/>
      <c r="C253" s="68" t="str">
        <f aca="false">IF(B253="","",CHOOSE(WEEKDAY(B253,2),"Mon","Tue","Wed","Thu","Fri","Sat","Sun"))</f>
        <v/>
      </c>
      <c r="D253" s="66" t="str">
        <f aca="false">IF(B253="","",WEEKNUM(B253,2))</f>
        <v/>
      </c>
      <c r="E253" s="69"/>
      <c r="F253" s="69"/>
      <c r="G253" s="70"/>
      <c r="H253" s="70"/>
      <c r="I253" s="69"/>
      <c r="J253" s="69"/>
      <c r="K253" s="69"/>
      <c r="L253" s="71"/>
      <c r="M253" s="69"/>
      <c r="N253" s="69"/>
      <c r="O253" s="69"/>
      <c r="P253" s="71"/>
      <c r="Q253" s="69"/>
      <c r="R253" s="69"/>
      <c r="S253" s="69"/>
      <c r="T253" s="69"/>
      <c r="U253" s="69"/>
      <c r="V253" s="69"/>
      <c r="W253" s="69"/>
      <c r="X253" s="66" t="str">
        <f aca="false">IF(B253="","",COUNTIF(Q253:W253,"Yes"))</f>
        <v/>
      </c>
      <c r="Y253" s="68" t="str">
        <f aca="false">IF(B253="","",IF(X253&gt;=Settings!$C$16,"A+",IF(X253&gt;=Settings!$C$17,"A",IF(X253&gt;=Settings!$C$18,"B","C"))))</f>
        <v/>
      </c>
      <c r="Z253" s="72"/>
      <c r="AA253" s="72"/>
      <c r="AB253" s="72"/>
      <c r="AC253" s="72"/>
      <c r="AD253" s="72"/>
      <c r="AE253" s="72"/>
      <c r="AF253" s="73"/>
      <c r="AG253" s="74"/>
      <c r="AH253" s="75"/>
      <c r="AI253" s="76" t="str">
        <f aca="false">IF(B253="","",ROUND(IF(AG253="",Settings!$C$5,AG253)*AW253,2))</f>
        <v/>
      </c>
      <c r="AJ253" s="77" t="str">
        <f aca="false">IF(OR(B253="",AB253="",AC253="",AD253=""),"",IFERROR(ROUND(ABS(AD253-AB253)/ABS(AB253-AC253),2),""))</f>
        <v/>
      </c>
      <c r="AK253" s="78" t="str">
        <f aca="false">IF(OR(B253="",AB253="",AC253="",AE253=""),"",IFERROR(ROUND(IF(J253="Short",AB253-AE253,AE253-AB253)/ABS(AB253-AC253),2),""))</f>
        <v/>
      </c>
      <c r="AL253" s="68" t="str">
        <f aca="false">IF(AK253="","",IF(ABS(AK253)&lt;=Settings!$C$6,"BE",IF(AK253&gt;0,"Win","Loss")))</f>
        <v/>
      </c>
      <c r="AM253" s="79" t="str">
        <f aca="false">IF(OR(AK253="",AI253=""),"",ROUND(AK253*AI253-N(AH253),2))</f>
        <v/>
      </c>
      <c r="AN253" s="76" t="str">
        <f aca="false">IF(AM253="","",ROUND(BK253+SUMIFS(AM$6:AM253,BJ$6:BJ253,BJ253),2))</f>
        <v/>
      </c>
      <c r="AO253" s="78" t="str">
        <f aca="false">IF(AK253="","",ROUND(SUMIFS(AK$6:AK253,BJ$6:BJ253,BJ253),2))</f>
        <v/>
      </c>
      <c r="AP253" s="80" t="str">
        <f aca="false">IF(OR(AK253="",BL253=""),"",IFERROR(ROUND(IF(J253="Short",AB253-AE253,AE253-AB253)/BL253,1),""))</f>
        <v/>
      </c>
      <c r="AQ253" s="66" t="str">
        <f aca="false">IF(OR(G253="",H253=""),"",ROUND(MOD(H253-G253,1)*1440,0))</f>
        <v/>
      </c>
      <c r="AR253" s="68" t="str">
        <f aca="false">IF(AQ253="","",IF(AQ253&lt;15,"Under 15m",IF(AQ253&lt;60,"15-60m",IF(AQ253&lt;240,"1-4 hours","4+ hours"))))</f>
        <v/>
      </c>
      <c r="AS253" s="66" t="str">
        <f aca="false">IF(G253="","",HOUR(G253))</f>
        <v/>
      </c>
      <c r="AT253" s="80" t="str">
        <f aca="false">IF(OR(Z253="",AB253="",BL253=""),"",IFERROR(ROUND(IF(J253="Short",Z253-AB253,AB253-Z253)/BL253,1),""))</f>
        <v/>
      </c>
      <c r="AU253" s="68" t="str">
        <f aca="false">IF(OR(AA253="",AC253=""),"",IF(AA253=AC253,"No","Yes"))</f>
        <v/>
      </c>
      <c r="AV253" s="81" t="str">
        <f aca="false">IF(OR(B253="",BL253="",BM253="",AB253="",AC253=""),"",IFERROR(ROUND(AI253/(ABS(AB253-AC253)/BL253*BM253),2),""))</f>
        <v/>
      </c>
      <c r="AW253" s="76" t="str">
        <f aca="false">IF(B253="","",ROUND(BK253+SUMIFS(AM$5:AM252,BJ$5:BJ252,BJ253),2))</f>
        <v/>
      </c>
      <c r="AX253" s="66" t="str">
        <f aca="false">IF(B253="","",COUNTIFS(B$6:B253,B253,BJ$6:BJ253,BJ253))</f>
        <v/>
      </c>
      <c r="AY253" s="79" t="str">
        <f aca="false">IF(B253="","",ROUND(SUMIFS(AM$5:AM252,B$5:B252,B253,BJ$5:BJ252,BJ253),2))</f>
        <v/>
      </c>
      <c r="AZ253" s="79" t="str">
        <f aca="false">IF(AM253="","",ROUND(AY253+AM253,2))</f>
        <v/>
      </c>
      <c r="BA253" s="79" t="str">
        <f aca="false">IF(B253="","",ROUND(SUMIFS(AM$5:AM252,B$5:B252,"&gt;="&amp;(B253-WEEKDAY(B253,2)+1),B$5:B252,"&lt;="&amp;B253,BJ$5:BJ252,BJ253),2))</f>
        <v/>
      </c>
      <c r="BB253" s="68" t="str">
        <f aca="false">IF(B253="","",IF(AND(AF253&lt;&gt;"",AV253&lt;&gt;"",N(AF253)&gt;N(AV253)*(1+Settings!$C$13)),"Oversized",IF(AX253&gt;Settings!$C$10,"Overtraded",IF(AY253&lt;=-Settings!$C$11*(AW253-AY253),"Daily loss hit",IF(BA253&lt;=-Settings!$C$12*(AW253-BA253),"Weekly loss hit","OK")))))</f>
        <v/>
      </c>
      <c r="BC253" s="69"/>
      <c r="BD253" s="69"/>
      <c r="BE253" s="69"/>
      <c r="BF253" s="73"/>
      <c r="BG253" s="73"/>
      <c r="BH253" s="71"/>
      <c r="BI253" s="71"/>
      <c r="BJ253" s="68" t="str">
        <f aca="false">IF(B253="","",IF(E253="",Settings!$F$5,E253))</f>
        <v/>
      </c>
      <c r="BK253" s="76" t="str">
        <f aca="false">IF(B253="","",IFERROR(INDEX(Settings!$G$5:$G$10,MATCH(BJ253,Settings!$F$5:$F$10,0)),Settings!$G$5))</f>
        <v/>
      </c>
      <c r="BL253" s="82" t="str">
        <f aca="false">IF(I253="","",IFERROR(1/(1/INDEX(Lists!$C$6:$C$17,MATCH(I253,Lists!$B$6:$B$17,0))),""))</f>
        <v/>
      </c>
      <c r="BM253" s="81" t="str">
        <f aca="false">IF(I253="","",IFERROR(1/(1/INDEX(Lists!$D$6:$D$17,MATCH(I253,Lists!$B$6:$B$17,0))),""))</f>
        <v/>
      </c>
      <c r="BN253" s="76" t="str">
        <f aca="false">IF(AN253="","",MAX(BK253,_xlfn.MAXIFS(AN$6:AN253,BJ$6:BJ253,BJ253)))</f>
        <v/>
      </c>
      <c r="BO253" s="83" t="str">
        <f aca="false">IF(AN253="","",(AN253-BN253)/BN253)</f>
        <v/>
      </c>
      <c r="BP253" s="66" t="n">
        <f aca="false">IF(OR(B253="",AL253=""),0,IF(OR(Settings!$C$28="All Accounts",BJ253=Settings!$C$28),1,0))</f>
        <v>0</v>
      </c>
      <c r="BQ253" s="66" t="str">
        <f aca="false">IF(BP253=1,SUM(BP$6:BP253),"")</f>
        <v/>
      </c>
      <c r="BR253" s="76" t="str">
        <f aca="false">IF(BP253=1,ROUND(Settings!$C$29+SUMIFS(AM$6:AM253,BP$6:BP253,1),2),"")</f>
        <v/>
      </c>
      <c r="BS253" s="76" t="str">
        <f aca="false">IF(BP253=1,MAX(Settings!$C$29,MAX(BR$6:BR253)),"")</f>
        <v/>
      </c>
      <c r="BT253" s="83" t="str">
        <f aca="false">IF(BP253=1,(BR253-BS253)/BS253,"")</f>
        <v/>
      </c>
      <c r="BU253" s="66" t="str">
        <f aca="false">IF(BP253=1,IF(AL253="Win",1+IF(BQ253=1,0,INDEX(BU$5:BU252,MATCH(BQ253-1,BQ$5:BQ252,0))),0),"")</f>
        <v/>
      </c>
      <c r="BV253" s="66" t="str">
        <f aca="false">IF(BP253=1,IF(AL253="Loss",1+IF(BQ253=1,0,INDEX(BV$5:BV252,MATCH(BQ253-1,BQ$5:BQ252,0))),0),"")</f>
        <v/>
      </c>
    </row>
    <row r="254" customFormat="false" ht="15" hidden="false" customHeight="false" outlineLevel="0" collapsed="false">
      <c r="A254" s="66" t="str">
        <f aca="false">IF(B254="","",ROW()-5)</f>
        <v/>
      </c>
      <c r="B254" s="67"/>
      <c r="C254" s="68" t="str">
        <f aca="false">IF(B254="","",CHOOSE(WEEKDAY(B254,2),"Mon","Tue","Wed","Thu","Fri","Sat","Sun"))</f>
        <v/>
      </c>
      <c r="D254" s="66" t="str">
        <f aca="false">IF(B254="","",WEEKNUM(B254,2))</f>
        <v/>
      </c>
      <c r="E254" s="69"/>
      <c r="F254" s="69"/>
      <c r="G254" s="70"/>
      <c r="H254" s="70"/>
      <c r="I254" s="69"/>
      <c r="J254" s="69"/>
      <c r="K254" s="69"/>
      <c r="L254" s="71"/>
      <c r="M254" s="69"/>
      <c r="N254" s="69"/>
      <c r="O254" s="69"/>
      <c r="P254" s="71"/>
      <c r="Q254" s="69"/>
      <c r="R254" s="69"/>
      <c r="S254" s="69"/>
      <c r="T254" s="69"/>
      <c r="U254" s="69"/>
      <c r="V254" s="69"/>
      <c r="W254" s="69"/>
      <c r="X254" s="66" t="str">
        <f aca="false">IF(B254="","",COUNTIF(Q254:W254,"Yes"))</f>
        <v/>
      </c>
      <c r="Y254" s="68" t="str">
        <f aca="false">IF(B254="","",IF(X254&gt;=Settings!$C$16,"A+",IF(X254&gt;=Settings!$C$17,"A",IF(X254&gt;=Settings!$C$18,"B","C"))))</f>
        <v/>
      </c>
      <c r="Z254" s="72"/>
      <c r="AA254" s="72"/>
      <c r="AB254" s="72"/>
      <c r="AC254" s="72"/>
      <c r="AD254" s="72"/>
      <c r="AE254" s="72"/>
      <c r="AF254" s="73"/>
      <c r="AG254" s="74"/>
      <c r="AH254" s="75"/>
      <c r="AI254" s="76" t="str">
        <f aca="false">IF(B254="","",ROUND(IF(AG254="",Settings!$C$5,AG254)*AW254,2))</f>
        <v/>
      </c>
      <c r="AJ254" s="77" t="str">
        <f aca="false">IF(OR(B254="",AB254="",AC254="",AD254=""),"",IFERROR(ROUND(ABS(AD254-AB254)/ABS(AB254-AC254),2),""))</f>
        <v/>
      </c>
      <c r="AK254" s="78" t="str">
        <f aca="false">IF(OR(B254="",AB254="",AC254="",AE254=""),"",IFERROR(ROUND(IF(J254="Short",AB254-AE254,AE254-AB254)/ABS(AB254-AC254),2),""))</f>
        <v/>
      </c>
      <c r="AL254" s="68" t="str">
        <f aca="false">IF(AK254="","",IF(ABS(AK254)&lt;=Settings!$C$6,"BE",IF(AK254&gt;0,"Win","Loss")))</f>
        <v/>
      </c>
      <c r="AM254" s="79" t="str">
        <f aca="false">IF(OR(AK254="",AI254=""),"",ROUND(AK254*AI254-N(AH254),2))</f>
        <v/>
      </c>
      <c r="AN254" s="76" t="str">
        <f aca="false">IF(AM254="","",ROUND(BK254+SUMIFS(AM$6:AM254,BJ$6:BJ254,BJ254),2))</f>
        <v/>
      </c>
      <c r="AO254" s="78" t="str">
        <f aca="false">IF(AK254="","",ROUND(SUMIFS(AK$6:AK254,BJ$6:BJ254,BJ254),2))</f>
        <v/>
      </c>
      <c r="AP254" s="80" t="str">
        <f aca="false">IF(OR(AK254="",BL254=""),"",IFERROR(ROUND(IF(J254="Short",AB254-AE254,AE254-AB254)/BL254,1),""))</f>
        <v/>
      </c>
      <c r="AQ254" s="66" t="str">
        <f aca="false">IF(OR(G254="",H254=""),"",ROUND(MOD(H254-G254,1)*1440,0))</f>
        <v/>
      </c>
      <c r="AR254" s="68" t="str">
        <f aca="false">IF(AQ254="","",IF(AQ254&lt;15,"Under 15m",IF(AQ254&lt;60,"15-60m",IF(AQ254&lt;240,"1-4 hours","4+ hours"))))</f>
        <v/>
      </c>
      <c r="AS254" s="66" t="str">
        <f aca="false">IF(G254="","",HOUR(G254))</f>
        <v/>
      </c>
      <c r="AT254" s="80" t="str">
        <f aca="false">IF(OR(Z254="",AB254="",BL254=""),"",IFERROR(ROUND(IF(J254="Short",Z254-AB254,AB254-Z254)/BL254,1),""))</f>
        <v/>
      </c>
      <c r="AU254" s="68" t="str">
        <f aca="false">IF(OR(AA254="",AC254=""),"",IF(AA254=AC254,"No","Yes"))</f>
        <v/>
      </c>
      <c r="AV254" s="81" t="str">
        <f aca="false">IF(OR(B254="",BL254="",BM254="",AB254="",AC254=""),"",IFERROR(ROUND(AI254/(ABS(AB254-AC254)/BL254*BM254),2),""))</f>
        <v/>
      </c>
      <c r="AW254" s="76" t="str">
        <f aca="false">IF(B254="","",ROUND(BK254+SUMIFS(AM$5:AM253,BJ$5:BJ253,BJ254),2))</f>
        <v/>
      </c>
      <c r="AX254" s="66" t="str">
        <f aca="false">IF(B254="","",COUNTIFS(B$6:B254,B254,BJ$6:BJ254,BJ254))</f>
        <v/>
      </c>
      <c r="AY254" s="79" t="str">
        <f aca="false">IF(B254="","",ROUND(SUMIFS(AM$5:AM253,B$5:B253,B254,BJ$5:BJ253,BJ254),2))</f>
        <v/>
      </c>
      <c r="AZ254" s="79" t="str">
        <f aca="false">IF(AM254="","",ROUND(AY254+AM254,2))</f>
        <v/>
      </c>
      <c r="BA254" s="79" t="str">
        <f aca="false">IF(B254="","",ROUND(SUMIFS(AM$5:AM253,B$5:B253,"&gt;="&amp;(B254-WEEKDAY(B254,2)+1),B$5:B253,"&lt;="&amp;B254,BJ$5:BJ253,BJ254),2))</f>
        <v/>
      </c>
      <c r="BB254" s="68" t="str">
        <f aca="false">IF(B254="","",IF(AND(AF254&lt;&gt;"",AV254&lt;&gt;"",N(AF254)&gt;N(AV254)*(1+Settings!$C$13)),"Oversized",IF(AX254&gt;Settings!$C$10,"Overtraded",IF(AY254&lt;=-Settings!$C$11*(AW254-AY254),"Daily loss hit",IF(BA254&lt;=-Settings!$C$12*(AW254-BA254),"Weekly loss hit","OK")))))</f>
        <v/>
      </c>
      <c r="BC254" s="69"/>
      <c r="BD254" s="69"/>
      <c r="BE254" s="69"/>
      <c r="BF254" s="73"/>
      <c r="BG254" s="73"/>
      <c r="BH254" s="71"/>
      <c r="BI254" s="71"/>
      <c r="BJ254" s="68" t="str">
        <f aca="false">IF(B254="","",IF(E254="",Settings!$F$5,E254))</f>
        <v/>
      </c>
      <c r="BK254" s="76" t="str">
        <f aca="false">IF(B254="","",IFERROR(INDEX(Settings!$G$5:$G$10,MATCH(BJ254,Settings!$F$5:$F$10,0)),Settings!$G$5))</f>
        <v/>
      </c>
      <c r="BL254" s="82" t="str">
        <f aca="false">IF(I254="","",IFERROR(1/(1/INDEX(Lists!$C$6:$C$17,MATCH(I254,Lists!$B$6:$B$17,0))),""))</f>
        <v/>
      </c>
      <c r="BM254" s="81" t="str">
        <f aca="false">IF(I254="","",IFERROR(1/(1/INDEX(Lists!$D$6:$D$17,MATCH(I254,Lists!$B$6:$B$17,0))),""))</f>
        <v/>
      </c>
      <c r="BN254" s="76" t="str">
        <f aca="false">IF(AN254="","",MAX(BK254,_xlfn.MAXIFS(AN$6:AN254,BJ$6:BJ254,BJ254)))</f>
        <v/>
      </c>
      <c r="BO254" s="83" t="str">
        <f aca="false">IF(AN254="","",(AN254-BN254)/BN254)</f>
        <v/>
      </c>
      <c r="BP254" s="66" t="n">
        <f aca="false">IF(OR(B254="",AL254=""),0,IF(OR(Settings!$C$28="All Accounts",BJ254=Settings!$C$28),1,0))</f>
        <v>0</v>
      </c>
      <c r="BQ254" s="66" t="str">
        <f aca="false">IF(BP254=1,SUM(BP$6:BP254),"")</f>
        <v/>
      </c>
      <c r="BR254" s="76" t="str">
        <f aca="false">IF(BP254=1,ROUND(Settings!$C$29+SUMIFS(AM$6:AM254,BP$6:BP254,1),2),"")</f>
        <v/>
      </c>
      <c r="BS254" s="76" t="str">
        <f aca="false">IF(BP254=1,MAX(Settings!$C$29,MAX(BR$6:BR254)),"")</f>
        <v/>
      </c>
      <c r="BT254" s="83" t="str">
        <f aca="false">IF(BP254=1,(BR254-BS254)/BS254,"")</f>
        <v/>
      </c>
      <c r="BU254" s="66" t="str">
        <f aca="false">IF(BP254=1,IF(AL254="Win",1+IF(BQ254=1,0,INDEX(BU$5:BU253,MATCH(BQ254-1,BQ$5:BQ253,0))),0),"")</f>
        <v/>
      </c>
      <c r="BV254" s="66" t="str">
        <f aca="false">IF(BP254=1,IF(AL254="Loss",1+IF(BQ254=1,0,INDEX(BV$5:BV253,MATCH(BQ254-1,BQ$5:BQ253,0))),0),"")</f>
        <v/>
      </c>
    </row>
    <row r="255" customFormat="false" ht="15" hidden="false" customHeight="false" outlineLevel="0" collapsed="false">
      <c r="A255" s="66" t="str">
        <f aca="false">IF(B255="","",ROW()-5)</f>
        <v/>
      </c>
      <c r="B255" s="67"/>
      <c r="C255" s="68" t="str">
        <f aca="false">IF(B255="","",CHOOSE(WEEKDAY(B255,2),"Mon","Tue","Wed","Thu","Fri","Sat","Sun"))</f>
        <v/>
      </c>
      <c r="D255" s="66" t="str">
        <f aca="false">IF(B255="","",WEEKNUM(B255,2))</f>
        <v/>
      </c>
      <c r="E255" s="69"/>
      <c r="F255" s="69"/>
      <c r="G255" s="70"/>
      <c r="H255" s="70"/>
      <c r="I255" s="69"/>
      <c r="J255" s="69"/>
      <c r="K255" s="69"/>
      <c r="L255" s="71"/>
      <c r="M255" s="69"/>
      <c r="N255" s="69"/>
      <c r="O255" s="69"/>
      <c r="P255" s="71"/>
      <c r="Q255" s="69"/>
      <c r="R255" s="69"/>
      <c r="S255" s="69"/>
      <c r="T255" s="69"/>
      <c r="U255" s="69"/>
      <c r="V255" s="69"/>
      <c r="W255" s="69"/>
      <c r="X255" s="66" t="str">
        <f aca="false">IF(B255="","",COUNTIF(Q255:W255,"Yes"))</f>
        <v/>
      </c>
      <c r="Y255" s="68" t="str">
        <f aca="false">IF(B255="","",IF(X255&gt;=Settings!$C$16,"A+",IF(X255&gt;=Settings!$C$17,"A",IF(X255&gt;=Settings!$C$18,"B","C"))))</f>
        <v/>
      </c>
      <c r="Z255" s="72"/>
      <c r="AA255" s="72"/>
      <c r="AB255" s="72"/>
      <c r="AC255" s="72"/>
      <c r="AD255" s="72"/>
      <c r="AE255" s="72"/>
      <c r="AF255" s="73"/>
      <c r="AG255" s="74"/>
      <c r="AH255" s="75"/>
      <c r="AI255" s="76" t="str">
        <f aca="false">IF(B255="","",ROUND(IF(AG255="",Settings!$C$5,AG255)*AW255,2))</f>
        <v/>
      </c>
      <c r="AJ255" s="77" t="str">
        <f aca="false">IF(OR(B255="",AB255="",AC255="",AD255=""),"",IFERROR(ROUND(ABS(AD255-AB255)/ABS(AB255-AC255),2),""))</f>
        <v/>
      </c>
      <c r="AK255" s="78" t="str">
        <f aca="false">IF(OR(B255="",AB255="",AC255="",AE255=""),"",IFERROR(ROUND(IF(J255="Short",AB255-AE255,AE255-AB255)/ABS(AB255-AC255),2),""))</f>
        <v/>
      </c>
      <c r="AL255" s="68" t="str">
        <f aca="false">IF(AK255="","",IF(ABS(AK255)&lt;=Settings!$C$6,"BE",IF(AK255&gt;0,"Win","Loss")))</f>
        <v/>
      </c>
      <c r="AM255" s="79" t="str">
        <f aca="false">IF(OR(AK255="",AI255=""),"",ROUND(AK255*AI255-N(AH255),2))</f>
        <v/>
      </c>
      <c r="AN255" s="76" t="str">
        <f aca="false">IF(AM255="","",ROUND(BK255+SUMIFS(AM$6:AM255,BJ$6:BJ255,BJ255),2))</f>
        <v/>
      </c>
      <c r="AO255" s="78" t="str">
        <f aca="false">IF(AK255="","",ROUND(SUMIFS(AK$6:AK255,BJ$6:BJ255,BJ255),2))</f>
        <v/>
      </c>
      <c r="AP255" s="80" t="str">
        <f aca="false">IF(OR(AK255="",BL255=""),"",IFERROR(ROUND(IF(J255="Short",AB255-AE255,AE255-AB255)/BL255,1),""))</f>
        <v/>
      </c>
      <c r="AQ255" s="66" t="str">
        <f aca="false">IF(OR(G255="",H255=""),"",ROUND(MOD(H255-G255,1)*1440,0))</f>
        <v/>
      </c>
      <c r="AR255" s="68" t="str">
        <f aca="false">IF(AQ255="","",IF(AQ255&lt;15,"Under 15m",IF(AQ255&lt;60,"15-60m",IF(AQ255&lt;240,"1-4 hours","4+ hours"))))</f>
        <v/>
      </c>
      <c r="AS255" s="66" t="str">
        <f aca="false">IF(G255="","",HOUR(G255))</f>
        <v/>
      </c>
      <c r="AT255" s="80" t="str">
        <f aca="false">IF(OR(Z255="",AB255="",BL255=""),"",IFERROR(ROUND(IF(J255="Short",Z255-AB255,AB255-Z255)/BL255,1),""))</f>
        <v/>
      </c>
      <c r="AU255" s="68" t="str">
        <f aca="false">IF(OR(AA255="",AC255=""),"",IF(AA255=AC255,"No","Yes"))</f>
        <v/>
      </c>
      <c r="AV255" s="81" t="str">
        <f aca="false">IF(OR(B255="",BL255="",BM255="",AB255="",AC255=""),"",IFERROR(ROUND(AI255/(ABS(AB255-AC255)/BL255*BM255),2),""))</f>
        <v/>
      </c>
      <c r="AW255" s="76" t="str">
        <f aca="false">IF(B255="","",ROUND(BK255+SUMIFS(AM$5:AM254,BJ$5:BJ254,BJ255),2))</f>
        <v/>
      </c>
      <c r="AX255" s="66" t="str">
        <f aca="false">IF(B255="","",COUNTIFS(B$6:B255,B255,BJ$6:BJ255,BJ255))</f>
        <v/>
      </c>
      <c r="AY255" s="79" t="str">
        <f aca="false">IF(B255="","",ROUND(SUMIFS(AM$5:AM254,B$5:B254,B255,BJ$5:BJ254,BJ255),2))</f>
        <v/>
      </c>
      <c r="AZ255" s="79" t="str">
        <f aca="false">IF(AM255="","",ROUND(AY255+AM255,2))</f>
        <v/>
      </c>
      <c r="BA255" s="79" t="str">
        <f aca="false">IF(B255="","",ROUND(SUMIFS(AM$5:AM254,B$5:B254,"&gt;="&amp;(B255-WEEKDAY(B255,2)+1),B$5:B254,"&lt;="&amp;B255,BJ$5:BJ254,BJ255),2))</f>
        <v/>
      </c>
      <c r="BB255" s="68" t="str">
        <f aca="false">IF(B255="","",IF(AND(AF255&lt;&gt;"",AV255&lt;&gt;"",N(AF255)&gt;N(AV255)*(1+Settings!$C$13)),"Oversized",IF(AX255&gt;Settings!$C$10,"Overtraded",IF(AY255&lt;=-Settings!$C$11*(AW255-AY255),"Daily loss hit",IF(BA255&lt;=-Settings!$C$12*(AW255-BA255),"Weekly loss hit","OK")))))</f>
        <v/>
      </c>
      <c r="BC255" s="69"/>
      <c r="BD255" s="69"/>
      <c r="BE255" s="69"/>
      <c r="BF255" s="73"/>
      <c r="BG255" s="73"/>
      <c r="BH255" s="71"/>
      <c r="BI255" s="71"/>
      <c r="BJ255" s="68" t="str">
        <f aca="false">IF(B255="","",IF(E255="",Settings!$F$5,E255))</f>
        <v/>
      </c>
      <c r="BK255" s="76" t="str">
        <f aca="false">IF(B255="","",IFERROR(INDEX(Settings!$G$5:$G$10,MATCH(BJ255,Settings!$F$5:$F$10,0)),Settings!$G$5))</f>
        <v/>
      </c>
      <c r="BL255" s="82" t="str">
        <f aca="false">IF(I255="","",IFERROR(1/(1/INDEX(Lists!$C$6:$C$17,MATCH(I255,Lists!$B$6:$B$17,0))),""))</f>
        <v/>
      </c>
      <c r="BM255" s="81" t="str">
        <f aca="false">IF(I255="","",IFERROR(1/(1/INDEX(Lists!$D$6:$D$17,MATCH(I255,Lists!$B$6:$B$17,0))),""))</f>
        <v/>
      </c>
      <c r="BN255" s="76" t="str">
        <f aca="false">IF(AN255="","",MAX(BK255,_xlfn.MAXIFS(AN$6:AN255,BJ$6:BJ255,BJ255)))</f>
        <v/>
      </c>
      <c r="BO255" s="83" t="str">
        <f aca="false">IF(AN255="","",(AN255-BN255)/BN255)</f>
        <v/>
      </c>
      <c r="BP255" s="66" t="n">
        <f aca="false">IF(OR(B255="",AL255=""),0,IF(OR(Settings!$C$28="All Accounts",BJ255=Settings!$C$28),1,0))</f>
        <v>0</v>
      </c>
      <c r="BQ255" s="66" t="str">
        <f aca="false">IF(BP255=1,SUM(BP$6:BP255),"")</f>
        <v/>
      </c>
      <c r="BR255" s="76" t="str">
        <f aca="false">IF(BP255=1,ROUND(Settings!$C$29+SUMIFS(AM$6:AM255,BP$6:BP255,1),2),"")</f>
        <v/>
      </c>
      <c r="BS255" s="76" t="str">
        <f aca="false">IF(BP255=1,MAX(Settings!$C$29,MAX(BR$6:BR255)),"")</f>
        <v/>
      </c>
      <c r="BT255" s="83" t="str">
        <f aca="false">IF(BP255=1,(BR255-BS255)/BS255,"")</f>
        <v/>
      </c>
      <c r="BU255" s="66" t="str">
        <f aca="false">IF(BP255=1,IF(AL255="Win",1+IF(BQ255=1,0,INDEX(BU$5:BU254,MATCH(BQ255-1,BQ$5:BQ254,0))),0),"")</f>
        <v/>
      </c>
      <c r="BV255" s="66" t="str">
        <f aca="false">IF(BP255=1,IF(AL255="Loss",1+IF(BQ255=1,0,INDEX(BV$5:BV254,MATCH(BQ255-1,BQ$5:BQ254,0))),0),"")</f>
        <v/>
      </c>
    </row>
    <row r="256" customFormat="false" ht="15" hidden="false" customHeight="false" outlineLevel="0" collapsed="false">
      <c r="A256" s="66" t="str">
        <f aca="false">IF(B256="","",ROW()-5)</f>
        <v/>
      </c>
      <c r="B256" s="67"/>
      <c r="C256" s="68" t="str">
        <f aca="false">IF(B256="","",CHOOSE(WEEKDAY(B256,2),"Mon","Tue","Wed","Thu","Fri","Sat","Sun"))</f>
        <v/>
      </c>
      <c r="D256" s="66" t="str">
        <f aca="false">IF(B256="","",WEEKNUM(B256,2))</f>
        <v/>
      </c>
      <c r="E256" s="69"/>
      <c r="F256" s="69"/>
      <c r="G256" s="70"/>
      <c r="H256" s="70"/>
      <c r="I256" s="69"/>
      <c r="J256" s="69"/>
      <c r="K256" s="69"/>
      <c r="L256" s="71"/>
      <c r="M256" s="69"/>
      <c r="N256" s="69"/>
      <c r="O256" s="69"/>
      <c r="P256" s="71"/>
      <c r="Q256" s="69"/>
      <c r="R256" s="69"/>
      <c r="S256" s="69"/>
      <c r="T256" s="69"/>
      <c r="U256" s="69"/>
      <c r="V256" s="69"/>
      <c r="W256" s="69"/>
      <c r="X256" s="66" t="str">
        <f aca="false">IF(B256="","",COUNTIF(Q256:W256,"Yes"))</f>
        <v/>
      </c>
      <c r="Y256" s="68" t="str">
        <f aca="false">IF(B256="","",IF(X256&gt;=Settings!$C$16,"A+",IF(X256&gt;=Settings!$C$17,"A",IF(X256&gt;=Settings!$C$18,"B","C"))))</f>
        <v/>
      </c>
      <c r="Z256" s="72"/>
      <c r="AA256" s="72"/>
      <c r="AB256" s="72"/>
      <c r="AC256" s="72"/>
      <c r="AD256" s="72"/>
      <c r="AE256" s="72"/>
      <c r="AF256" s="73"/>
      <c r="AG256" s="74"/>
      <c r="AH256" s="75"/>
      <c r="AI256" s="76" t="str">
        <f aca="false">IF(B256="","",ROUND(IF(AG256="",Settings!$C$5,AG256)*AW256,2))</f>
        <v/>
      </c>
      <c r="AJ256" s="77" t="str">
        <f aca="false">IF(OR(B256="",AB256="",AC256="",AD256=""),"",IFERROR(ROUND(ABS(AD256-AB256)/ABS(AB256-AC256),2),""))</f>
        <v/>
      </c>
      <c r="AK256" s="78" t="str">
        <f aca="false">IF(OR(B256="",AB256="",AC256="",AE256=""),"",IFERROR(ROUND(IF(J256="Short",AB256-AE256,AE256-AB256)/ABS(AB256-AC256),2),""))</f>
        <v/>
      </c>
      <c r="AL256" s="68" t="str">
        <f aca="false">IF(AK256="","",IF(ABS(AK256)&lt;=Settings!$C$6,"BE",IF(AK256&gt;0,"Win","Loss")))</f>
        <v/>
      </c>
      <c r="AM256" s="79" t="str">
        <f aca="false">IF(OR(AK256="",AI256=""),"",ROUND(AK256*AI256-N(AH256),2))</f>
        <v/>
      </c>
      <c r="AN256" s="76" t="str">
        <f aca="false">IF(AM256="","",ROUND(BK256+SUMIFS(AM$6:AM256,BJ$6:BJ256,BJ256),2))</f>
        <v/>
      </c>
      <c r="AO256" s="78" t="str">
        <f aca="false">IF(AK256="","",ROUND(SUMIFS(AK$6:AK256,BJ$6:BJ256,BJ256),2))</f>
        <v/>
      </c>
      <c r="AP256" s="80" t="str">
        <f aca="false">IF(OR(AK256="",BL256=""),"",IFERROR(ROUND(IF(J256="Short",AB256-AE256,AE256-AB256)/BL256,1),""))</f>
        <v/>
      </c>
      <c r="AQ256" s="66" t="str">
        <f aca="false">IF(OR(G256="",H256=""),"",ROUND(MOD(H256-G256,1)*1440,0))</f>
        <v/>
      </c>
      <c r="AR256" s="68" t="str">
        <f aca="false">IF(AQ256="","",IF(AQ256&lt;15,"Under 15m",IF(AQ256&lt;60,"15-60m",IF(AQ256&lt;240,"1-4 hours","4+ hours"))))</f>
        <v/>
      </c>
      <c r="AS256" s="66" t="str">
        <f aca="false">IF(G256="","",HOUR(G256))</f>
        <v/>
      </c>
      <c r="AT256" s="80" t="str">
        <f aca="false">IF(OR(Z256="",AB256="",BL256=""),"",IFERROR(ROUND(IF(J256="Short",Z256-AB256,AB256-Z256)/BL256,1),""))</f>
        <v/>
      </c>
      <c r="AU256" s="68" t="str">
        <f aca="false">IF(OR(AA256="",AC256=""),"",IF(AA256=AC256,"No","Yes"))</f>
        <v/>
      </c>
      <c r="AV256" s="81" t="str">
        <f aca="false">IF(OR(B256="",BL256="",BM256="",AB256="",AC256=""),"",IFERROR(ROUND(AI256/(ABS(AB256-AC256)/BL256*BM256),2),""))</f>
        <v/>
      </c>
      <c r="AW256" s="76" t="str">
        <f aca="false">IF(B256="","",ROUND(BK256+SUMIFS(AM$5:AM255,BJ$5:BJ255,BJ256),2))</f>
        <v/>
      </c>
      <c r="AX256" s="66" t="str">
        <f aca="false">IF(B256="","",COUNTIFS(B$6:B256,B256,BJ$6:BJ256,BJ256))</f>
        <v/>
      </c>
      <c r="AY256" s="79" t="str">
        <f aca="false">IF(B256="","",ROUND(SUMIFS(AM$5:AM255,B$5:B255,B256,BJ$5:BJ255,BJ256),2))</f>
        <v/>
      </c>
      <c r="AZ256" s="79" t="str">
        <f aca="false">IF(AM256="","",ROUND(AY256+AM256,2))</f>
        <v/>
      </c>
      <c r="BA256" s="79" t="str">
        <f aca="false">IF(B256="","",ROUND(SUMIFS(AM$5:AM255,B$5:B255,"&gt;="&amp;(B256-WEEKDAY(B256,2)+1),B$5:B255,"&lt;="&amp;B256,BJ$5:BJ255,BJ256),2))</f>
        <v/>
      </c>
      <c r="BB256" s="68" t="str">
        <f aca="false">IF(B256="","",IF(AND(AF256&lt;&gt;"",AV256&lt;&gt;"",N(AF256)&gt;N(AV256)*(1+Settings!$C$13)),"Oversized",IF(AX256&gt;Settings!$C$10,"Overtraded",IF(AY256&lt;=-Settings!$C$11*(AW256-AY256),"Daily loss hit",IF(BA256&lt;=-Settings!$C$12*(AW256-BA256),"Weekly loss hit","OK")))))</f>
        <v/>
      </c>
      <c r="BC256" s="69"/>
      <c r="BD256" s="69"/>
      <c r="BE256" s="69"/>
      <c r="BF256" s="73"/>
      <c r="BG256" s="73"/>
      <c r="BH256" s="71"/>
      <c r="BI256" s="71"/>
      <c r="BJ256" s="68" t="str">
        <f aca="false">IF(B256="","",IF(E256="",Settings!$F$5,E256))</f>
        <v/>
      </c>
      <c r="BK256" s="76" t="str">
        <f aca="false">IF(B256="","",IFERROR(INDEX(Settings!$G$5:$G$10,MATCH(BJ256,Settings!$F$5:$F$10,0)),Settings!$G$5))</f>
        <v/>
      </c>
      <c r="BL256" s="82" t="str">
        <f aca="false">IF(I256="","",IFERROR(1/(1/INDEX(Lists!$C$6:$C$17,MATCH(I256,Lists!$B$6:$B$17,0))),""))</f>
        <v/>
      </c>
      <c r="BM256" s="81" t="str">
        <f aca="false">IF(I256="","",IFERROR(1/(1/INDEX(Lists!$D$6:$D$17,MATCH(I256,Lists!$B$6:$B$17,0))),""))</f>
        <v/>
      </c>
      <c r="BN256" s="76" t="str">
        <f aca="false">IF(AN256="","",MAX(BK256,_xlfn.MAXIFS(AN$6:AN256,BJ$6:BJ256,BJ256)))</f>
        <v/>
      </c>
      <c r="BO256" s="83" t="str">
        <f aca="false">IF(AN256="","",(AN256-BN256)/BN256)</f>
        <v/>
      </c>
      <c r="BP256" s="66" t="n">
        <f aca="false">IF(OR(B256="",AL256=""),0,IF(OR(Settings!$C$28="All Accounts",BJ256=Settings!$C$28),1,0))</f>
        <v>0</v>
      </c>
      <c r="BQ256" s="66" t="str">
        <f aca="false">IF(BP256=1,SUM(BP$6:BP256),"")</f>
        <v/>
      </c>
      <c r="BR256" s="76" t="str">
        <f aca="false">IF(BP256=1,ROUND(Settings!$C$29+SUMIFS(AM$6:AM256,BP$6:BP256,1),2),"")</f>
        <v/>
      </c>
      <c r="BS256" s="76" t="str">
        <f aca="false">IF(BP256=1,MAX(Settings!$C$29,MAX(BR$6:BR256)),"")</f>
        <v/>
      </c>
      <c r="BT256" s="83" t="str">
        <f aca="false">IF(BP256=1,(BR256-BS256)/BS256,"")</f>
        <v/>
      </c>
      <c r="BU256" s="66" t="str">
        <f aca="false">IF(BP256=1,IF(AL256="Win",1+IF(BQ256=1,0,INDEX(BU$5:BU255,MATCH(BQ256-1,BQ$5:BQ255,0))),0),"")</f>
        <v/>
      </c>
      <c r="BV256" s="66" t="str">
        <f aca="false">IF(BP256=1,IF(AL256="Loss",1+IF(BQ256=1,0,INDEX(BV$5:BV255,MATCH(BQ256-1,BQ$5:BQ255,0))),0),"")</f>
        <v/>
      </c>
    </row>
    <row r="257" customFormat="false" ht="15" hidden="false" customHeight="false" outlineLevel="0" collapsed="false">
      <c r="A257" s="66" t="str">
        <f aca="false">IF(B257="","",ROW()-5)</f>
        <v/>
      </c>
      <c r="B257" s="67"/>
      <c r="C257" s="68" t="str">
        <f aca="false">IF(B257="","",CHOOSE(WEEKDAY(B257,2),"Mon","Tue","Wed","Thu","Fri","Sat","Sun"))</f>
        <v/>
      </c>
      <c r="D257" s="66" t="str">
        <f aca="false">IF(B257="","",WEEKNUM(B257,2))</f>
        <v/>
      </c>
      <c r="E257" s="69"/>
      <c r="F257" s="69"/>
      <c r="G257" s="70"/>
      <c r="H257" s="70"/>
      <c r="I257" s="69"/>
      <c r="J257" s="69"/>
      <c r="K257" s="69"/>
      <c r="L257" s="71"/>
      <c r="M257" s="69"/>
      <c r="N257" s="69"/>
      <c r="O257" s="69"/>
      <c r="P257" s="71"/>
      <c r="Q257" s="69"/>
      <c r="R257" s="69"/>
      <c r="S257" s="69"/>
      <c r="T257" s="69"/>
      <c r="U257" s="69"/>
      <c r="V257" s="69"/>
      <c r="W257" s="69"/>
      <c r="X257" s="66" t="str">
        <f aca="false">IF(B257="","",COUNTIF(Q257:W257,"Yes"))</f>
        <v/>
      </c>
      <c r="Y257" s="68" t="str">
        <f aca="false">IF(B257="","",IF(X257&gt;=Settings!$C$16,"A+",IF(X257&gt;=Settings!$C$17,"A",IF(X257&gt;=Settings!$C$18,"B","C"))))</f>
        <v/>
      </c>
      <c r="Z257" s="72"/>
      <c r="AA257" s="72"/>
      <c r="AB257" s="72"/>
      <c r="AC257" s="72"/>
      <c r="AD257" s="72"/>
      <c r="AE257" s="72"/>
      <c r="AF257" s="73"/>
      <c r="AG257" s="74"/>
      <c r="AH257" s="75"/>
      <c r="AI257" s="76" t="str">
        <f aca="false">IF(B257="","",ROUND(IF(AG257="",Settings!$C$5,AG257)*AW257,2))</f>
        <v/>
      </c>
      <c r="AJ257" s="77" t="str">
        <f aca="false">IF(OR(B257="",AB257="",AC257="",AD257=""),"",IFERROR(ROUND(ABS(AD257-AB257)/ABS(AB257-AC257),2),""))</f>
        <v/>
      </c>
      <c r="AK257" s="78" t="str">
        <f aca="false">IF(OR(B257="",AB257="",AC257="",AE257=""),"",IFERROR(ROUND(IF(J257="Short",AB257-AE257,AE257-AB257)/ABS(AB257-AC257),2),""))</f>
        <v/>
      </c>
      <c r="AL257" s="68" t="str">
        <f aca="false">IF(AK257="","",IF(ABS(AK257)&lt;=Settings!$C$6,"BE",IF(AK257&gt;0,"Win","Loss")))</f>
        <v/>
      </c>
      <c r="AM257" s="79" t="str">
        <f aca="false">IF(OR(AK257="",AI257=""),"",ROUND(AK257*AI257-N(AH257),2))</f>
        <v/>
      </c>
      <c r="AN257" s="76" t="str">
        <f aca="false">IF(AM257="","",ROUND(BK257+SUMIFS(AM$6:AM257,BJ$6:BJ257,BJ257),2))</f>
        <v/>
      </c>
      <c r="AO257" s="78" t="str">
        <f aca="false">IF(AK257="","",ROUND(SUMIFS(AK$6:AK257,BJ$6:BJ257,BJ257),2))</f>
        <v/>
      </c>
      <c r="AP257" s="80" t="str">
        <f aca="false">IF(OR(AK257="",BL257=""),"",IFERROR(ROUND(IF(J257="Short",AB257-AE257,AE257-AB257)/BL257,1),""))</f>
        <v/>
      </c>
      <c r="AQ257" s="66" t="str">
        <f aca="false">IF(OR(G257="",H257=""),"",ROUND(MOD(H257-G257,1)*1440,0))</f>
        <v/>
      </c>
      <c r="AR257" s="68" t="str">
        <f aca="false">IF(AQ257="","",IF(AQ257&lt;15,"Under 15m",IF(AQ257&lt;60,"15-60m",IF(AQ257&lt;240,"1-4 hours","4+ hours"))))</f>
        <v/>
      </c>
      <c r="AS257" s="66" t="str">
        <f aca="false">IF(G257="","",HOUR(G257))</f>
        <v/>
      </c>
      <c r="AT257" s="80" t="str">
        <f aca="false">IF(OR(Z257="",AB257="",BL257=""),"",IFERROR(ROUND(IF(J257="Short",Z257-AB257,AB257-Z257)/BL257,1),""))</f>
        <v/>
      </c>
      <c r="AU257" s="68" t="str">
        <f aca="false">IF(OR(AA257="",AC257=""),"",IF(AA257=AC257,"No","Yes"))</f>
        <v/>
      </c>
      <c r="AV257" s="81" t="str">
        <f aca="false">IF(OR(B257="",BL257="",BM257="",AB257="",AC257=""),"",IFERROR(ROUND(AI257/(ABS(AB257-AC257)/BL257*BM257),2),""))</f>
        <v/>
      </c>
      <c r="AW257" s="76" t="str">
        <f aca="false">IF(B257="","",ROUND(BK257+SUMIFS(AM$5:AM256,BJ$5:BJ256,BJ257),2))</f>
        <v/>
      </c>
      <c r="AX257" s="66" t="str">
        <f aca="false">IF(B257="","",COUNTIFS(B$6:B257,B257,BJ$6:BJ257,BJ257))</f>
        <v/>
      </c>
      <c r="AY257" s="79" t="str">
        <f aca="false">IF(B257="","",ROUND(SUMIFS(AM$5:AM256,B$5:B256,B257,BJ$5:BJ256,BJ257),2))</f>
        <v/>
      </c>
      <c r="AZ257" s="79" t="str">
        <f aca="false">IF(AM257="","",ROUND(AY257+AM257,2))</f>
        <v/>
      </c>
      <c r="BA257" s="79" t="str">
        <f aca="false">IF(B257="","",ROUND(SUMIFS(AM$5:AM256,B$5:B256,"&gt;="&amp;(B257-WEEKDAY(B257,2)+1),B$5:B256,"&lt;="&amp;B257,BJ$5:BJ256,BJ257),2))</f>
        <v/>
      </c>
      <c r="BB257" s="68" t="str">
        <f aca="false">IF(B257="","",IF(AND(AF257&lt;&gt;"",AV257&lt;&gt;"",N(AF257)&gt;N(AV257)*(1+Settings!$C$13)),"Oversized",IF(AX257&gt;Settings!$C$10,"Overtraded",IF(AY257&lt;=-Settings!$C$11*(AW257-AY257),"Daily loss hit",IF(BA257&lt;=-Settings!$C$12*(AW257-BA257),"Weekly loss hit","OK")))))</f>
        <v/>
      </c>
      <c r="BC257" s="69"/>
      <c r="BD257" s="69"/>
      <c r="BE257" s="69"/>
      <c r="BF257" s="73"/>
      <c r="BG257" s="73"/>
      <c r="BH257" s="71"/>
      <c r="BI257" s="71"/>
      <c r="BJ257" s="68" t="str">
        <f aca="false">IF(B257="","",IF(E257="",Settings!$F$5,E257))</f>
        <v/>
      </c>
      <c r="BK257" s="76" t="str">
        <f aca="false">IF(B257="","",IFERROR(INDEX(Settings!$G$5:$G$10,MATCH(BJ257,Settings!$F$5:$F$10,0)),Settings!$G$5))</f>
        <v/>
      </c>
      <c r="BL257" s="82" t="str">
        <f aca="false">IF(I257="","",IFERROR(1/(1/INDEX(Lists!$C$6:$C$17,MATCH(I257,Lists!$B$6:$B$17,0))),""))</f>
        <v/>
      </c>
      <c r="BM257" s="81" t="str">
        <f aca="false">IF(I257="","",IFERROR(1/(1/INDEX(Lists!$D$6:$D$17,MATCH(I257,Lists!$B$6:$B$17,0))),""))</f>
        <v/>
      </c>
      <c r="BN257" s="76" t="str">
        <f aca="false">IF(AN257="","",MAX(BK257,_xlfn.MAXIFS(AN$6:AN257,BJ$6:BJ257,BJ257)))</f>
        <v/>
      </c>
      <c r="BO257" s="83" t="str">
        <f aca="false">IF(AN257="","",(AN257-BN257)/BN257)</f>
        <v/>
      </c>
      <c r="BP257" s="66" t="n">
        <f aca="false">IF(OR(B257="",AL257=""),0,IF(OR(Settings!$C$28="All Accounts",BJ257=Settings!$C$28),1,0))</f>
        <v>0</v>
      </c>
      <c r="BQ257" s="66" t="str">
        <f aca="false">IF(BP257=1,SUM(BP$6:BP257),"")</f>
        <v/>
      </c>
      <c r="BR257" s="76" t="str">
        <f aca="false">IF(BP257=1,ROUND(Settings!$C$29+SUMIFS(AM$6:AM257,BP$6:BP257,1),2),"")</f>
        <v/>
      </c>
      <c r="BS257" s="76" t="str">
        <f aca="false">IF(BP257=1,MAX(Settings!$C$29,MAX(BR$6:BR257)),"")</f>
        <v/>
      </c>
      <c r="BT257" s="83" t="str">
        <f aca="false">IF(BP257=1,(BR257-BS257)/BS257,"")</f>
        <v/>
      </c>
      <c r="BU257" s="66" t="str">
        <f aca="false">IF(BP257=1,IF(AL257="Win",1+IF(BQ257=1,0,INDEX(BU$5:BU256,MATCH(BQ257-1,BQ$5:BQ256,0))),0),"")</f>
        <v/>
      </c>
      <c r="BV257" s="66" t="str">
        <f aca="false">IF(BP257=1,IF(AL257="Loss",1+IF(BQ257=1,0,INDEX(BV$5:BV256,MATCH(BQ257-1,BQ$5:BQ256,0))),0),"")</f>
        <v/>
      </c>
    </row>
    <row r="258" customFormat="false" ht="15" hidden="false" customHeight="false" outlineLevel="0" collapsed="false">
      <c r="A258" s="66" t="str">
        <f aca="false">IF(B258="","",ROW()-5)</f>
        <v/>
      </c>
      <c r="B258" s="67"/>
      <c r="C258" s="68" t="str">
        <f aca="false">IF(B258="","",CHOOSE(WEEKDAY(B258,2),"Mon","Tue","Wed","Thu","Fri","Sat","Sun"))</f>
        <v/>
      </c>
      <c r="D258" s="66" t="str">
        <f aca="false">IF(B258="","",WEEKNUM(B258,2))</f>
        <v/>
      </c>
      <c r="E258" s="69"/>
      <c r="F258" s="69"/>
      <c r="G258" s="70"/>
      <c r="H258" s="70"/>
      <c r="I258" s="69"/>
      <c r="J258" s="69"/>
      <c r="K258" s="69"/>
      <c r="L258" s="71"/>
      <c r="M258" s="69"/>
      <c r="N258" s="69"/>
      <c r="O258" s="69"/>
      <c r="P258" s="71"/>
      <c r="Q258" s="69"/>
      <c r="R258" s="69"/>
      <c r="S258" s="69"/>
      <c r="T258" s="69"/>
      <c r="U258" s="69"/>
      <c r="V258" s="69"/>
      <c r="W258" s="69"/>
      <c r="X258" s="66" t="str">
        <f aca="false">IF(B258="","",COUNTIF(Q258:W258,"Yes"))</f>
        <v/>
      </c>
      <c r="Y258" s="68" t="str">
        <f aca="false">IF(B258="","",IF(X258&gt;=Settings!$C$16,"A+",IF(X258&gt;=Settings!$C$17,"A",IF(X258&gt;=Settings!$C$18,"B","C"))))</f>
        <v/>
      </c>
      <c r="Z258" s="72"/>
      <c r="AA258" s="72"/>
      <c r="AB258" s="72"/>
      <c r="AC258" s="72"/>
      <c r="AD258" s="72"/>
      <c r="AE258" s="72"/>
      <c r="AF258" s="73"/>
      <c r="AG258" s="74"/>
      <c r="AH258" s="75"/>
      <c r="AI258" s="76" t="str">
        <f aca="false">IF(B258="","",ROUND(IF(AG258="",Settings!$C$5,AG258)*AW258,2))</f>
        <v/>
      </c>
      <c r="AJ258" s="77" t="str">
        <f aca="false">IF(OR(B258="",AB258="",AC258="",AD258=""),"",IFERROR(ROUND(ABS(AD258-AB258)/ABS(AB258-AC258),2),""))</f>
        <v/>
      </c>
      <c r="AK258" s="78" t="str">
        <f aca="false">IF(OR(B258="",AB258="",AC258="",AE258=""),"",IFERROR(ROUND(IF(J258="Short",AB258-AE258,AE258-AB258)/ABS(AB258-AC258),2),""))</f>
        <v/>
      </c>
      <c r="AL258" s="68" t="str">
        <f aca="false">IF(AK258="","",IF(ABS(AK258)&lt;=Settings!$C$6,"BE",IF(AK258&gt;0,"Win","Loss")))</f>
        <v/>
      </c>
      <c r="AM258" s="79" t="str">
        <f aca="false">IF(OR(AK258="",AI258=""),"",ROUND(AK258*AI258-N(AH258),2))</f>
        <v/>
      </c>
      <c r="AN258" s="76" t="str">
        <f aca="false">IF(AM258="","",ROUND(BK258+SUMIFS(AM$6:AM258,BJ$6:BJ258,BJ258),2))</f>
        <v/>
      </c>
      <c r="AO258" s="78" t="str">
        <f aca="false">IF(AK258="","",ROUND(SUMIFS(AK$6:AK258,BJ$6:BJ258,BJ258),2))</f>
        <v/>
      </c>
      <c r="AP258" s="80" t="str">
        <f aca="false">IF(OR(AK258="",BL258=""),"",IFERROR(ROUND(IF(J258="Short",AB258-AE258,AE258-AB258)/BL258,1),""))</f>
        <v/>
      </c>
      <c r="AQ258" s="66" t="str">
        <f aca="false">IF(OR(G258="",H258=""),"",ROUND(MOD(H258-G258,1)*1440,0))</f>
        <v/>
      </c>
      <c r="AR258" s="68" t="str">
        <f aca="false">IF(AQ258="","",IF(AQ258&lt;15,"Under 15m",IF(AQ258&lt;60,"15-60m",IF(AQ258&lt;240,"1-4 hours","4+ hours"))))</f>
        <v/>
      </c>
      <c r="AS258" s="66" t="str">
        <f aca="false">IF(G258="","",HOUR(G258))</f>
        <v/>
      </c>
      <c r="AT258" s="80" t="str">
        <f aca="false">IF(OR(Z258="",AB258="",BL258=""),"",IFERROR(ROUND(IF(J258="Short",Z258-AB258,AB258-Z258)/BL258,1),""))</f>
        <v/>
      </c>
      <c r="AU258" s="68" t="str">
        <f aca="false">IF(OR(AA258="",AC258=""),"",IF(AA258=AC258,"No","Yes"))</f>
        <v/>
      </c>
      <c r="AV258" s="81" t="str">
        <f aca="false">IF(OR(B258="",BL258="",BM258="",AB258="",AC258=""),"",IFERROR(ROUND(AI258/(ABS(AB258-AC258)/BL258*BM258),2),""))</f>
        <v/>
      </c>
      <c r="AW258" s="76" t="str">
        <f aca="false">IF(B258="","",ROUND(BK258+SUMIFS(AM$5:AM257,BJ$5:BJ257,BJ258),2))</f>
        <v/>
      </c>
      <c r="AX258" s="66" t="str">
        <f aca="false">IF(B258="","",COUNTIFS(B$6:B258,B258,BJ$6:BJ258,BJ258))</f>
        <v/>
      </c>
      <c r="AY258" s="79" t="str">
        <f aca="false">IF(B258="","",ROUND(SUMIFS(AM$5:AM257,B$5:B257,B258,BJ$5:BJ257,BJ258),2))</f>
        <v/>
      </c>
      <c r="AZ258" s="79" t="str">
        <f aca="false">IF(AM258="","",ROUND(AY258+AM258,2))</f>
        <v/>
      </c>
      <c r="BA258" s="79" t="str">
        <f aca="false">IF(B258="","",ROUND(SUMIFS(AM$5:AM257,B$5:B257,"&gt;="&amp;(B258-WEEKDAY(B258,2)+1),B$5:B257,"&lt;="&amp;B258,BJ$5:BJ257,BJ258),2))</f>
        <v/>
      </c>
      <c r="BB258" s="68" t="str">
        <f aca="false">IF(B258="","",IF(AND(AF258&lt;&gt;"",AV258&lt;&gt;"",N(AF258)&gt;N(AV258)*(1+Settings!$C$13)),"Oversized",IF(AX258&gt;Settings!$C$10,"Overtraded",IF(AY258&lt;=-Settings!$C$11*(AW258-AY258),"Daily loss hit",IF(BA258&lt;=-Settings!$C$12*(AW258-BA258),"Weekly loss hit","OK")))))</f>
        <v/>
      </c>
      <c r="BC258" s="69"/>
      <c r="BD258" s="69"/>
      <c r="BE258" s="69"/>
      <c r="BF258" s="73"/>
      <c r="BG258" s="73"/>
      <c r="BH258" s="71"/>
      <c r="BI258" s="71"/>
      <c r="BJ258" s="68" t="str">
        <f aca="false">IF(B258="","",IF(E258="",Settings!$F$5,E258))</f>
        <v/>
      </c>
      <c r="BK258" s="76" t="str">
        <f aca="false">IF(B258="","",IFERROR(INDEX(Settings!$G$5:$G$10,MATCH(BJ258,Settings!$F$5:$F$10,0)),Settings!$G$5))</f>
        <v/>
      </c>
      <c r="BL258" s="82" t="str">
        <f aca="false">IF(I258="","",IFERROR(1/(1/INDEX(Lists!$C$6:$C$17,MATCH(I258,Lists!$B$6:$B$17,0))),""))</f>
        <v/>
      </c>
      <c r="BM258" s="81" t="str">
        <f aca="false">IF(I258="","",IFERROR(1/(1/INDEX(Lists!$D$6:$D$17,MATCH(I258,Lists!$B$6:$B$17,0))),""))</f>
        <v/>
      </c>
      <c r="BN258" s="76" t="str">
        <f aca="false">IF(AN258="","",MAX(BK258,_xlfn.MAXIFS(AN$6:AN258,BJ$6:BJ258,BJ258)))</f>
        <v/>
      </c>
      <c r="BO258" s="83" t="str">
        <f aca="false">IF(AN258="","",(AN258-BN258)/BN258)</f>
        <v/>
      </c>
      <c r="BP258" s="66" t="n">
        <f aca="false">IF(OR(B258="",AL258=""),0,IF(OR(Settings!$C$28="All Accounts",BJ258=Settings!$C$28),1,0))</f>
        <v>0</v>
      </c>
      <c r="BQ258" s="66" t="str">
        <f aca="false">IF(BP258=1,SUM(BP$6:BP258),"")</f>
        <v/>
      </c>
      <c r="BR258" s="76" t="str">
        <f aca="false">IF(BP258=1,ROUND(Settings!$C$29+SUMIFS(AM$6:AM258,BP$6:BP258,1),2),"")</f>
        <v/>
      </c>
      <c r="BS258" s="76" t="str">
        <f aca="false">IF(BP258=1,MAX(Settings!$C$29,MAX(BR$6:BR258)),"")</f>
        <v/>
      </c>
      <c r="BT258" s="83" t="str">
        <f aca="false">IF(BP258=1,(BR258-BS258)/BS258,"")</f>
        <v/>
      </c>
      <c r="BU258" s="66" t="str">
        <f aca="false">IF(BP258=1,IF(AL258="Win",1+IF(BQ258=1,0,INDEX(BU$5:BU257,MATCH(BQ258-1,BQ$5:BQ257,0))),0),"")</f>
        <v/>
      </c>
      <c r="BV258" s="66" t="str">
        <f aca="false">IF(BP258=1,IF(AL258="Loss",1+IF(BQ258=1,0,INDEX(BV$5:BV257,MATCH(BQ258-1,BQ$5:BQ257,0))),0),"")</f>
        <v/>
      </c>
    </row>
    <row r="259" customFormat="false" ht="15" hidden="false" customHeight="false" outlineLevel="0" collapsed="false">
      <c r="A259" s="66" t="str">
        <f aca="false">IF(B259="","",ROW()-5)</f>
        <v/>
      </c>
      <c r="B259" s="67"/>
      <c r="C259" s="68" t="str">
        <f aca="false">IF(B259="","",CHOOSE(WEEKDAY(B259,2),"Mon","Tue","Wed","Thu","Fri","Sat","Sun"))</f>
        <v/>
      </c>
      <c r="D259" s="66" t="str">
        <f aca="false">IF(B259="","",WEEKNUM(B259,2))</f>
        <v/>
      </c>
      <c r="E259" s="69"/>
      <c r="F259" s="69"/>
      <c r="G259" s="70"/>
      <c r="H259" s="70"/>
      <c r="I259" s="69"/>
      <c r="J259" s="69"/>
      <c r="K259" s="69"/>
      <c r="L259" s="71"/>
      <c r="M259" s="69"/>
      <c r="N259" s="69"/>
      <c r="O259" s="69"/>
      <c r="P259" s="71"/>
      <c r="Q259" s="69"/>
      <c r="R259" s="69"/>
      <c r="S259" s="69"/>
      <c r="T259" s="69"/>
      <c r="U259" s="69"/>
      <c r="V259" s="69"/>
      <c r="W259" s="69"/>
      <c r="X259" s="66" t="str">
        <f aca="false">IF(B259="","",COUNTIF(Q259:W259,"Yes"))</f>
        <v/>
      </c>
      <c r="Y259" s="68" t="str">
        <f aca="false">IF(B259="","",IF(X259&gt;=Settings!$C$16,"A+",IF(X259&gt;=Settings!$C$17,"A",IF(X259&gt;=Settings!$C$18,"B","C"))))</f>
        <v/>
      </c>
      <c r="Z259" s="72"/>
      <c r="AA259" s="72"/>
      <c r="AB259" s="72"/>
      <c r="AC259" s="72"/>
      <c r="AD259" s="72"/>
      <c r="AE259" s="72"/>
      <c r="AF259" s="73"/>
      <c r="AG259" s="74"/>
      <c r="AH259" s="75"/>
      <c r="AI259" s="76" t="str">
        <f aca="false">IF(B259="","",ROUND(IF(AG259="",Settings!$C$5,AG259)*AW259,2))</f>
        <v/>
      </c>
      <c r="AJ259" s="77" t="str">
        <f aca="false">IF(OR(B259="",AB259="",AC259="",AD259=""),"",IFERROR(ROUND(ABS(AD259-AB259)/ABS(AB259-AC259),2),""))</f>
        <v/>
      </c>
      <c r="AK259" s="78" t="str">
        <f aca="false">IF(OR(B259="",AB259="",AC259="",AE259=""),"",IFERROR(ROUND(IF(J259="Short",AB259-AE259,AE259-AB259)/ABS(AB259-AC259),2),""))</f>
        <v/>
      </c>
      <c r="AL259" s="68" t="str">
        <f aca="false">IF(AK259="","",IF(ABS(AK259)&lt;=Settings!$C$6,"BE",IF(AK259&gt;0,"Win","Loss")))</f>
        <v/>
      </c>
      <c r="AM259" s="79" t="str">
        <f aca="false">IF(OR(AK259="",AI259=""),"",ROUND(AK259*AI259-N(AH259),2))</f>
        <v/>
      </c>
      <c r="AN259" s="76" t="str">
        <f aca="false">IF(AM259="","",ROUND(BK259+SUMIFS(AM$6:AM259,BJ$6:BJ259,BJ259),2))</f>
        <v/>
      </c>
      <c r="AO259" s="78" t="str">
        <f aca="false">IF(AK259="","",ROUND(SUMIFS(AK$6:AK259,BJ$6:BJ259,BJ259),2))</f>
        <v/>
      </c>
      <c r="AP259" s="80" t="str">
        <f aca="false">IF(OR(AK259="",BL259=""),"",IFERROR(ROUND(IF(J259="Short",AB259-AE259,AE259-AB259)/BL259,1),""))</f>
        <v/>
      </c>
      <c r="AQ259" s="66" t="str">
        <f aca="false">IF(OR(G259="",H259=""),"",ROUND(MOD(H259-G259,1)*1440,0))</f>
        <v/>
      </c>
      <c r="AR259" s="68" t="str">
        <f aca="false">IF(AQ259="","",IF(AQ259&lt;15,"Under 15m",IF(AQ259&lt;60,"15-60m",IF(AQ259&lt;240,"1-4 hours","4+ hours"))))</f>
        <v/>
      </c>
      <c r="AS259" s="66" t="str">
        <f aca="false">IF(G259="","",HOUR(G259))</f>
        <v/>
      </c>
      <c r="AT259" s="80" t="str">
        <f aca="false">IF(OR(Z259="",AB259="",BL259=""),"",IFERROR(ROUND(IF(J259="Short",Z259-AB259,AB259-Z259)/BL259,1),""))</f>
        <v/>
      </c>
      <c r="AU259" s="68" t="str">
        <f aca="false">IF(OR(AA259="",AC259=""),"",IF(AA259=AC259,"No","Yes"))</f>
        <v/>
      </c>
      <c r="AV259" s="81" t="str">
        <f aca="false">IF(OR(B259="",BL259="",BM259="",AB259="",AC259=""),"",IFERROR(ROUND(AI259/(ABS(AB259-AC259)/BL259*BM259),2),""))</f>
        <v/>
      </c>
      <c r="AW259" s="76" t="str">
        <f aca="false">IF(B259="","",ROUND(BK259+SUMIFS(AM$5:AM258,BJ$5:BJ258,BJ259),2))</f>
        <v/>
      </c>
      <c r="AX259" s="66" t="str">
        <f aca="false">IF(B259="","",COUNTIFS(B$6:B259,B259,BJ$6:BJ259,BJ259))</f>
        <v/>
      </c>
      <c r="AY259" s="79" t="str">
        <f aca="false">IF(B259="","",ROUND(SUMIFS(AM$5:AM258,B$5:B258,B259,BJ$5:BJ258,BJ259),2))</f>
        <v/>
      </c>
      <c r="AZ259" s="79" t="str">
        <f aca="false">IF(AM259="","",ROUND(AY259+AM259,2))</f>
        <v/>
      </c>
      <c r="BA259" s="79" t="str">
        <f aca="false">IF(B259="","",ROUND(SUMIFS(AM$5:AM258,B$5:B258,"&gt;="&amp;(B259-WEEKDAY(B259,2)+1),B$5:B258,"&lt;="&amp;B259,BJ$5:BJ258,BJ259),2))</f>
        <v/>
      </c>
      <c r="BB259" s="68" t="str">
        <f aca="false">IF(B259="","",IF(AND(AF259&lt;&gt;"",AV259&lt;&gt;"",N(AF259)&gt;N(AV259)*(1+Settings!$C$13)),"Oversized",IF(AX259&gt;Settings!$C$10,"Overtraded",IF(AY259&lt;=-Settings!$C$11*(AW259-AY259),"Daily loss hit",IF(BA259&lt;=-Settings!$C$12*(AW259-BA259),"Weekly loss hit","OK")))))</f>
        <v/>
      </c>
      <c r="BC259" s="69"/>
      <c r="BD259" s="69"/>
      <c r="BE259" s="69"/>
      <c r="BF259" s="73"/>
      <c r="BG259" s="73"/>
      <c r="BH259" s="71"/>
      <c r="BI259" s="71"/>
      <c r="BJ259" s="68" t="str">
        <f aca="false">IF(B259="","",IF(E259="",Settings!$F$5,E259))</f>
        <v/>
      </c>
      <c r="BK259" s="76" t="str">
        <f aca="false">IF(B259="","",IFERROR(INDEX(Settings!$G$5:$G$10,MATCH(BJ259,Settings!$F$5:$F$10,0)),Settings!$G$5))</f>
        <v/>
      </c>
      <c r="BL259" s="82" t="str">
        <f aca="false">IF(I259="","",IFERROR(1/(1/INDEX(Lists!$C$6:$C$17,MATCH(I259,Lists!$B$6:$B$17,0))),""))</f>
        <v/>
      </c>
      <c r="BM259" s="81" t="str">
        <f aca="false">IF(I259="","",IFERROR(1/(1/INDEX(Lists!$D$6:$D$17,MATCH(I259,Lists!$B$6:$B$17,0))),""))</f>
        <v/>
      </c>
      <c r="BN259" s="76" t="str">
        <f aca="false">IF(AN259="","",MAX(BK259,_xlfn.MAXIFS(AN$6:AN259,BJ$6:BJ259,BJ259)))</f>
        <v/>
      </c>
      <c r="BO259" s="83" t="str">
        <f aca="false">IF(AN259="","",(AN259-BN259)/BN259)</f>
        <v/>
      </c>
      <c r="BP259" s="66" t="n">
        <f aca="false">IF(OR(B259="",AL259=""),0,IF(OR(Settings!$C$28="All Accounts",BJ259=Settings!$C$28),1,0))</f>
        <v>0</v>
      </c>
      <c r="BQ259" s="66" t="str">
        <f aca="false">IF(BP259=1,SUM(BP$6:BP259),"")</f>
        <v/>
      </c>
      <c r="BR259" s="76" t="str">
        <f aca="false">IF(BP259=1,ROUND(Settings!$C$29+SUMIFS(AM$6:AM259,BP$6:BP259,1),2),"")</f>
        <v/>
      </c>
      <c r="BS259" s="76" t="str">
        <f aca="false">IF(BP259=1,MAX(Settings!$C$29,MAX(BR$6:BR259)),"")</f>
        <v/>
      </c>
      <c r="BT259" s="83" t="str">
        <f aca="false">IF(BP259=1,(BR259-BS259)/BS259,"")</f>
        <v/>
      </c>
      <c r="BU259" s="66" t="str">
        <f aca="false">IF(BP259=1,IF(AL259="Win",1+IF(BQ259=1,0,INDEX(BU$5:BU258,MATCH(BQ259-1,BQ$5:BQ258,0))),0),"")</f>
        <v/>
      </c>
      <c r="BV259" s="66" t="str">
        <f aca="false">IF(BP259=1,IF(AL259="Loss",1+IF(BQ259=1,0,INDEX(BV$5:BV258,MATCH(BQ259-1,BQ$5:BQ258,0))),0),"")</f>
        <v/>
      </c>
    </row>
    <row r="260" customFormat="false" ht="15" hidden="false" customHeight="false" outlineLevel="0" collapsed="false">
      <c r="A260" s="66" t="str">
        <f aca="false">IF(B260="","",ROW()-5)</f>
        <v/>
      </c>
      <c r="B260" s="67"/>
      <c r="C260" s="68" t="str">
        <f aca="false">IF(B260="","",CHOOSE(WEEKDAY(B260,2),"Mon","Tue","Wed","Thu","Fri","Sat","Sun"))</f>
        <v/>
      </c>
      <c r="D260" s="66" t="str">
        <f aca="false">IF(B260="","",WEEKNUM(B260,2))</f>
        <v/>
      </c>
      <c r="E260" s="69"/>
      <c r="F260" s="69"/>
      <c r="G260" s="70"/>
      <c r="H260" s="70"/>
      <c r="I260" s="69"/>
      <c r="J260" s="69"/>
      <c r="K260" s="69"/>
      <c r="L260" s="71"/>
      <c r="M260" s="69"/>
      <c r="N260" s="69"/>
      <c r="O260" s="69"/>
      <c r="P260" s="71"/>
      <c r="Q260" s="69"/>
      <c r="R260" s="69"/>
      <c r="S260" s="69"/>
      <c r="T260" s="69"/>
      <c r="U260" s="69"/>
      <c r="V260" s="69"/>
      <c r="W260" s="69"/>
      <c r="X260" s="66" t="str">
        <f aca="false">IF(B260="","",COUNTIF(Q260:W260,"Yes"))</f>
        <v/>
      </c>
      <c r="Y260" s="68" t="str">
        <f aca="false">IF(B260="","",IF(X260&gt;=Settings!$C$16,"A+",IF(X260&gt;=Settings!$C$17,"A",IF(X260&gt;=Settings!$C$18,"B","C"))))</f>
        <v/>
      </c>
      <c r="Z260" s="72"/>
      <c r="AA260" s="72"/>
      <c r="AB260" s="72"/>
      <c r="AC260" s="72"/>
      <c r="AD260" s="72"/>
      <c r="AE260" s="72"/>
      <c r="AF260" s="73"/>
      <c r="AG260" s="74"/>
      <c r="AH260" s="75"/>
      <c r="AI260" s="76" t="str">
        <f aca="false">IF(B260="","",ROUND(IF(AG260="",Settings!$C$5,AG260)*AW260,2))</f>
        <v/>
      </c>
      <c r="AJ260" s="77" t="str">
        <f aca="false">IF(OR(B260="",AB260="",AC260="",AD260=""),"",IFERROR(ROUND(ABS(AD260-AB260)/ABS(AB260-AC260),2),""))</f>
        <v/>
      </c>
      <c r="AK260" s="78" t="str">
        <f aca="false">IF(OR(B260="",AB260="",AC260="",AE260=""),"",IFERROR(ROUND(IF(J260="Short",AB260-AE260,AE260-AB260)/ABS(AB260-AC260),2),""))</f>
        <v/>
      </c>
      <c r="AL260" s="68" t="str">
        <f aca="false">IF(AK260="","",IF(ABS(AK260)&lt;=Settings!$C$6,"BE",IF(AK260&gt;0,"Win","Loss")))</f>
        <v/>
      </c>
      <c r="AM260" s="79" t="str">
        <f aca="false">IF(OR(AK260="",AI260=""),"",ROUND(AK260*AI260-N(AH260),2))</f>
        <v/>
      </c>
      <c r="AN260" s="76" t="str">
        <f aca="false">IF(AM260="","",ROUND(BK260+SUMIFS(AM$6:AM260,BJ$6:BJ260,BJ260),2))</f>
        <v/>
      </c>
      <c r="AO260" s="78" t="str">
        <f aca="false">IF(AK260="","",ROUND(SUMIFS(AK$6:AK260,BJ$6:BJ260,BJ260),2))</f>
        <v/>
      </c>
      <c r="AP260" s="80" t="str">
        <f aca="false">IF(OR(AK260="",BL260=""),"",IFERROR(ROUND(IF(J260="Short",AB260-AE260,AE260-AB260)/BL260,1),""))</f>
        <v/>
      </c>
      <c r="AQ260" s="66" t="str">
        <f aca="false">IF(OR(G260="",H260=""),"",ROUND(MOD(H260-G260,1)*1440,0))</f>
        <v/>
      </c>
      <c r="AR260" s="68" t="str">
        <f aca="false">IF(AQ260="","",IF(AQ260&lt;15,"Under 15m",IF(AQ260&lt;60,"15-60m",IF(AQ260&lt;240,"1-4 hours","4+ hours"))))</f>
        <v/>
      </c>
      <c r="AS260" s="66" t="str">
        <f aca="false">IF(G260="","",HOUR(G260))</f>
        <v/>
      </c>
      <c r="AT260" s="80" t="str">
        <f aca="false">IF(OR(Z260="",AB260="",BL260=""),"",IFERROR(ROUND(IF(J260="Short",Z260-AB260,AB260-Z260)/BL260,1),""))</f>
        <v/>
      </c>
      <c r="AU260" s="68" t="str">
        <f aca="false">IF(OR(AA260="",AC260=""),"",IF(AA260=AC260,"No","Yes"))</f>
        <v/>
      </c>
      <c r="AV260" s="81" t="str">
        <f aca="false">IF(OR(B260="",BL260="",BM260="",AB260="",AC260=""),"",IFERROR(ROUND(AI260/(ABS(AB260-AC260)/BL260*BM260),2),""))</f>
        <v/>
      </c>
      <c r="AW260" s="76" t="str">
        <f aca="false">IF(B260="","",ROUND(BK260+SUMIFS(AM$5:AM259,BJ$5:BJ259,BJ260),2))</f>
        <v/>
      </c>
      <c r="AX260" s="66" t="str">
        <f aca="false">IF(B260="","",COUNTIFS(B$6:B260,B260,BJ$6:BJ260,BJ260))</f>
        <v/>
      </c>
      <c r="AY260" s="79" t="str">
        <f aca="false">IF(B260="","",ROUND(SUMIFS(AM$5:AM259,B$5:B259,B260,BJ$5:BJ259,BJ260),2))</f>
        <v/>
      </c>
      <c r="AZ260" s="79" t="str">
        <f aca="false">IF(AM260="","",ROUND(AY260+AM260,2))</f>
        <v/>
      </c>
      <c r="BA260" s="79" t="str">
        <f aca="false">IF(B260="","",ROUND(SUMIFS(AM$5:AM259,B$5:B259,"&gt;="&amp;(B260-WEEKDAY(B260,2)+1),B$5:B259,"&lt;="&amp;B260,BJ$5:BJ259,BJ260),2))</f>
        <v/>
      </c>
      <c r="BB260" s="68" t="str">
        <f aca="false">IF(B260="","",IF(AND(AF260&lt;&gt;"",AV260&lt;&gt;"",N(AF260)&gt;N(AV260)*(1+Settings!$C$13)),"Oversized",IF(AX260&gt;Settings!$C$10,"Overtraded",IF(AY260&lt;=-Settings!$C$11*(AW260-AY260),"Daily loss hit",IF(BA260&lt;=-Settings!$C$12*(AW260-BA260),"Weekly loss hit","OK")))))</f>
        <v/>
      </c>
      <c r="BC260" s="69"/>
      <c r="BD260" s="69"/>
      <c r="BE260" s="69"/>
      <c r="BF260" s="73"/>
      <c r="BG260" s="73"/>
      <c r="BH260" s="71"/>
      <c r="BI260" s="71"/>
      <c r="BJ260" s="68" t="str">
        <f aca="false">IF(B260="","",IF(E260="",Settings!$F$5,E260))</f>
        <v/>
      </c>
      <c r="BK260" s="76" t="str">
        <f aca="false">IF(B260="","",IFERROR(INDEX(Settings!$G$5:$G$10,MATCH(BJ260,Settings!$F$5:$F$10,0)),Settings!$G$5))</f>
        <v/>
      </c>
      <c r="BL260" s="82" t="str">
        <f aca="false">IF(I260="","",IFERROR(1/(1/INDEX(Lists!$C$6:$C$17,MATCH(I260,Lists!$B$6:$B$17,0))),""))</f>
        <v/>
      </c>
      <c r="BM260" s="81" t="str">
        <f aca="false">IF(I260="","",IFERROR(1/(1/INDEX(Lists!$D$6:$D$17,MATCH(I260,Lists!$B$6:$B$17,0))),""))</f>
        <v/>
      </c>
      <c r="BN260" s="76" t="str">
        <f aca="false">IF(AN260="","",MAX(BK260,_xlfn.MAXIFS(AN$6:AN260,BJ$6:BJ260,BJ260)))</f>
        <v/>
      </c>
      <c r="BO260" s="83" t="str">
        <f aca="false">IF(AN260="","",(AN260-BN260)/BN260)</f>
        <v/>
      </c>
      <c r="BP260" s="66" t="n">
        <f aca="false">IF(OR(B260="",AL260=""),0,IF(OR(Settings!$C$28="All Accounts",BJ260=Settings!$C$28),1,0))</f>
        <v>0</v>
      </c>
      <c r="BQ260" s="66" t="str">
        <f aca="false">IF(BP260=1,SUM(BP$6:BP260),"")</f>
        <v/>
      </c>
      <c r="BR260" s="76" t="str">
        <f aca="false">IF(BP260=1,ROUND(Settings!$C$29+SUMIFS(AM$6:AM260,BP$6:BP260,1),2),"")</f>
        <v/>
      </c>
      <c r="BS260" s="76" t="str">
        <f aca="false">IF(BP260=1,MAX(Settings!$C$29,MAX(BR$6:BR260)),"")</f>
        <v/>
      </c>
      <c r="BT260" s="83" t="str">
        <f aca="false">IF(BP260=1,(BR260-BS260)/BS260,"")</f>
        <v/>
      </c>
      <c r="BU260" s="66" t="str">
        <f aca="false">IF(BP260=1,IF(AL260="Win",1+IF(BQ260=1,0,INDEX(BU$5:BU259,MATCH(BQ260-1,BQ$5:BQ259,0))),0),"")</f>
        <v/>
      </c>
      <c r="BV260" s="66" t="str">
        <f aca="false">IF(BP260=1,IF(AL260="Loss",1+IF(BQ260=1,0,INDEX(BV$5:BV259,MATCH(BQ260-1,BQ$5:BQ259,0))),0),"")</f>
        <v/>
      </c>
    </row>
    <row r="261" customFormat="false" ht="15" hidden="false" customHeight="false" outlineLevel="0" collapsed="false">
      <c r="A261" s="66" t="str">
        <f aca="false">IF(B261="","",ROW()-5)</f>
        <v/>
      </c>
      <c r="B261" s="67"/>
      <c r="C261" s="68" t="str">
        <f aca="false">IF(B261="","",CHOOSE(WEEKDAY(B261,2),"Mon","Tue","Wed","Thu","Fri","Sat","Sun"))</f>
        <v/>
      </c>
      <c r="D261" s="66" t="str">
        <f aca="false">IF(B261="","",WEEKNUM(B261,2))</f>
        <v/>
      </c>
      <c r="E261" s="69"/>
      <c r="F261" s="69"/>
      <c r="G261" s="70"/>
      <c r="H261" s="70"/>
      <c r="I261" s="69"/>
      <c r="J261" s="69"/>
      <c r="K261" s="69"/>
      <c r="L261" s="71"/>
      <c r="M261" s="69"/>
      <c r="N261" s="69"/>
      <c r="O261" s="69"/>
      <c r="P261" s="71"/>
      <c r="Q261" s="69"/>
      <c r="R261" s="69"/>
      <c r="S261" s="69"/>
      <c r="T261" s="69"/>
      <c r="U261" s="69"/>
      <c r="V261" s="69"/>
      <c r="W261" s="69"/>
      <c r="X261" s="66" t="str">
        <f aca="false">IF(B261="","",COUNTIF(Q261:W261,"Yes"))</f>
        <v/>
      </c>
      <c r="Y261" s="68" t="str">
        <f aca="false">IF(B261="","",IF(X261&gt;=Settings!$C$16,"A+",IF(X261&gt;=Settings!$C$17,"A",IF(X261&gt;=Settings!$C$18,"B","C"))))</f>
        <v/>
      </c>
      <c r="Z261" s="72"/>
      <c r="AA261" s="72"/>
      <c r="AB261" s="72"/>
      <c r="AC261" s="72"/>
      <c r="AD261" s="72"/>
      <c r="AE261" s="72"/>
      <c r="AF261" s="73"/>
      <c r="AG261" s="74"/>
      <c r="AH261" s="75"/>
      <c r="AI261" s="76" t="str">
        <f aca="false">IF(B261="","",ROUND(IF(AG261="",Settings!$C$5,AG261)*AW261,2))</f>
        <v/>
      </c>
      <c r="AJ261" s="77" t="str">
        <f aca="false">IF(OR(B261="",AB261="",AC261="",AD261=""),"",IFERROR(ROUND(ABS(AD261-AB261)/ABS(AB261-AC261),2),""))</f>
        <v/>
      </c>
      <c r="AK261" s="78" t="str">
        <f aca="false">IF(OR(B261="",AB261="",AC261="",AE261=""),"",IFERROR(ROUND(IF(J261="Short",AB261-AE261,AE261-AB261)/ABS(AB261-AC261),2),""))</f>
        <v/>
      </c>
      <c r="AL261" s="68" t="str">
        <f aca="false">IF(AK261="","",IF(ABS(AK261)&lt;=Settings!$C$6,"BE",IF(AK261&gt;0,"Win","Loss")))</f>
        <v/>
      </c>
      <c r="AM261" s="79" t="str">
        <f aca="false">IF(OR(AK261="",AI261=""),"",ROUND(AK261*AI261-N(AH261),2))</f>
        <v/>
      </c>
      <c r="AN261" s="76" t="str">
        <f aca="false">IF(AM261="","",ROUND(BK261+SUMIFS(AM$6:AM261,BJ$6:BJ261,BJ261),2))</f>
        <v/>
      </c>
      <c r="AO261" s="78" t="str">
        <f aca="false">IF(AK261="","",ROUND(SUMIFS(AK$6:AK261,BJ$6:BJ261,BJ261),2))</f>
        <v/>
      </c>
      <c r="AP261" s="80" t="str">
        <f aca="false">IF(OR(AK261="",BL261=""),"",IFERROR(ROUND(IF(J261="Short",AB261-AE261,AE261-AB261)/BL261,1),""))</f>
        <v/>
      </c>
      <c r="AQ261" s="66" t="str">
        <f aca="false">IF(OR(G261="",H261=""),"",ROUND(MOD(H261-G261,1)*1440,0))</f>
        <v/>
      </c>
      <c r="AR261" s="68" t="str">
        <f aca="false">IF(AQ261="","",IF(AQ261&lt;15,"Under 15m",IF(AQ261&lt;60,"15-60m",IF(AQ261&lt;240,"1-4 hours","4+ hours"))))</f>
        <v/>
      </c>
      <c r="AS261" s="66" t="str">
        <f aca="false">IF(G261="","",HOUR(G261))</f>
        <v/>
      </c>
      <c r="AT261" s="80" t="str">
        <f aca="false">IF(OR(Z261="",AB261="",BL261=""),"",IFERROR(ROUND(IF(J261="Short",Z261-AB261,AB261-Z261)/BL261,1),""))</f>
        <v/>
      </c>
      <c r="AU261" s="68" t="str">
        <f aca="false">IF(OR(AA261="",AC261=""),"",IF(AA261=AC261,"No","Yes"))</f>
        <v/>
      </c>
      <c r="AV261" s="81" t="str">
        <f aca="false">IF(OR(B261="",BL261="",BM261="",AB261="",AC261=""),"",IFERROR(ROUND(AI261/(ABS(AB261-AC261)/BL261*BM261),2),""))</f>
        <v/>
      </c>
      <c r="AW261" s="76" t="str">
        <f aca="false">IF(B261="","",ROUND(BK261+SUMIFS(AM$5:AM260,BJ$5:BJ260,BJ261),2))</f>
        <v/>
      </c>
      <c r="AX261" s="66" t="str">
        <f aca="false">IF(B261="","",COUNTIFS(B$6:B261,B261,BJ$6:BJ261,BJ261))</f>
        <v/>
      </c>
      <c r="AY261" s="79" t="str">
        <f aca="false">IF(B261="","",ROUND(SUMIFS(AM$5:AM260,B$5:B260,B261,BJ$5:BJ260,BJ261),2))</f>
        <v/>
      </c>
      <c r="AZ261" s="79" t="str">
        <f aca="false">IF(AM261="","",ROUND(AY261+AM261,2))</f>
        <v/>
      </c>
      <c r="BA261" s="79" t="str">
        <f aca="false">IF(B261="","",ROUND(SUMIFS(AM$5:AM260,B$5:B260,"&gt;="&amp;(B261-WEEKDAY(B261,2)+1),B$5:B260,"&lt;="&amp;B261,BJ$5:BJ260,BJ261),2))</f>
        <v/>
      </c>
      <c r="BB261" s="68" t="str">
        <f aca="false">IF(B261="","",IF(AND(AF261&lt;&gt;"",AV261&lt;&gt;"",N(AF261)&gt;N(AV261)*(1+Settings!$C$13)),"Oversized",IF(AX261&gt;Settings!$C$10,"Overtraded",IF(AY261&lt;=-Settings!$C$11*(AW261-AY261),"Daily loss hit",IF(BA261&lt;=-Settings!$C$12*(AW261-BA261),"Weekly loss hit","OK")))))</f>
        <v/>
      </c>
      <c r="BC261" s="69"/>
      <c r="BD261" s="69"/>
      <c r="BE261" s="69"/>
      <c r="BF261" s="73"/>
      <c r="BG261" s="73"/>
      <c r="BH261" s="71"/>
      <c r="BI261" s="71"/>
      <c r="BJ261" s="68" t="str">
        <f aca="false">IF(B261="","",IF(E261="",Settings!$F$5,E261))</f>
        <v/>
      </c>
      <c r="BK261" s="76" t="str">
        <f aca="false">IF(B261="","",IFERROR(INDEX(Settings!$G$5:$G$10,MATCH(BJ261,Settings!$F$5:$F$10,0)),Settings!$G$5))</f>
        <v/>
      </c>
      <c r="BL261" s="82" t="str">
        <f aca="false">IF(I261="","",IFERROR(1/(1/INDEX(Lists!$C$6:$C$17,MATCH(I261,Lists!$B$6:$B$17,0))),""))</f>
        <v/>
      </c>
      <c r="BM261" s="81" t="str">
        <f aca="false">IF(I261="","",IFERROR(1/(1/INDEX(Lists!$D$6:$D$17,MATCH(I261,Lists!$B$6:$B$17,0))),""))</f>
        <v/>
      </c>
      <c r="BN261" s="76" t="str">
        <f aca="false">IF(AN261="","",MAX(BK261,_xlfn.MAXIFS(AN$6:AN261,BJ$6:BJ261,BJ261)))</f>
        <v/>
      </c>
      <c r="BO261" s="83" t="str">
        <f aca="false">IF(AN261="","",(AN261-BN261)/BN261)</f>
        <v/>
      </c>
      <c r="BP261" s="66" t="n">
        <f aca="false">IF(OR(B261="",AL261=""),0,IF(OR(Settings!$C$28="All Accounts",BJ261=Settings!$C$28),1,0))</f>
        <v>0</v>
      </c>
      <c r="BQ261" s="66" t="str">
        <f aca="false">IF(BP261=1,SUM(BP$6:BP261),"")</f>
        <v/>
      </c>
      <c r="BR261" s="76" t="str">
        <f aca="false">IF(BP261=1,ROUND(Settings!$C$29+SUMIFS(AM$6:AM261,BP$6:BP261,1),2),"")</f>
        <v/>
      </c>
      <c r="BS261" s="76" t="str">
        <f aca="false">IF(BP261=1,MAX(Settings!$C$29,MAX(BR$6:BR261)),"")</f>
        <v/>
      </c>
      <c r="BT261" s="83" t="str">
        <f aca="false">IF(BP261=1,(BR261-BS261)/BS261,"")</f>
        <v/>
      </c>
      <c r="BU261" s="66" t="str">
        <f aca="false">IF(BP261=1,IF(AL261="Win",1+IF(BQ261=1,0,INDEX(BU$5:BU260,MATCH(BQ261-1,BQ$5:BQ260,0))),0),"")</f>
        <v/>
      </c>
      <c r="BV261" s="66" t="str">
        <f aca="false">IF(BP261=1,IF(AL261="Loss",1+IF(BQ261=1,0,INDEX(BV$5:BV260,MATCH(BQ261-1,BQ$5:BQ260,0))),0),"")</f>
        <v/>
      </c>
    </row>
    <row r="262" customFormat="false" ht="15" hidden="false" customHeight="false" outlineLevel="0" collapsed="false">
      <c r="A262" s="66" t="str">
        <f aca="false">IF(B262="","",ROW()-5)</f>
        <v/>
      </c>
      <c r="B262" s="67"/>
      <c r="C262" s="68" t="str">
        <f aca="false">IF(B262="","",CHOOSE(WEEKDAY(B262,2),"Mon","Tue","Wed","Thu","Fri","Sat","Sun"))</f>
        <v/>
      </c>
      <c r="D262" s="66" t="str">
        <f aca="false">IF(B262="","",WEEKNUM(B262,2))</f>
        <v/>
      </c>
      <c r="E262" s="69"/>
      <c r="F262" s="69"/>
      <c r="G262" s="70"/>
      <c r="H262" s="70"/>
      <c r="I262" s="69"/>
      <c r="J262" s="69"/>
      <c r="K262" s="69"/>
      <c r="L262" s="71"/>
      <c r="M262" s="69"/>
      <c r="N262" s="69"/>
      <c r="O262" s="69"/>
      <c r="P262" s="71"/>
      <c r="Q262" s="69"/>
      <c r="R262" s="69"/>
      <c r="S262" s="69"/>
      <c r="T262" s="69"/>
      <c r="U262" s="69"/>
      <c r="V262" s="69"/>
      <c r="W262" s="69"/>
      <c r="X262" s="66" t="str">
        <f aca="false">IF(B262="","",COUNTIF(Q262:W262,"Yes"))</f>
        <v/>
      </c>
      <c r="Y262" s="68" t="str">
        <f aca="false">IF(B262="","",IF(X262&gt;=Settings!$C$16,"A+",IF(X262&gt;=Settings!$C$17,"A",IF(X262&gt;=Settings!$C$18,"B","C"))))</f>
        <v/>
      </c>
      <c r="Z262" s="72"/>
      <c r="AA262" s="72"/>
      <c r="AB262" s="72"/>
      <c r="AC262" s="72"/>
      <c r="AD262" s="72"/>
      <c r="AE262" s="72"/>
      <c r="AF262" s="73"/>
      <c r="AG262" s="74"/>
      <c r="AH262" s="75"/>
      <c r="AI262" s="76" t="str">
        <f aca="false">IF(B262="","",ROUND(IF(AG262="",Settings!$C$5,AG262)*AW262,2))</f>
        <v/>
      </c>
      <c r="AJ262" s="77" t="str">
        <f aca="false">IF(OR(B262="",AB262="",AC262="",AD262=""),"",IFERROR(ROUND(ABS(AD262-AB262)/ABS(AB262-AC262),2),""))</f>
        <v/>
      </c>
      <c r="AK262" s="78" t="str">
        <f aca="false">IF(OR(B262="",AB262="",AC262="",AE262=""),"",IFERROR(ROUND(IF(J262="Short",AB262-AE262,AE262-AB262)/ABS(AB262-AC262),2),""))</f>
        <v/>
      </c>
      <c r="AL262" s="68" t="str">
        <f aca="false">IF(AK262="","",IF(ABS(AK262)&lt;=Settings!$C$6,"BE",IF(AK262&gt;0,"Win","Loss")))</f>
        <v/>
      </c>
      <c r="AM262" s="79" t="str">
        <f aca="false">IF(OR(AK262="",AI262=""),"",ROUND(AK262*AI262-N(AH262),2))</f>
        <v/>
      </c>
      <c r="AN262" s="76" t="str">
        <f aca="false">IF(AM262="","",ROUND(BK262+SUMIFS(AM$6:AM262,BJ$6:BJ262,BJ262),2))</f>
        <v/>
      </c>
      <c r="AO262" s="78" t="str">
        <f aca="false">IF(AK262="","",ROUND(SUMIFS(AK$6:AK262,BJ$6:BJ262,BJ262),2))</f>
        <v/>
      </c>
      <c r="AP262" s="80" t="str">
        <f aca="false">IF(OR(AK262="",BL262=""),"",IFERROR(ROUND(IF(J262="Short",AB262-AE262,AE262-AB262)/BL262,1),""))</f>
        <v/>
      </c>
      <c r="AQ262" s="66" t="str">
        <f aca="false">IF(OR(G262="",H262=""),"",ROUND(MOD(H262-G262,1)*1440,0))</f>
        <v/>
      </c>
      <c r="AR262" s="68" t="str">
        <f aca="false">IF(AQ262="","",IF(AQ262&lt;15,"Under 15m",IF(AQ262&lt;60,"15-60m",IF(AQ262&lt;240,"1-4 hours","4+ hours"))))</f>
        <v/>
      </c>
      <c r="AS262" s="66" t="str">
        <f aca="false">IF(G262="","",HOUR(G262))</f>
        <v/>
      </c>
      <c r="AT262" s="80" t="str">
        <f aca="false">IF(OR(Z262="",AB262="",BL262=""),"",IFERROR(ROUND(IF(J262="Short",Z262-AB262,AB262-Z262)/BL262,1),""))</f>
        <v/>
      </c>
      <c r="AU262" s="68" t="str">
        <f aca="false">IF(OR(AA262="",AC262=""),"",IF(AA262=AC262,"No","Yes"))</f>
        <v/>
      </c>
      <c r="AV262" s="81" t="str">
        <f aca="false">IF(OR(B262="",BL262="",BM262="",AB262="",AC262=""),"",IFERROR(ROUND(AI262/(ABS(AB262-AC262)/BL262*BM262),2),""))</f>
        <v/>
      </c>
      <c r="AW262" s="76" t="str">
        <f aca="false">IF(B262="","",ROUND(BK262+SUMIFS(AM$5:AM261,BJ$5:BJ261,BJ262),2))</f>
        <v/>
      </c>
      <c r="AX262" s="66" t="str">
        <f aca="false">IF(B262="","",COUNTIFS(B$6:B262,B262,BJ$6:BJ262,BJ262))</f>
        <v/>
      </c>
      <c r="AY262" s="79" t="str">
        <f aca="false">IF(B262="","",ROUND(SUMIFS(AM$5:AM261,B$5:B261,B262,BJ$5:BJ261,BJ262),2))</f>
        <v/>
      </c>
      <c r="AZ262" s="79" t="str">
        <f aca="false">IF(AM262="","",ROUND(AY262+AM262,2))</f>
        <v/>
      </c>
      <c r="BA262" s="79" t="str">
        <f aca="false">IF(B262="","",ROUND(SUMIFS(AM$5:AM261,B$5:B261,"&gt;="&amp;(B262-WEEKDAY(B262,2)+1),B$5:B261,"&lt;="&amp;B262,BJ$5:BJ261,BJ262),2))</f>
        <v/>
      </c>
      <c r="BB262" s="68" t="str">
        <f aca="false">IF(B262="","",IF(AND(AF262&lt;&gt;"",AV262&lt;&gt;"",N(AF262)&gt;N(AV262)*(1+Settings!$C$13)),"Oversized",IF(AX262&gt;Settings!$C$10,"Overtraded",IF(AY262&lt;=-Settings!$C$11*(AW262-AY262),"Daily loss hit",IF(BA262&lt;=-Settings!$C$12*(AW262-BA262),"Weekly loss hit","OK")))))</f>
        <v/>
      </c>
      <c r="BC262" s="69"/>
      <c r="BD262" s="69"/>
      <c r="BE262" s="69"/>
      <c r="BF262" s="73"/>
      <c r="BG262" s="73"/>
      <c r="BH262" s="71"/>
      <c r="BI262" s="71"/>
      <c r="BJ262" s="68" t="str">
        <f aca="false">IF(B262="","",IF(E262="",Settings!$F$5,E262))</f>
        <v/>
      </c>
      <c r="BK262" s="76" t="str">
        <f aca="false">IF(B262="","",IFERROR(INDEX(Settings!$G$5:$G$10,MATCH(BJ262,Settings!$F$5:$F$10,0)),Settings!$G$5))</f>
        <v/>
      </c>
      <c r="BL262" s="82" t="str">
        <f aca="false">IF(I262="","",IFERROR(1/(1/INDEX(Lists!$C$6:$C$17,MATCH(I262,Lists!$B$6:$B$17,0))),""))</f>
        <v/>
      </c>
      <c r="BM262" s="81" t="str">
        <f aca="false">IF(I262="","",IFERROR(1/(1/INDEX(Lists!$D$6:$D$17,MATCH(I262,Lists!$B$6:$B$17,0))),""))</f>
        <v/>
      </c>
      <c r="BN262" s="76" t="str">
        <f aca="false">IF(AN262="","",MAX(BK262,_xlfn.MAXIFS(AN$6:AN262,BJ$6:BJ262,BJ262)))</f>
        <v/>
      </c>
      <c r="BO262" s="83" t="str">
        <f aca="false">IF(AN262="","",(AN262-BN262)/BN262)</f>
        <v/>
      </c>
      <c r="BP262" s="66" t="n">
        <f aca="false">IF(OR(B262="",AL262=""),0,IF(OR(Settings!$C$28="All Accounts",BJ262=Settings!$C$28),1,0))</f>
        <v>0</v>
      </c>
      <c r="BQ262" s="66" t="str">
        <f aca="false">IF(BP262=1,SUM(BP$6:BP262),"")</f>
        <v/>
      </c>
      <c r="BR262" s="76" t="str">
        <f aca="false">IF(BP262=1,ROUND(Settings!$C$29+SUMIFS(AM$6:AM262,BP$6:BP262,1),2),"")</f>
        <v/>
      </c>
      <c r="BS262" s="76" t="str">
        <f aca="false">IF(BP262=1,MAX(Settings!$C$29,MAX(BR$6:BR262)),"")</f>
        <v/>
      </c>
      <c r="BT262" s="83" t="str">
        <f aca="false">IF(BP262=1,(BR262-BS262)/BS262,"")</f>
        <v/>
      </c>
      <c r="BU262" s="66" t="str">
        <f aca="false">IF(BP262=1,IF(AL262="Win",1+IF(BQ262=1,0,INDEX(BU$5:BU261,MATCH(BQ262-1,BQ$5:BQ261,0))),0),"")</f>
        <v/>
      </c>
      <c r="BV262" s="66" t="str">
        <f aca="false">IF(BP262=1,IF(AL262="Loss",1+IF(BQ262=1,0,INDEX(BV$5:BV261,MATCH(BQ262-1,BQ$5:BQ261,0))),0),"")</f>
        <v/>
      </c>
    </row>
    <row r="263" customFormat="false" ht="15" hidden="false" customHeight="false" outlineLevel="0" collapsed="false">
      <c r="A263" s="66" t="str">
        <f aca="false">IF(B263="","",ROW()-5)</f>
        <v/>
      </c>
      <c r="B263" s="67"/>
      <c r="C263" s="68" t="str">
        <f aca="false">IF(B263="","",CHOOSE(WEEKDAY(B263,2),"Mon","Tue","Wed","Thu","Fri","Sat","Sun"))</f>
        <v/>
      </c>
      <c r="D263" s="66" t="str">
        <f aca="false">IF(B263="","",WEEKNUM(B263,2))</f>
        <v/>
      </c>
      <c r="E263" s="69"/>
      <c r="F263" s="69"/>
      <c r="G263" s="70"/>
      <c r="H263" s="70"/>
      <c r="I263" s="69"/>
      <c r="J263" s="69"/>
      <c r="K263" s="69"/>
      <c r="L263" s="71"/>
      <c r="M263" s="69"/>
      <c r="N263" s="69"/>
      <c r="O263" s="69"/>
      <c r="P263" s="71"/>
      <c r="Q263" s="69"/>
      <c r="R263" s="69"/>
      <c r="S263" s="69"/>
      <c r="T263" s="69"/>
      <c r="U263" s="69"/>
      <c r="V263" s="69"/>
      <c r="W263" s="69"/>
      <c r="X263" s="66" t="str">
        <f aca="false">IF(B263="","",COUNTIF(Q263:W263,"Yes"))</f>
        <v/>
      </c>
      <c r="Y263" s="68" t="str">
        <f aca="false">IF(B263="","",IF(X263&gt;=Settings!$C$16,"A+",IF(X263&gt;=Settings!$C$17,"A",IF(X263&gt;=Settings!$C$18,"B","C"))))</f>
        <v/>
      </c>
      <c r="Z263" s="72"/>
      <c r="AA263" s="72"/>
      <c r="AB263" s="72"/>
      <c r="AC263" s="72"/>
      <c r="AD263" s="72"/>
      <c r="AE263" s="72"/>
      <c r="AF263" s="73"/>
      <c r="AG263" s="74"/>
      <c r="AH263" s="75"/>
      <c r="AI263" s="76" t="str">
        <f aca="false">IF(B263="","",ROUND(IF(AG263="",Settings!$C$5,AG263)*AW263,2))</f>
        <v/>
      </c>
      <c r="AJ263" s="77" t="str">
        <f aca="false">IF(OR(B263="",AB263="",AC263="",AD263=""),"",IFERROR(ROUND(ABS(AD263-AB263)/ABS(AB263-AC263),2),""))</f>
        <v/>
      </c>
      <c r="AK263" s="78" t="str">
        <f aca="false">IF(OR(B263="",AB263="",AC263="",AE263=""),"",IFERROR(ROUND(IF(J263="Short",AB263-AE263,AE263-AB263)/ABS(AB263-AC263),2),""))</f>
        <v/>
      </c>
      <c r="AL263" s="68" t="str">
        <f aca="false">IF(AK263="","",IF(ABS(AK263)&lt;=Settings!$C$6,"BE",IF(AK263&gt;0,"Win","Loss")))</f>
        <v/>
      </c>
      <c r="AM263" s="79" t="str">
        <f aca="false">IF(OR(AK263="",AI263=""),"",ROUND(AK263*AI263-N(AH263),2))</f>
        <v/>
      </c>
      <c r="AN263" s="76" t="str">
        <f aca="false">IF(AM263="","",ROUND(BK263+SUMIFS(AM$6:AM263,BJ$6:BJ263,BJ263),2))</f>
        <v/>
      </c>
      <c r="AO263" s="78" t="str">
        <f aca="false">IF(AK263="","",ROUND(SUMIFS(AK$6:AK263,BJ$6:BJ263,BJ263),2))</f>
        <v/>
      </c>
      <c r="AP263" s="80" t="str">
        <f aca="false">IF(OR(AK263="",BL263=""),"",IFERROR(ROUND(IF(J263="Short",AB263-AE263,AE263-AB263)/BL263,1),""))</f>
        <v/>
      </c>
      <c r="AQ263" s="66" t="str">
        <f aca="false">IF(OR(G263="",H263=""),"",ROUND(MOD(H263-G263,1)*1440,0))</f>
        <v/>
      </c>
      <c r="AR263" s="68" t="str">
        <f aca="false">IF(AQ263="","",IF(AQ263&lt;15,"Under 15m",IF(AQ263&lt;60,"15-60m",IF(AQ263&lt;240,"1-4 hours","4+ hours"))))</f>
        <v/>
      </c>
      <c r="AS263" s="66" t="str">
        <f aca="false">IF(G263="","",HOUR(G263))</f>
        <v/>
      </c>
      <c r="AT263" s="80" t="str">
        <f aca="false">IF(OR(Z263="",AB263="",BL263=""),"",IFERROR(ROUND(IF(J263="Short",Z263-AB263,AB263-Z263)/BL263,1),""))</f>
        <v/>
      </c>
      <c r="AU263" s="68" t="str">
        <f aca="false">IF(OR(AA263="",AC263=""),"",IF(AA263=AC263,"No","Yes"))</f>
        <v/>
      </c>
      <c r="AV263" s="81" t="str">
        <f aca="false">IF(OR(B263="",BL263="",BM263="",AB263="",AC263=""),"",IFERROR(ROUND(AI263/(ABS(AB263-AC263)/BL263*BM263),2),""))</f>
        <v/>
      </c>
      <c r="AW263" s="76" t="str">
        <f aca="false">IF(B263="","",ROUND(BK263+SUMIFS(AM$5:AM262,BJ$5:BJ262,BJ263),2))</f>
        <v/>
      </c>
      <c r="AX263" s="66" t="str">
        <f aca="false">IF(B263="","",COUNTIFS(B$6:B263,B263,BJ$6:BJ263,BJ263))</f>
        <v/>
      </c>
      <c r="AY263" s="79" t="str">
        <f aca="false">IF(B263="","",ROUND(SUMIFS(AM$5:AM262,B$5:B262,B263,BJ$5:BJ262,BJ263),2))</f>
        <v/>
      </c>
      <c r="AZ263" s="79" t="str">
        <f aca="false">IF(AM263="","",ROUND(AY263+AM263,2))</f>
        <v/>
      </c>
      <c r="BA263" s="79" t="str">
        <f aca="false">IF(B263="","",ROUND(SUMIFS(AM$5:AM262,B$5:B262,"&gt;="&amp;(B263-WEEKDAY(B263,2)+1),B$5:B262,"&lt;="&amp;B263,BJ$5:BJ262,BJ263),2))</f>
        <v/>
      </c>
      <c r="BB263" s="68" t="str">
        <f aca="false">IF(B263="","",IF(AND(AF263&lt;&gt;"",AV263&lt;&gt;"",N(AF263)&gt;N(AV263)*(1+Settings!$C$13)),"Oversized",IF(AX263&gt;Settings!$C$10,"Overtraded",IF(AY263&lt;=-Settings!$C$11*(AW263-AY263),"Daily loss hit",IF(BA263&lt;=-Settings!$C$12*(AW263-BA263),"Weekly loss hit","OK")))))</f>
        <v/>
      </c>
      <c r="BC263" s="69"/>
      <c r="BD263" s="69"/>
      <c r="BE263" s="69"/>
      <c r="BF263" s="73"/>
      <c r="BG263" s="73"/>
      <c r="BH263" s="71"/>
      <c r="BI263" s="71"/>
      <c r="BJ263" s="68" t="str">
        <f aca="false">IF(B263="","",IF(E263="",Settings!$F$5,E263))</f>
        <v/>
      </c>
      <c r="BK263" s="76" t="str">
        <f aca="false">IF(B263="","",IFERROR(INDEX(Settings!$G$5:$G$10,MATCH(BJ263,Settings!$F$5:$F$10,0)),Settings!$G$5))</f>
        <v/>
      </c>
      <c r="BL263" s="82" t="str">
        <f aca="false">IF(I263="","",IFERROR(1/(1/INDEX(Lists!$C$6:$C$17,MATCH(I263,Lists!$B$6:$B$17,0))),""))</f>
        <v/>
      </c>
      <c r="BM263" s="81" t="str">
        <f aca="false">IF(I263="","",IFERROR(1/(1/INDEX(Lists!$D$6:$D$17,MATCH(I263,Lists!$B$6:$B$17,0))),""))</f>
        <v/>
      </c>
      <c r="BN263" s="76" t="str">
        <f aca="false">IF(AN263="","",MAX(BK263,_xlfn.MAXIFS(AN$6:AN263,BJ$6:BJ263,BJ263)))</f>
        <v/>
      </c>
      <c r="BO263" s="83" t="str">
        <f aca="false">IF(AN263="","",(AN263-BN263)/BN263)</f>
        <v/>
      </c>
      <c r="BP263" s="66" t="n">
        <f aca="false">IF(OR(B263="",AL263=""),0,IF(OR(Settings!$C$28="All Accounts",BJ263=Settings!$C$28),1,0))</f>
        <v>0</v>
      </c>
      <c r="BQ263" s="66" t="str">
        <f aca="false">IF(BP263=1,SUM(BP$6:BP263),"")</f>
        <v/>
      </c>
      <c r="BR263" s="76" t="str">
        <f aca="false">IF(BP263=1,ROUND(Settings!$C$29+SUMIFS(AM$6:AM263,BP$6:BP263,1),2),"")</f>
        <v/>
      </c>
      <c r="BS263" s="76" t="str">
        <f aca="false">IF(BP263=1,MAX(Settings!$C$29,MAX(BR$6:BR263)),"")</f>
        <v/>
      </c>
      <c r="BT263" s="83" t="str">
        <f aca="false">IF(BP263=1,(BR263-BS263)/BS263,"")</f>
        <v/>
      </c>
      <c r="BU263" s="66" t="str">
        <f aca="false">IF(BP263=1,IF(AL263="Win",1+IF(BQ263=1,0,INDEX(BU$5:BU262,MATCH(BQ263-1,BQ$5:BQ262,0))),0),"")</f>
        <v/>
      </c>
      <c r="BV263" s="66" t="str">
        <f aca="false">IF(BP263=1,IF(AL263="Loss",1+IF(BQ263=1,0,INDEX(BV$5:BV262,MATCH(BQ263-1,BQ$5:BQ262,0))),0),"")</f>
        <v/>
      </c>
    </row>
    <row r="264" customFormat="false" ht="15" hidden="false" customHeight="false" outlineLevel="0" collapsed="false">
      <c r="A264" s="66" t="str">
        <f aca="false">IF(B264="","",ROW()-5)</f>
        <v/>
      </c>
      <c r="B264" s="67"/>
      <c r="C264" s="68" t="str">
        <f aca="false">IF(B264="","",CHOOSE(WEEKDAY(B264,2),"Mon","Tue","Wed","Thu","Fri","Sat","Sun"))</f>
        <v/>
      </c>
      <c r="D264" s="66" t="str">
        <f aca="false">IF(B264="","",WEEKNUM(B264,2))</f>
        <v/>
      </c>
      <c r="E264" s="69"/>
      <c r="F264" s="69"/>
      <c r="G264" s="70"/>
      <c r="H264" s="70"/>
      <c r="I264" s="69"/>
      <c r="J264" s="69"/>
      <c r="K264" s="69"/>
      <c r="L264" s="71"/>
      <c r="M264" s="69"/>
      <c r="N264" s="69"/>
      <c r="O264" s="69"/>
      <c r="P264" s="71"/>
      <c r="Q264" s="69"/>
      <c r="R264" s="69"/>
      <c r="S264" s="69"/>
      <c r="T264" s="69"/>
      <c r="U264" s="69"/>
      <c r="V264" s="69"/>
      <c r="W264" s="69"/>
      <c r="X264" s="66" t="str">
        <f aca="false">IF(B264="","",COUNTIF(Q264:W264,"Yes"))</f>
        <v/>
      </c>
      <c r="Y264" s="68" t="str">
        <f aca="false">IF(B264="","",IF(X264&gt;=Settings!$C$16,"A+",IF(X264&gt;=Settings!$C$17,"A",IF(X264&gt;=Settings!$C$18,"B","C"))))</f>
        <v/>
      </c>
      <c r="Z264" s="72"/>
      <c r="AA264" s="72"/>
      <c r="AB264" s="72"/>
      <c r="AC264" s="72"/>
      <c r="AD264" s="72"/>
      <c r="AE264" s="72"/>
      <c r="AF264" s="73"/>
      <c r="AG264" s="74"/>
      <c r="AH264" s="75"/>
      <c r="AI264" s="76" t="str">
        <f aca="false">IF(B264="","",ROUND(IF(AG264="",Settings!$C$5,AG264)*AW264,2))</f>
        <v/>
      </c>
      <c r="AJ264" s="77" t="str">
        <f aca="false">IF(OR(B264="",AB264="",AC264="",AD264=""),"",IFERROR(ROUND(ABS(AD264-AB264)/ABS(AB264-AC264),2),""))</f>
        <v/>
      </c>
      <c r="AK264" s="78" t="str">
        <f aca="false">IF(OR(B264="",AB264="",AC264="",AE264=""),"",IFERROR(ROUND(IF(J264="Short",AB264-AE264,AE264-AB264)/ABS(AB264-AC264),2),""))</f>
        <v/>
      </c>
      <c r="AL264" s="68" t="str">
        <f aca="false">IF(AK264="","",IF(ABS(AK264)&lt;=Settings!$C$6,"BE",IF(AK264&gt;0,"Win","Loss")))</f>
        <v/>
      </c>
      <c r="AM264" s="79" t="str">
        <f aca="false">IF(OR(AK264="",AI264=""),"",ROUND(AK264*AI264-N(AH264),2))</f>
        <v/>
      </c>
      <c r="AN264" s="76" t="str">
        <f aca="false">IF(AM264="","",ROUND(BK264+SUMIFS(AM$6:AM264,BJ$6:BJ264,BJ264),2))</f>
        <v/>
      </c>
      <c r="AO264" s="78" t="str">
        <f aca="false">IF(AK264="","",ROUND(SUMIFS(AK$6:AK264,BJ$6:BJ264,BJ264),2))</f>
        <v/>
      </c>
      <c r="AP264" s="80" t="str">
        <f aca="false">IF(OR(AK264="",BL264=""),"",IFERROR(ROUND(IF(J264="Short",AB264-AE264,AE264-AB264)/BL264,1),""))</f>
        <v/>
      </c>
      <c r="AQ264" s="66" t="str">
        <f aca="false">IF(OR(G264="",H264=""),"",ROUND(MOD(H264-G264,1)*1440,0))</f>
        <v/>
      </c>
      <c r="AR264" s="68" t="str">
        <f aca="false">IF(AQ264="","",IF(AQ264&lt;15,"Under 15m",IF(AQ264&lt;60,"15-60m",IF(AQ264&lt;240,"1-4 hours","4+ hours"))))</f>
        <v/>
      </c>
      <c r="AS264" s="66" t="str">
        <f aca="false">IF(G264="","",HOUR(G264))</f>
        <v/>
      </c>
      <c r="AT264" s="80" t="str">
        <f aca="false">IF(OR(Z264="",AB264="",BL264=""),"",IFERROR(ROUND(IF(J264="Short",Z264-AB264,AB264-Z264)/BL264,1),""))</f>
        <v/>
      </c>
      <c r="AU264" s="68" t="str">
        <f aca="false">IF(OR(AA264="",AC264=""),"",IF(AA264=AC264,"No","Yes"))</f>
        <v/>
      </c>
      <c r="AV264" s="81" t="str">
        <f aca="false">IF(OR(B264="",BL264="",BM264="",AB264="",AC264=""),"",IFERROR(ROUND(AI264/(ABS(AB264-AC264)/BL264*BM264),2),""))</f>
        <v/>
      </c>
      <c r="AW264" s="76" t="str">
        <f aca="false">IF(B264="","",ROUND(BK264+SUMIFS(AM$5:AM263,BJ$5:BJ263,BJ264),2))</f>
        <v/>
      </c>
      <c r="AX264" s="66" t="str">
        <f aca="false">IF(B264="","",COUNTIFS(B$6:B264,B264,BJ$6:BJ264,BJ264))</f>
        <v/>
      </c>
      <c r="AY264" s="79" t="str">
        <f aca="false">IF(B264="","",ROUND(SUMIFS(AM$5:AM263,B$5:B263,B264,BJ$5:BJ263,BJ264),2))</f>
        <v/>
      </c>
      <c r="AZ264" s="79" t="str">
        <f aca="false">IF(AM264="","",ROUND(AY264+AM264,2))</f>
        <v/>
      </c>
      <c r="BA264" s="79" t="str">
        <f aca="false">IF(B264="","",ROUND(SUMIFS(AM$5:AM263,B$5:B263,"&gt;="&amp;(B264-WEEKDAY(B264,2)+1),B$5:B263,"&lt;="&amp;B264,BJ$5:BJ263,BJ264),2))</f>
        <v/>
      </c>
      <c r="BB264" s="68" t="str">
        <f aca="false">IF(B264="","",IF(AND(AF264&lt;&gt;"",AV264&lt;&gt;"",N(AF264)&gt;N(AV264)*(1+Settings!$C$13)),"Oversized",IF(AX264&gt;Settings!$C$10,"Overtraded",IF(AY264&lt;=-Settings!$C$11*(AW264-AY264),"Daily loss hit",IF(BA264&lt;=-Settings!$C$12*(AW264-BA264),"Weekly loss hit","OK")))))</f>
        <v/>
      </c>
      <c r="BC264" s="69"/>
      <c r="BD264" s="69"/>
      <c r="BE264" s="69"/>
      <c r="BF264" s="73"/>
      <c r="BG264" s="73"/>
      <c r="BH264" s="71"/>
      <c r="BI264" s="71"/>
      <c r="BJ264" s="68" t="str">
        <f aca="false">IF(B264="","",IF(E264="",Settings!$F$5,E264))</f>
        <v/>
      </c>
      <c r="BK264" s="76" t="str">
        <f aca="false">IF(B264="","",IFERROR(INDEX(Settings!$G$5:$G$10,MATCH(BJ264,Settings!$F$5:$F$10,0)),Settings!$G$5))</f>
        <v/>
      </c>
      <c r="BL264" s="82" t="str">
        <f aca="false">IF(I264="","",IFERROR(1/(1/INDEX(Lists!$C$6:$C$17,MATCH(I264,Lists!$B$6:$B$17,0))),""))</f>
        <v/>
      </c>
      <c r="BM264" s="81" t="str">
        <f aca="false">IF(I264="","",IFERROR(1/(1/INDEX(Lists!$D$6:$D$17,MATCH(I264,Lists!$B$6:$B$17,0))),""))</f>
        <v/>
      </c>
      <c r="BN264" s="76" t="str">
        <f aca="false">IF(AN264="","",MAX(BK264,_xlfn.MAXIFS(AN$6:AN264,BJ$6:BJ264,BJ264)))</f>
        <v/>
      </c>
      <c r="BO264" s="83" t="str">
        <f aca="false">IF(AN264="","",(AN264-BN264)/BN264)</f>
        <v/>
      </c>
      <c r="BP264" s="66" t="n">
        <f aca="false">IF(OR(B264="",AL264=""),0,IF(OR(Settings!$C$28="All Accounts",BJ264=Settings!$C$28),1,0))</f>
        <v>0</v>
      </c>
      <c r="BQ264" s="66" t="str">
        <f aca="false">IF(BP264=1,SUM(BP$6:BP264),"")</f>
        <v/>
      </c>
      <c r="BR264" s="76" t="str">
        <f aca="false">IF(BP264=1,ROUND(Settings!$C$29+SUMIFS(AM$6:AM264,BP$6:BP264,1),2),"")</f>
        <v/>
      </c>
      <c r="BS264" s="76" t="str">
        <f aca="false">IF(BP264=1,MAX(Settings!$C$29,MAX(BR$6:BR264)),"")</f>
        <v/>
      </c>
      <c r="BT264" s="83" t="str">
        <f aca="false">IF(BP264=1,(BR264-BS264)/BS264,"")</f>
        <v/>
      </c>
      <c r="BU264" s="66" t="str">
        <f aca="false">IF(BP264=1,IF(AL264="Win",1+IF(BQ264=1,0,INDEX(BU$5:BU263,MATCH(BQ264-1,BQ$5:BQ263,0))),0),"")</f>
        <v/>
      </c>
      <c r="BV264" s="66" t="str">
        <f aca="false">IF(BP264=1,IF(AL264="Loss",1+IF(BQ264=1,0,INDEX(BV$5:BV263,MATCH(BQ264-1,BQ$5:BQ263,0))),0),"")</f>
        <v/>
      </c>
    </row>
    <row r="265" customFormat="false" ht="15" hidden="false" customHeight="false" outlineLevel="0" collapsed="false">
      <c r="A265" s="66" t="str">
        <f aca="false">IF(B265="","",ROW()-5)</f>
        <v/>
      </c>
      <c r="B265" s="67"/>
      <c r="C265" s="68" t="str">
        <f aca="false">IF(B265="","",CHOOSE(WEEKDAY(B265,2),"Mon","Tue","Wed","Thu","Fri","Sat","Sun"))</f>
        <v/>
      </c>
      <c r="D265" s="66" t="str">
        <f aca="false">IF(B265="","",WEEKNUM(B265,2))</f>
        <v/>
      </c>
      <c r="E265" s="69"/>
      <c r="F265" s="69"/>
      <c r="G265" s="70"/>
      <c r="H265" s="70"/>
      <c r="I265" s="69"/>
      <c r="J265" s="69"/>
      <c r="K265" s="69"/>
      <c r="L265" s="71"/>
      <c r="M265" s="69"/>
      <c r="N265" s="69"/>
      <c r="O265" s="69"/>
      <c r="P265" s="71"/>
      <c r="Q265" s="69"/>
      <c r="R265" s="69"/>
      <c r="S265" s="69"/>
      <c r="T265" s="69"/>
      <c r="U265" s="69"/>
      <c r="V265" s="69"/>
      <c r="W265" s="69"/>
      <c r="X265" s="66" t="str">
        <f aca="false">IF(B265="","",COUNTIF(Q265:W265,"Yes"))</f>
        <v/>
      </c>
      <c r="Y265" s="68" t="str">
        <f aca="false">IF(B265="","",IF(X265&gt;=Settings!$C$16,"A+",IF(X265&gt;=Settings!$C$17,"A",IF(X265&gt;=Settings!$C$18,"B","C"))))</f>
        <v/>
      </c>
      <c r="Z265" s="72"/>
      <c r="AA265" s="72"/>
      <c r="AB265" s="72"/>
      <c r="AC265" s="72"/>
      <c r="AD265" s="72"/>
      <c r="AE265" s="72"/>
      <c r="AF265" s="73"/>
      <c r="AG265" s="74"/>
      <c r="AH265" s="75"/>
      <c r="AI265" s="76" t="str">
        <f aca="false">IF(B265="","",ROUND(IF(AG265="",Settings!$C$5,AG265)*AW265,2))</f>
        <v/>
      </c>
      <c r="AJ265" s="77" t="str">
        <f aca="false">IF(OR(B265="",AB265="",AC265="",AD265=""),"",IFERROR(ROUND(ABS(AD265-AB265)/ABS(AB265-AC265),2),""))</f>
        <v/>
      </c>
      <c r="AK265" s="78" t="str">
        <f aca="false">IF(OR(B265="",AB265="",AC265="",AE265=""),"",IFERROR(ROUND(IF(J265="Short",AB265-AE265,AE265-AB265)/ABS(AB265-AC265),2),""))</f>
        <v/>
      </c>
      <c r="AL265" s="68" t="str">
        <f aca="false">IF(AK265="","",IF(ABS(AK265)&lt;=Settings!$C$6,"BE",IF(AK265&gt;0,"Win","Loss")))</f>
        <v/>
      </c>
      <c r="AM265" s="79" t="str">
        <f aca="false">IF(OR(AK265="",AI265=""),"",ROUND(AK265*AI265-N(AH265),2))</f>
        <v/>
      </c>
      <c r="AN265" s="76" t="str">
        <f aca="false">IF(AM265="","",ROUND(BK265+SUMIFS(AM$6:AM265,BJ$6:BJ265,BJ265),2))</f>
        <v/>
      </c>
      <c r="AO265" s="78" t="str">
        <f aca="false">IF(AK265="","",ROUND(SUMIFS(AK$6:AK265,BJ$6:BJ265,BJ265),2))</f>
        <v/>
      </c>
      <c r="AP265" s="80" t="str">
        <f aca="false">IF(OR(AK265="",BL265=""),"",IFERROR(ROUND(IF(J265="Short",AB265-AE265,AE265-AB265)/BL265,1),""))</f>
        <v/>
      </c>
      <c r="AQ265" s="66" t="str">
        <f aca="false">IF(OR(G265="",H265=""),"",ROUND(MOD(H265-G265,1)*1440,0))</f>
        <v/>
      </c>
      <c r="AR265" s="68" t="str">
        <f aca="false">IF(AQ265="","",IF(AQ265&lt;15,"Under 15m",IF(AQ265&lt;60,"15-60m",IF(AQ265&lt;240,"1-4 hours","4+ hours"))))</f>
        <v/>
      </c>
      <c r="AS265" s="66" t="str">
        <f aca="false">IF(G265="","",HOUR(G265))</f>
        <v/>
      </c>
      <c r="AT265" s="80" t="str">
        <f aca="false">IF(OR(Z265="",AB265="",BL265=""),"",IFERROR(ROUND(IF(J265="Short",Z265-AB265,AB265-Z265)/BL265,1),""))</f>
        <v/>
      </c>
      <c r="AU265" s="68" t="str">
        <f aca="false">IF(OR(AA265="",AC265=""),"",IF(AA265=AC265,"No","Yes"))</f>
        <v/>
      </c>
      <c r="AV265" s="81" t="str">
        <f aca="false">IF(OR(B265="",BL265="",BM265="",AB265="",AC265=""),"",IFERROR(ROUND(AI265/(ABS(AB265-AC265)/BL265*BM265),2),""))</f>
        <v/>
      </c>
      <c r="AW265" s="76" t="str">
        <f aca="false">IF(B265="","",ROUND(BK265+SUMIFS(AM$5:AM264,BJ$5:BJ264,BJ265),2))</f>
        <v/>
      </c>
      <c r="AX265" s="66" t="str">
        <f aca="false">IF(B265="","",COUNTIFS(B$6:B265,B265,BJ$6:BJ265,BJ265))</f>
        <v/>
      </c>
      <c r="AY265" s="79" t="str">
        <f aca="false">IF(B265="","",ROUND(SUMIFS(AM$5:AM264,B$5:B264,B265,BJ$5:BJ264,BJ265),2))</f>
        <v/>
      </c>
      <c r="AZ265" s="79" t="str">
        <f aca="false">IF(AM265="","",ROUND(AY265+AM265,2))</f>
        <v/>
      </c>
      <c r="BA265" s="79" t="str">
        <f aca="false">IF(B265="","",ROUND(SUMIFS(AM$5:AM264,B$5:B264,"&gt;="&amp;(B265-WEEKDAY(B265,2)+1),B$5:B264,"&lt;="&amp;B265,BJ$5:BJ264,BJ265),2))</f>
        <v/>
      </c>
      <c r="BB265" s="68" t="str">
        <f aca="false">IF(B265="","",IF(AND(AF265&lt;&gt;"",AV265&lt;&gt;"",N(AF265)&gt;N(AV265)*(1+Settings!$C$13)),"Oversized",IF(AX265&gt;Settings!$C$10,"Overtraded",IF(AY265&lt;=-Settings!$C$11*(AW265-AY265),"Daily loss hit",IF(BA265&lt;=-Settings!$C$12*(AW265-BA265),"Weekly loss hit","OK")))))</f>
        <v/>
      </c>
      <c r="BC265" s="69"/>
      <c r="BD265" s="69"/>
      <c r="BE265" s="69"/>
      <c r="BF265" s="73"/>
      <c r="BG265" s="73"/>
      <c r="BH265" s="71"/>
      <c r="BI265" s="71"/>
      <c r="BJ265" s="68" t="str">
        <f aca="false">IF(B265="","",IF(E265="",Settings!$F$5,E265))</f>
        <v/>
      </c>
      <c r="BK265" s="76" t="str">
        <f aca="false">IF(B265="","",IFERROR(INDEX(Settings!$G$5:$G$10,MATCH(BJ265,Settings!$F$5:$F$10,0)),Settings!$G$5))</f>
        <v/>
      </c>
      <c r="BL265" s="82" t="str">
        <f aca="false">IF(I265="","",IFERROR(1/(1/INDEX(Lists!$C$6:$C$17,MATCH(I265,Lists!$B$6:$B$17,0))),""))</f>
        <v/>
      </c>
      <c r="BM265" s="81" t="str">
        <f aca="false">IF(I265="","",IFERROR(1/(1/INDEX(Lists!$D$6:$D$17,MATCH(I265,Lists!$B$6:$B$17,0))),""))</f>
        <v/>
      </c>
      <c r="BN265" s="76" t="str">
        <f aca="false">IF(AN265="","",MAX(BK265,_xlfn.MAXIFS(AN$6:AN265,BJ$6:BJ265,BJ265)))</f>
        <v/>
      </c>
      <c r="BO265" s="83" t="str">
        <f aca="false">IF(AN265="","",(AN265-BN265)/BN265)</f>
        <v/>
      </c>
      <c r="BP265" s="66" t="n">
        <f aca="false">IF(OR(B265="",AL265=""),0,IF(OR(Settings!$C$28="All Accounts",BJ265=Settings!$C$28),1,0))</f>
        <v>0</v>
      </c>
      <c r="BQ265" s="66" t="str">
        <f aca="false">IF(BP265=1,SUM(BP$6:BP265),"")</f>
        <v/>
      </c>
      <c r="BR265" s="76" t="str">
        <f aca="false">IF(BP265=1,ROUND(Settings!$C$29+SUMIFS(AM$6:AM265,BP$6:BP265,1),2),"")</f>
        <v/>
      </c>
      <c r="BS265" s="76" t="str">
        <f aca="false">IF(BP265=1,MAX(Settings!$C$29,MAX(BR$6:BR265)),"")</f>
        <v/>
      </c>
      <c r="BT265" s="83" t="str">
        <f aca="false">IF(BP265=1,(BR265-BS265)/BS265,"")</f>
        <v/>
      </c>
      <c r="BU265" s="66" t="str">
        <f aca="false">IF(BP265=1,IF(AL265="Win",1+IF(BQ265=1,0,INDEX(BU$5:BU264,MATCH(BQ265-1,BQ$5:BQ264,0))),0),"")</f>
        <v/>
      </c>
      <c r="BV265" s="66" t="str">
        <f aca="false">IF(BP265=1,IF(AL265="Loss",1+IF(BQ265=1,0,INDEX(BV$5:BV264,MATCH(BQ265-1,BQ$5:BQ264,0))),0),"")</f>
        <v/>
      </c>
    </row>
    <row r="266" customFormat="false" ht="15" hidden="false" customHeight="false" outlineLevel="0" collapsed="false">
      <c r="A266" s="66" t="str">
        <f aca="false">IF(B266="","",ROW()-5)</f>
        <v/>
      </c>
      <c r="B266" s="67"/>
      <c r="C266" s="68" t="str">
        <f aca="false">IF(B266="","",CHOOSE(WEEKDAY(B266,2),"Mon","Tue","Wed","Thu","Fri","Sat","Sun"))</f>
        <v/>
      </c>
      <c r="D266" s="66" t="str">
        <f aca="false">IF(B266="","",WEEKNUM(B266,2))</f>
        <v/>
      </c>
      <c r="E266" s="69"/>
      <c r="F266" s="69"/>
      <c r="G266" s="70"/>
      <c r="H266" s="70"/>
      <c r="I266" s="69"/>
      <c r="J266" s="69"/>
      <c r="K266" s="69"/>
      <c r="L266" s="71"/>
      <c r="M266" s="69"/>
      <c r="N266" s="69"/>
      <c r="O266" s="69"/>
      <c r="P266" s="71"/>
      <c r="Q266" s="69"/>
      <c r="R266" s="69"/>
      <c r="S266" s="69"/>
      <c r="T266" s="69"/>
      <c r="U266" s="69"/>
      <c r="V266" s="69"/>
      <c r="W266" s="69"/>
      <c r="X266" s="66" t="str">
        <f aca="false">IF(B266="","",COUNTIF(Q266:W266,"Yes"))</f>
        <v/>
      </c>
      <c r="Y266" s="68" t="str">
        <f aca="false">IF(B266="","",IF(X266&gt;=Settings!$C$16,"A+",IF(X266&gt;=Settings!$C$17,"A",IF(X266&gt;=Settings!$C$18,"B","C"))))</f>
        <v/>
      </c>
      <c r="Z266" s="72"/>
      <c r="AA266" s="72"/>
      <c r="AB266" s="72"/>
      <c r="AC266" s="72"/>
      <c r="AD266" s="72"/>
      <c r="AE266" s="72"/>
      <c r="AF266" s="73"/>
      <c r="AG266" s="74"/>
      <c r="AH266" s="75"/>
      <c r="AI266" s="76" t="str">
        <f aca="false">IF(B266="","",ROUND(IF(AG266="",Settings!$C$5,AG266)*AW266,2))</f>
        <v/>
      </c>
      <c r="AJ266" s="77" t="str">
        <f aca="false">IF(OR(B266="",AB266="",AC266="",AD266=""),"",IFERROR(ROUND(ABS(AD266-AB266)/ABS(AB266-AC266),2),""))</f>
        <v/>
      </c>
      <c r="AK266" s="78" t="str">
        <f aca="false">IF(OR(B266="",AB266="",AC266="",AE266=""),"",IFERROR(ROUND(IF(J266="Short",AB266-AE266,AE266-AB266)/ABS(AB266-AC266),2),""))</f>
        <v/>
      </c>
      <c r="AL266" s="68" t="str">
        <f aca="false">IF(AK266="","",IF(ABS(AK266)&lt;=Settings!$C$6,"BE",IF(AK266&gt;0,"Win","Loss")))</f>
        <v/>
      </c>
      <c r="AM266" s="79" t="str">
        <f aca="false">IF(OR(AK266="",AI266=""),"",ROUND(AK266*AI266-N(AH266),2))</f>
        <v/>
      </c>
      <c r="AN266" s="76" t="str">
        <f aca="false">IF(AM266="","",ROUND(BK266+SUMIFS(AM$6:AM266,BJ$6:BJ266,BJ266),2))</f>
        <v/>
      </c>
      <c r="AO266" s="78" t="str">
        <f aca="false">IF(AK266="","",ROUND(SUMIFS(AK$6:AK266,BJ$6:BJ266,BJ266),2))</f>
        <v/>
      </c>
      <c r="AP266" s="80" t="str">
        <f aca="false">IF(OR(AK266="",BL266=""),"",IFERROR(ROUND(IF(J266="Short",AB266-AE266,AE266-AB266)/BL266,1),""))</f>
        <v/>
      </c>
      <c r="AQ266" s="66" t="str">
        <f aca="false">IF(OR(G266="",H266=""),"",ROUND(MOD(H266-G266,1)*1440,0))</f>
        <v/>
      </c>
      <c r="AR266" s="68" t="str">
        <f aca="false">IF(AQ266="","",IF(AQ266&lt;15,"Under 15m",IF(AQ266&lt;60,"15-60m",IF(AQ266&lt;240,"1-4 hours","4+ hours"))))</f>
        <v/>
      </c>
      <c r="AS266" s="66" t="str">
        <f aca="false">IF(G266="","",HOUR(G266))</f>
        <v/>
      </c>
      <c r="AT266" s="80" t="str">
        <f aca="false">IF(OR(Z266="",AB266="",BL266=""),"",IFERROR(ROUND(IF(J266="Short",Z266-AB266,AB266-Z266)/BL266,1),""))</f>
        <v/>
      </c>
      <c r="AU266" s="68" t="str">
        <f aca="false">IF(OR(AA266="",AC266=""),"",IF(AA266=AC266,"No","Yes"))</f>
        <v/>
      </c>
      <c r="AV266" s="81" t="str">
        <f aca="false">IF(OR(B266="",BL266="",BM266="",AB266="",AC266=""),"",IFERROR(ROUND(AI266/(ABS(AB266-AC266)/BL266*BM266),2),""))</f>
        <v/>
      </c>
      <c r="AW266" s="76" t="str">
        <f aca="false">IF(B266="","",ROUND(BK266+SUMIFS(AM$5:AM265,BJ$5:BJ265,BJ266),2))</f>
        <v/>
      </c>
      <c r="AX266" s="66" t="str">
        <f aca="false">IF(B266="","",COUNTIFS(B$6:B266,B266,BJ$6:BJ266,BJ266))</f>
        <v/>
      </c>
      <c r="AY266" s="79" t="str">
        <f aca="false">IF(B266="","",ROUND(SUMIFS(AM$5:AM265,B$5:B265,B266,BJ$5:BJ265,BJ266),2))</f>
        <v/>
      </c>
      <c r="AZ266" s="79" t="str">
        <f aca="false">IF(AM266="","",ROUND(AY266+AM266,2))</f>
        <v/>
      </c>
      <c r="BA266" s="79" t="str">
        <f aca="false">IF(B266="","",ROUND(SUMIFS(AM$5:AM265,B$5:B265,"&gt;="&amp;(B266-WEEKDAY(B266,2)+1),B$5:B265,"&lt;="&amp;B266,BJ$5:BJ265,BJ266),2))</f>
        <v/>
      </c>
      <c r="BB266" s="68" t="str">
        <f aca="false">IF(B266="","",IF(AND(AF266&lt;&gt;"",AV266&lt;&gt;"",N(AF266)&gt;N(AV266)*(1+Settings!$C$13)),"Oversized",IF(AX266&gt;Settings!$C$10,"Overtraded",IF(AY266&lt;=-Settings!$C$11*(AW266-AY266),"Daily loss hit",IF(BA266&lt;=-Settings!$C$12*(AW266-BA266),"Weekly loss hit","OK")))))</f>
        <v/>
      </c>
      <c r="BC266" s="69"/>
      <c r="BD266" s="69"/>
      <c r="BE266" s="69"/>
      <c r="BF266" s="73"/>
      <c r="BG266" s="73"/>
      <c r="BH266" s="71"/>
      <c r="BI266" s="71"/>
      <c r="BJ266" s="68" t="str">
        <f aca="false">IF(B266="","",IF(E266="",Settings!$F$5,E266))</f>
        <v/>
      </c>
      <c r="BK266" s="76" t="str">
        <f aca="false">IF(B266="","",IFERROR(INDEX(Settings!$G$5:$G$10,MATCH(BJ266,Settings!$F$5:$F$10,0)),Settings!$G$5))</f>
        <v/>
      </c>
      <c r="BL266" s="82" t="str">
        <f aca="false">IF(I266="","",IFERROR(1/(1/INDEX(Lists!$C$6:$C$17,MATCH(I266,Lists!$B$6:$B$17,0))),""))</f>
        <v/>
      </c>
      <c r="BM266" s="81" t="str">
        <f aca="false">IF(I266="","",IFERROR(1/(1/INDEX(Lists!$D$6:$D$17,MATCH(I266,Lists!$B$6:$B$17,0))),""))</f>
        <v/>
      </c>
      <c r="BN266" s="76" t="str">
        <f aca="false">IF(AN266="","",MAX(BK266,_xlfn.MAXIFS(AN$6:AN266,BJ$6:BJ266,BJ266)))</f>
        <v/>
      </c>
      <c r="BO266" s="83" t="str">
        <f aca="false">IF(AN266="","",(AN266-BN266)/BN266)</f>
        <v/>
      </c>
      <c r="BP266" s="66" t="n">
        <f aca="false">IF(OR(B266="",AL266=""),0,IF(OR(Settings!$C$28="All Accounts",BJ266=Settings!$C$28),1,0))</f>
        <v>0</v>
      </c>
      <c r="BQ266" s="66" t="str">
        <f aca="false">IF(BP266=1,SUM(BP$6:BP266),"")</f>
        <v/>
      </c>
      <c r="BR266" s="76" t="str">
        <f aca="false">IF(BP266=1,ROUND(Settings!$C$29+SUMIFS(AM$6:AM266,BP$6:BP266,1),2),"")</f>
        <v/>
      </c>
      <c r="BS266" s="76" t="str">
        <f aca="false">IF(BP266=1,MAX(Settings!$C$29,MAX(BR$6:BR266)),"")</f>
        <v/>
      </c>
      <c r="BT266" s="83" t="str">
        <f aca="false">IF(BP266=1,(BR266-BS266)/BS266,"")</f>
        <v/>
      </c>
      <c r="BU266" s="66" t="str">
        <f aca="false">IF(BP266=1,IF(AL266="Win",1+IF(BQ266=1,0,INDEX(BU$5:BU265,MATCH(BQ266-1,BQ$5:BQ265,0))),0),"")</f>
        <v/>
      </c>
      <c r="BV266" s="66" t="str">
        <f aca="false">IF(BP266=1,IF(AL266="Loss",1+IF(BQ266=1,0,INDEX(BV$5:BV265,MATCH(BQ266-1,BQ$5:BQ265,0))),0),"")</f>
        <v/>
      </c>
    </row>
    <row r="267" customFormat="false" ht="15" hidden="false" customHeight="false" outlineLevel="0" collapsed="false">
      <c r="A267" s="66" t="str">
        <f aca="false">IF(B267="","",ROW()-5)</f>
        <v/>
      </c>
      <c r="B267" s="67"/>
      <c r="C267" s="68" t="str">
        <f aca="false">IF(B267="","",CHOOSE(WEEKDAY(B267,2),"Mon","Tue","Wed","Thu","Fri","Sat","Sun"))</f>
        <v/>
      </c>
      <c r="D267" s="66" t="str">
        <f aca="false">IF(B267="","",WEEKNUM(B267,2))</f>
        <v/>
      </c>
      <c r="E267" s="69"/>
      <c r="F267" s="69"/>
      <c r="G267" s="70"/>
      <c r="H267" s="70"/>
      <c r="I267" s="69"/>
      <c r="J267" s="69"/>
      <c r="K267" s="69"/>
      <c r="L267" s="71"/>
      <c r="M267" s="69"/>
      <c r="N267" s="69"/>
      <c r="O267" s="69"/>
      <c r="P267" s="71"/>
      <c r="Q267" s="69"/>
      <c r="R267" s="69"/>
      <c r="S267" s="69"/>
      <c r="T267" s="69"/>
      <c r="U267" s="69"/>
      <c r="V267" s="69"/>
      <c r="W267" s="69"/>
      <c r="X267" s="66" t="str">
        <f aca="false">IF(B267="","",COUNTIF(Q267:W267,"Yes"))</f>
        <v/>
      </c>
      <c r="Y267" s="68" t="str">
        <f aca="false">IF(B267="","",IF(X267&gt;=Settings!$C$16,"A+",IF(X267&gt;=Settings!$C$17,"A",IF(X267&gt;=Settings!$C$18,"B","C"))))</f>
        <v/>
      </c>
      <c r="Z267" s="72"/>
      <c r="AA267" s="72"/>
      <c r="AB267" s="72"/>
      <c r="AC267" s="72"/>
      <c r="AD267" s="72"/>
      <c r="AE267" s="72"/>
      <c r="AF267" s="73"/>
      <c r="AG267" s="74"/>
      <c r="AH267" s="75"/>
      <c r="AI267" s="76" t="str">
        <f aca="false">IF(B267="","",ROUND(IF(AG267="",Settings!$C$5,AG267)*AW267,2))</f>
        <v/>
      </c>
      <c r="AJ267" s="77" t="str">
        <f aca="false">IF(OR(B267="",AB267="",AC267="",AD267=""),"",IFERROR(ROUND(ABS(AD267-AB267)/ABS(AB267-AC267),2),""))</f>
        <v/>
      </c>
      <c r="AK267" s="78" t="str">
        <f aca="false">IF(OR(B267="",AB267="",AC267="",AE267=""),"",IFERROR(ROUND(IF(J267="Short",AB267-AE267,AE267-AB267)/ABS(AB267-AC267),2),""))</f>
        <v/>
      </c>
      <c r="AL267" s="68" t="str">
        <f aca="false">IF(AK267="","",IF(ABS(AK267)&lt;=Settings!$C$6,"BE",IF(AK267&gt;0,"Win","Loss")))</f>
        <v/>
      </c>
      <c r="AM267" s="79" t="str">
        <f aca="false">IF(OR(AK267="",AI267=""),"",ROUND(AK267*AI267-N(AH267),2))</f>
        <v/>
      </c>
      <c r="AN267" s="76" t="str">
        <f aca="false">IF(AM267="","",ROUND(BK267+SUMIFS(AM$6:AM267,BJ$6:BJ267,BJ267),2))</f>
        <v/>
      </c>
      <c r="AO267" s="78" t="str">
        <f aca="false">IF(AK267="","",ROUND(SUMIFS(AK$6:AK267,BJ$6:BJ267,BJ267),2))</f>
        <v/>
      </c>
      <c r="AP267" s="80" t="str">
        <f aca="false">IF(OR(AK267="",BL267=""),"",IFERROR(ROUND(IF(J267="Short",AB267-AE267,AE267-AB267)/BL267,1),""))</f>
        <v/>
      </c>
      <c r="AQ267" s="66" t="str">
        <f aca="false">IF(OR(G267="",H267=""),"",ROUND(MOD(H267-G267,1)*1440,0))</f>
        <v/>
      </c>
      <c r="AR267" s="68" t="str">
        <f aca="false">IF(AQ267="","",IF(AQ267&lt;15,"Under 15m",IF(AQ267&lt;60,"15-60m",IF(AQ267&lt;240,"1-4 hours","4+ hours"))))</f>
        <v/>
      </c>
      <c r="AS267" s="66" t="str">
        <f aca="false">IF(G267="","",HOUR(G267))</f>
        <v/>
      </c>
      <c r="AT267" s="80" t="str">
        <f aca="false">IF(OR(Z267="",AB267="",BL267=""),"",IFERROR(ROUND(IF(J267="Short",Z267-AB267,AB267-Z267)/BL267,1),""))</f>
        <v/>
      </c>
      <c r="AU267" s="68" t="str">
        <f aca="false">IF(OR(AA267="",AC267=""),"",IF(AA267=AC267,"No","Yes"))</f>
        <v/>
      </c>
      <c r="AV267" s="81" t="str">
        <f aca="false">IF(OR(B267="",BL267="",BM267="",AB267="",AC267=""),"",IFERROR(ROUND(AI267/(ABS(AB267-AC267)/BL267*BM267),2),""))</f>
        <v/>
      </c>
      <c r="AW267" s="76" t="str">
        <f aca="false">IF(B267="","",ROUND(BK267+SUMIFS(AM$5:AM266,BJ$5:BJ266,BJ267),2))</f>
        <v/>
      </c>
      <c r="AX267" s="66" t="str">
        <f aca="false">IF(B267="","",COUNTIFS(B$6:B267,B267,BJ$6:BJ267,BJ267))</f>
        <v/>
      </c>
      <c r="AY267" s="79" t="str">
        <f aca="false">IF(B267="","",ROUND(SUMIFS(AM$5:AM266,B$5:B266,B267,BJ$5:BJ266,BJ267),2))</f>
        <v/>
      </c>
      <c r="AZ267" s="79" t="str">
        <f aca="false">IF(AM267="","",ROUND(AY267+AM267,2))</f>
        <v/>
      </c>
      <c r="BA267" s="79" t="str">
        <f aca="false">IF(B267="","",ROUND(SUMIFS(AM$5:AM266,B$5:B266,"&gt;="&amp;(B267-WEEKDAY(B267,2)+1),B$5:B266,"&lt;="&amp;B267,BJ$5:BJ266,BJ267),2))</f>
        <v/>
      </c>
      <c r="BB267" s="68" t="str">
        <f aca="false">IF(B267="","",IF(AND(AF267&lt;&gt;"",AV267&lt;&gt;"",N(AF267)&gt;N(AV267)*(1+Settings!$C$13)),"Oversized",IF(AX267&gt;Settings!$C$10,"Overtraded",IF(AY267&lt;=-Settings!$C$11*(AW267-AY267),"Daily loss hit",IF(BA267&lt;=-Settings!$C$12*(AW267-BA267),"Weekly loss hit","OK")))))</f>
        <v/>
      </c>
      <c r="BC267" s="69"/>
      <c r="BD267" s="69"/>
      <c r="BE267" s="69"/>
      <c r="BF267" s="73"/>
      <c r="BG267" s="73"/>
      <c r="BH267" s="71"/>
      <c r="BI267" s="71"/>
      <c r="BJ267" s="68" t="str">
        <f aca="false">IF(B267="","",IF(E267="",Settings!$F$5,E267))</f>
        <v/>
      </c>
      <c r="BK267" s="76" t="str">
        <f aca="false">IF(B267="","",IFERROR(INDEX(Settings!$G$5:$G$10,MATCH(BJ267,Settings!$F$5:$F$10,0)),Settings!$G$5))</f>
        <v/>
      </c>
      <c r="BL267" s="82" t="str">
        <f aca="false">IF(I267="","",IFERROR(1/(1/INDEX(Lists!$C$6:$C$17,MATCH(I267,Lists!$B$6:$B$17,0))),""))</f>
        <v/>
      </c>
      <c r="BM267" s="81" t="str">
        <f aca="false">IF(I267="","",IFERROR(1/(1/INDEX(Lists!$D$6:$D$17,MATCH(I267,Lists!$B$6:$B$17,0))),""))</f>
        <v/>
      </c>
      <c r="BN267" s="76" t="str">
        <f aca="false">IF(AN267="","",MAX(BK267,_xlfn.MAXIFS(AN$6:AN267,BJ$6:BJ267,BJ267)))</f>
        <v/>
      </c>
      <c r="BO267" s="83" t="str">
        <f aca="false">IF(AN267="","",(AN267-BN267)/BN267)</f>
        <v/>
      </c>
      <c r="BP267" s="66" t="n">
        <f aca="false">IF(OR(B267="",AL267=""),0,IF(OR(Settings!$C$28="All Accounts",BJ267=Settings!$C$28),1,0))</f>
        <v>0</v>
      </c>
      <c r="BQ267" s="66" t="str">
        <f aca="false">IF(BP267=1,SUM(BP$6:BP267),"")</f>
        <v/>
      </c>
      <c r="BR267" s="76" t="str">
        <f aca="false">IF(BP267=1,ROUND(Settings!$C$29+SUMIFS(AM$6:AM267,BP$6:BP267,1),2),"")</f>
        <v/>
      </c>
      <c r="BS267" s="76" t="str">
        <f aca="false">IF(BP267=1,MAX(Settings!$C$29,MAX(BR$6:BR267)),"")</f>
        <v/>
      </c>
      <c r="BT267" s="83" t="str">
        <f aca="false">IF(BP267=1,(BR267-BS267)/BS267,"")</f>
        <v/>
      </c>
      <c r="BU267" s="66" t="str">
        <f aca="false">IF(BP267=1,IF(AL267="Win",1+IF(BQ267=1,0,INDEX(BU$5:BU266,MATCH(BQ267-1,BQ$5:BQ266,0))),0),"")</f>
        <v/>
      </c>
      <c r="BV267" s="66" t="str">
        <f aca="false">IF(BP267=1,IF(AL267="Loss",1+IF(BQ267=1,0,INDEX(BV$5:BV266,MATCH(BQ267-1,BQ$5:BQ266,0))),0),"")</f>
        <v/>
      </c>
    </row>
    <row r="268" customFormat="false" ht="15" hidden="false" customHeight="false" outlineLevel="0" collapsed="false">
      <c r="A268" s="66" t="str">
        <f aca="false">IF(B268="","",ROW()-5)</f>
        <v/>
      </c>
      <c r="B268" s="67"/>
      <c r="C268" s="68" t="str">
        <f aca="false">IF(B268="","",CHOOSE(WEEKDAY(B268,2),"Mon","Tue","Wed","Thu","Fri","Sat","Sun"))</f>
        <v/>
      </c>
      <c r="D268" s="66" t="str">
        <f aca="false">IF(B268="","",WEEKNUM(B268,2))</f>
        <v/>
      </c>
      <c r="E268" s="69"/>
      <c r="F268" s="69"/>
      <c r="G268" s="70"/>
      <c r="H268" s="70"/>
      <c r="I268" s="69"/>
      <c r="J268" s="69"/>
      <c r="K268" s="69"/>
      <c r="L268" s="71"/>
      <c r="M268" s="69"/>
      <c r="N268" s="69"/>
      <c r="O268" s="69"/>
      <c r="P268" s="71"/>
      <c r="Q268" s="69"/>
      <c r="R268" s="69"/>
      <c r="S268" s="69"/>
      <c r="T268" s="69"/>
      <c r="U268" s="69"/>
      <c r="V268" s="69"/>
      <c r="W268" s="69"/>
      <c r="X268" s="66" t="str">
        <f aca="false">IF(B268="","",COUNTIF(Q268:W268,"Yes"))</f>
        <v/>
      </c>
      <c r="Y268" s="68" t="str">
        <f aca="false">IF(B268="","",IF(X268&gt;=Settings!$C$16,"A+",IF(X268&gt;=Settings!$C$17,"A",IF(X268&gt;=Settings!$C$18,"B","C"))))</f>
        <v/>
      </c>
      <c r="Z268" s="72"/>
      <c r="AA268" s="72"/>
      <c r="AB268" s="72"/>
      <c r="AC268" s="72"/>
      <c r="AD268" s="72"/>
      <c r="AE268" s="72"/>
      <c r="AF268" s="73"/>
      <c r="AG268" s="74"/>
      <c r="AH268" s="75"/>
      <c r="AI268" s="76" t="str">
        <f aca="false">IF(B268="","",ROUND(IF(AG268="",Settings!$C$5,AG268)*AW268,2))</f>
        <v/>
      </c>
      <c r="AJ268" s="77" t="str">
        <f aca="false">IF(OR(B268="",AB268="",AC268="",AD268=""),"",IFERROR(ROUND(ABS(AD268-AB268)/ABS(AB268-AC268),2),""))</f>
        <v/>
      </c>
      <c r="AK268" s="78" t="str">
        <f aca="false">IF(OR(B268="",AB268="",AC268="",AE268=""),"",IFERROR(ROUND(IF(J268="Short",AB268-AE268,AE268-AB268)/ABS(AB268-AC268),2),""))</f>
        <v/>
      </c>
      <c r="AL268" s="68" t="str">
        <f aca="false">IF(AK268="","",IF(ABS(AK268)&lt;=Settings!$C$6,"BE",IF(AK268&gt;0,"Win","Loss")))</f>
        <v/>
      </c>
      <c r="AM268" s="79" t="str">
        <f aca="false">IF(OR(AK268="",AI268=""),"",ROUND(AK268*AI268-N(AH268),2))</f>
        <v/>
      </c>
      <c r="AN268" s="76" t="str">
        <f aca="false">IF(AM268="","",ROUND(BK268+SUMIFS(AM$6:AM268,BJ$6:BJ268,BJ268),2))</f>
        <v/>
      </c>
      <c r="AO268" s="78" t="str">
        <f aca="false">IF(AK268="","",ROUND(SUMIFS(AK$6:AK268,BJ$6:BJ268,BJ268),2))</f>
        <v/>
      </c>
      <c r="AP268" s="80" t="str">
        <f aca="false">IF(OR(AK268="",BL268=""),"",IFERROR(ROUND(IF(J268="Short",AB268-AE268,AE268-AB268)/BL268,1),""))</f>
        <v/>
      </c>
      <c r="AQ268" s="66" t="str">
        <f aca="false">IF(OR(G268="",H268=""),"",ROUND(MOD(H268-G268,1)*1440,0))</f>
        <v/>
      </c>
      <c r="AR268" s="68" t="str">
        <f aca="false">IF(AQ268="","",IF(AQ268&lt;15,"Under 15m",IF(AQ268&lt;60,"15-60m",IF(AQ268&lt;240,"1-4 hours","4+ hours"))))</f>
        <v/>
      </c>
      <c r="AS268" s="66" t="str">
        <f aca="false">IF(G268="","",HOUR(G268))</f>
        <v/>
      </c>
      <c r="AT268" s="80" t="str">
        <f aca="false">IF(OR(Z268="",AB268="",BL268=""),"",IFERROR(ROUND(IF(J268="Short",Z268-AB268,AB268-Z268)/BL268,1),""))</f>
        <v/>
      </c>
      <c r="AU268" s="68" t="str">
        <f aca="false">IF(OR(AA268="",AC268=""),"",IF(AA268=AC268,"No","Yes"))</f>
        <v/>
      </c>
      <c r="AV268" s="81" t="str">
        <f aca="false">IF(OR(B268="",BL268="",BM268="",AB268="",AC268=""),"",IFERROR(ROUND(AI268/(ABS(AB268-AC268)/BL268*BM268),2),""))</f>
        <v/>
      </c>
      <c r="AW268" s="76" t="str">
        <f aca="false">IF(B268="","",ROUND(BK268+SUMIFS(AM$5:AM267,BJ$5:BJ267,BJ268),2))</f>
        <v/>
      </c>
      <c r="AX268" s="66" t="str">
        <f aca="false">IF(B268="","",COUNTIFS(B$6:B268,B268,BJ$6:BJ268,BJ268))</f>
        <v/>
      </c>
      <c r="AY268" s="79" t="str">
        <f aca="false">IF(B268="","",ROUND(SUMIFS(AM$5:AM267,B$5:B267,B268,BJ$5:BJ267,BJ268),2))</f>
        <v/>
      </c>
      <c r="AZ268" s="79" t="str">
        <f aca="false">IF(AM268="","",ROUND(AY268+AM268,2))</f>
        <v/>
      </c>
      <c r="BA268" s="79" t="str">
        <f aca="false">IF(B268="","",ROUND(SUMIFS(AM$5:AM267,B$5:B267,"&gt;="&amp;(B268-WEEKDAY(B268,2)+1),B$5:B267,"&lt;="&amp;B268,BJ$5:BJ267,BJ268),2))</f>
        <v/>
      </c>
      <c r="BB268" s="68" t="str">
        <f aca="false">IF(B268="","",IF(AND(AF268&lt;&gt;"",AV268&lt;&gt;"",N(AF268)&gt;N(AV268)*(1+Settings!$C$13)),"Oversized",IF(AX268&gt;Settings!$C$10,"Overtraded",IF(AY268&lt;=-Settings!$C$11*(AW268-AY268),"Daily loss hit",IF(BA268&lt;=-Settings!$C$12*(AW268-BA268),"Weekly loss hit","OK")))))</f>
        <v/>
      </c>
      <c r="BC268" s="69"/>
      <c r="BD268" s="69"/>
      <c r="BE268" s="69"/>
      <c r="BF268" s="73"/>
      <c r="BG268" s="73"/>
      <c r="BH268" s="71"/>
      <c r="BI268" s="71"/>
      <c r="BJ268" s="68" t="str">
        <f aca="false">IF(B268="","",IF(E268="",Settings!$F$5,E268))</f>
        <v/>
      </c>
      <c r="BK268" s="76" t="str">
        <f aca="false">IF(B268="","",IFERROR(INDEX(Settings!$G$5:$G$10,MATCH(BJ268,Settings!$F$5:$F$10,0)),Settings!$G$5))</f>
        <v/>
      </c>
      <c r="BL268" s="82" t="str">
        <f aca="false">IF(I268="","",IFERROR(1/(1/INDEX(Lists!$C$6:$C$17,MATCH(I268,Lists!$B$6:$B$17,0))),""))</f>
        <v/>
      </c>
      <c r="BM268" s="81" t="str">
        <f aca="false">IF(I268="","",IFERROR(1/(1/INDEX(Lists!$D$6:$D$17,MATCH(I268,Lists!$B$6:$B$17,0))),""))</f>
        <v/>
      </c>
      <c r="BN268" s="76" t="str">
        <f aca="false">IF(AN268="","",MAX(BK268,_xlfn.MAXIFS(AN$6:AN268,BJ$6:BJ268,BJ268)))</f>
        <v/>
      </c>
      <c r="BO268" s="83" t="str">
        <f aca="false">IF(AN268="","",(AN268-BN268)/BN268)</f>
        <v/>
      </c>
      <c r="BP268" s="66" t="n">
        <f aca="false">IF(OR(B268="",AL268=""),0,IF(OR(Settings!$C$28="All Accounts",BJ268=Settings!$C$28),1,0))</f>
        <v>0</v>
      </c>
      <c r="BQ268" s="66" t="str">
        <f aca="false">IF(BP268=1,SUM(BP$6:BP268),"")</f>
        <v/>
      </c>
      <c r="BR268" s="76" t="str">
        <f aca="false">IF(BP268=1,ROUND(Settings!$C$29+SUMIFS(AM$6:AM268,BP$6:BP268,1),2),"")</f>
        <v/>
      </c>
      <c r="BS268" s="76" t="str">
        <f aca="false">IF(BP268=1,MAX(Settings!$C$29,MAX(BR$6:BR268)),"")</f>
        <v/>
      </c>
      <c r="BT268" s="83" t="str">
        <f aca="false">IF(BP268=1,(BR268-BS268)/BS268,"")</f>
        <v/>
      </c>
      <c r="BU268" s="66" t="str">
        <f aca="false">IF(BP268=1,IF(AL268="Win",1+IF(BQ268=1,0,INDEX(BU$5:BU267,MATCH(BQ268-1,BQ$5:BQ267,0))),0),"")</f>
        <v/>
      </c>
      <c r="BV268" s="66" t="str">
        <f aca="false">IF(BP268=1,IF(AL268="Loss",1+IF(BQ268=1,0,INDEX(BV$5:BV267,MATCH(BQ268-1,BQ$5:BQ267,0))),0),"")</f>
        <v/>
      </c>
    </row>
    <row r="269" customFormat="false" ht="15" hidden="false" customHeight="false" outlineLevel="0" collapsed="false">
      <c r="A269" s="66" t="str">
        <f aca="false">IF(B269="","",ROW()-5)</f>
        <v/>
      </c>
      <c r="B269" s="67"/>
      <c r="C269" s="68" t="str">
        <f aca="false">IF(B269="","",CHOOSE(WEEKDAY(B269,2),"Mon","Tue","Wed","Thu","Fri","Sat","Sun"))</f>
        <v/>
      </c>
      <c r="D269" s="66" t="str">
        <f aca="false">IF(B269="","",WEEKNUM(B269,2))</f>
        <v/>
      </c>
      <c r="E269" s="69"/>
      <c r="F269" s="69"/>
      <c r="G269" s="70"/>
      <c r="H269" s="70"/>
      <c r="I269" s="69"/>
      <c r="J269" s="69"/>
      <c r="K269" s="69"/>
      <c r="L269" s="71"/>
      <c r="M269" s="69"/>
      <c r="N269" s="69"/>
      <c r="O269" s="69"/>
      <c r="P269" s="71"/>
      <c r="Q269" s="69"/>
      <c r="R269" s="69"/>
      <c r="S269" s="69"/>
      <c r="T269" s="69"/>
      <c r="U269" s="69"/>
      <c r="V269" s="69"/>
      <c r="W269" s="69"/>
      <c r="X269" s="66" t="str">
        <f aca="false">IF(B269="","",COUNTIF(Q269:W269,"Yes"))</f>
        <v/>
      </c>
      <c r="Y269" s="68" t="str">
        <f aca="false">IF(B269="","",IF(X269&gt;=Settings!$C$16,"A+",IF(X269&gt;=Settings!$C$17,"A",IF(X269&gt;=Settings!$C$18,"B","C"))))</f>
        <v/>
      </c>
      <c r="Z269" s="72"/>
      <c r="AA269" s="72"/>
      <c r="AB269" s="72"/>
      <c r="AC269" s="72"/>
      <c r="AD269" s="72"/>
      <c r="AE269" s="72"/>
      <c r="AF269" s="73"/>
      <c r="AG269" s="74"/>
      <c r="AH269" s="75"/>
      <c r="AI269" s="76" t="str">
        <f aca="false">IF(B269="","",ROUND(IF(AG269="",Settings!$C$5,AG269)*AW269,2))</f>
        <v/>
      </c>
      <c r="AJ269" s="77" t="str">
        <f aca="false">IF(OR(B269="",AB269="",AC269="",AD269=""),"",IFERROR(ROUND(ABS(AD269-AB269)/ABS(AB269-AC269),2),""))</f>
        <v/>
      </c>
      <c r="AK269" s="78" t="str">
        <f aca="false">IF(OR(B269="",AB269="",AC269="",AE269=""),"",IFERROR(ROUND(IF(J269="Short",AB269-AE269,AE269-AB269)/ABS(AB269-AC269),2),""))</f>
        <v/>
      </c>
      <c r="AL269" s="68" t="str">
        <f aca="false">IF(AK269="","",IF(ABS(AK269)&lt;=Settings!$C$6,"BE",IF(AK269&gt;0,"Win","Loss")))</f>
        <v/>
      </c>
      <c r="AM269" s="79" t="str">
        <f aca="false">IF(OR(AK269="",AI269=""),"",ROUND(AK269*AI269-N(AH269),2))</f>
        <v/>
      </c>
      <c r="AN269" s="76" t="str">
        <f aca="false">IF(AM269="","",ROUND(BK269+SUMIFS(AM$6:AM269,BJ$6:BJ269,BJ269),2))</f>
        <v/>
      </c>
      <c r="AO269" s="78" t="str">
        <f aca="false">IF(AK269="","",ROUND(SUMIFS(AK$6:AK269,BJ$6:BJ269,BJ269),2))</f>
        <v/>
      </c>
      <c r="AP269" s="80" t="str">
        <f aca="false">IF(OR(AK269="",BL269=""),"",IFERROR(ROUND(IF(J269="Short",AB269-AE269,AE269-AB269)/BL269,1),""))</f>
        <v/>
      </c>
      <c r="AQ269" s="66" t="str">
        <f aca="false">IF(OR(G269="",H269=""),"",ROUND(MOD(H269-G269,1)*1440,0))</f>
        <v/>
      </c>
      <c r="AR269" s="68" t="str">
        <f aca="false">IF(AQ269="","",IF(AQ269&lt;15,"Under 15m",IF(AQ269&lt;60,"15-60m",IF(AQ269&lt;240,"1-4 hours","4+ hours"))))</f>
        <v/>
      </c>
      <c r="AS269" s="66" t="str">
        <f aca="false">IF(G269="","",HOUR(G269))</f>
        <v/>
      </c>
      <c r="AT269" s="80" t="str">
        <f aca="false">IF(OR(Z269="",AB269="",BL269=""),"",IFERROR(ROUND(IF(J269="Short",Z269-AB269,AB269-Z269)/BL269,1),""))</f>
        <v/>
      </c>
      <c r="AU269" s="68" t="str">
        <f aca="false">IF(OR(AA269="",AC269=""),"",IF(AA269=AC269,"No","Yes"))</f>
        <v/>
      </c>
      <c r="AV269" s="81" t="str">
        <f aca="false">IF(OR(B269="",BL269="",BM269="",AB269="",AC269=""),"",IFERROR(ROUND(AI269/(ABS(AB269-AC269)/BL269*BM269),2),""))</f>
        <v/>
      </c>
      <c r="AW269" s="76" t="str">
        <f aca="false">IF(B269="","",ROUND(BK269+SUMIFS(AM$5:AM268,BJ$5:BJ268,BJ269),2))</f>
        <v/>
      </c>
      <c r="AX269" s="66" t="str">
        <f aca="false">IF(B269="","",COUNTIFS(B$6:B269,B269,BJ$6:BJ269,BJ269))</f>
        <v/>
      </c>
      <c r="AY269" s="79" t="str">
        <f aca="false">IF(B269="","",ROUND(SUMIFS(AM$5:AM268,B$5:B268,B269,BJ$5:BJ268,BJ269),2))</f>
        <v/>
      </c>
      <c r="AZ269" s="79" t="str">
        <f aca="false">IF(AM269="","",ROUND(AY269+AM269,2))</f>
        <v/>
      </c>
      <c r="BA269" s="79" t="str">
        <f aca="false">IF(B269="","",ROUND(SUMIFS(AM$5:AM268,B$5:B268,"&gt;="&amp;(B269-WEEKDAY(B269,2)+1),B$5:B268,"&lt;="&amp;B269,BJ$5:BJ268,BJ269),2))</f>
        <v/>
      </c>
      <c r="BB269" s="68" t="str">
        <f aca="false">IF(B269="","",IF(AND(AF269&lt;&gt;"",AV269&lt;&gt;"",N(AF269)&gt;N(AV269)*(1+Settings!$C$13)),"Oversized",IF(AX269&gt;Settings!$C$10,"Overtraded",IF(AY269&lt;=-Settings!$C$11*(AW269-AY269),"Daily loss hit",IF(BA269&lt;=-Settings!$C$12*(AW269-BA269),"Weekly loss hit","OK")))))</f>
        <v/>
      </c>
      <c r="BC269" s="69"/>
      <c r="BD269" s="69"/>
      <c r="BE269" s="69"/>
      <c r="BF269" s="73"/>
      <c r="BG269" s="73"/>
      <c r="BH269" s="71"/>
      <c r="BI269" s="71"/>
      <c r="BJ269" s="68" t="str">
        <f aca="false">IF(B269="","",IF(E269="",Settings!$F$5,E269))</f>
        <v/>
      </c>
      <c r="BK269" s="76" t="str">
        <f aca="false">IF(B269="","",IFERROR(INDEX(Settings!$G$5:$G$10,MATCH(BJ269,Settings!$F$5:$F$10,0)),Settings!$G$5))</f>
        <v/>
      </c>
      <c r="BL269" s="82" t="str">
        <f aca="false">IF(I269="","",IFERROR(1/(1/INDEX(Lists!$C$6:$C$17,MATCH(I269,Lists!$B$6:$B$17,0))),""))</f>
        <v/>
      </c>
      <c r="BM269" s="81" t="str">
        <f aca="false">IF(I269="","",IFERROR(1/(1/INDEX(Lists!$D$6:$D$17,MATCH(I269,Lists!$B$6:$B$17,0))),""))</f>
        <v/>
      </c>
      <c r="BN269" s="76" t="str">
        <f aca="false">IF(AN269="","",MAX(BK269,_xlfn.MAXIFS(AN$6:AN269,BJ$6:BJ269,BJ269)))</f>
        <v/>
      </c>
      <c r="BO269" s="83" t="str">
        <f aca="false">IF(AN269="","",(AN269-BN269)/BN269)</f>
        <v/>
      </c>
      <c r="BP269" s="66" t="n">
        <f aca="false">IF(OR(B269="",AL269=""),0,IF(OR(Settings!$C$28="All Accounts",BJ269=Settings!$C$28),1,0))</f>
        <v>0</v>
      </c>
      <c r="BQ269" s="66" t="str">
        <f aca="false">IF(BP269=1,SUM(BP$6:BP269),"")</f>
        <v/>
      </c>
      <c r="BR269" s="76" t="str">
        <f aca="false">IF(BP269=1,ROUND(Settings!$C$29+SUMIFS(AM$6:AM269,BP$6:BP269,1),2),"")</f>
        <v/>
      </c>
      <c r="BS269" s="76" t="str">
        <f aca="false">IF(BP269=1,MAX(Settings!$C$29,MAX(BR$6:BR269)),"")</f>
        <v/>
      </c>
      <c r="BT269" s="83" t="str">
        <f aca="false">IF(BP269=1,(BR269-BS269)/BS269,"")</f>
        <v/>
      </c>
      <c r="BU269" s="66" t="str">
        <f aca="false">IF(BP269=1,IF(AL269="Win",1+IF(BQ269=1,0,INDEX(BU$5:BU268,MATCH(BQ269-1,BQ$5:BQ268,0))),0),"")</f>
        <v/>
      </c>
      <c r="BV269" s="66" t="str">
        <f aca="false">IF(BP269=1,IF(AL269="Loss",1+IF(BQ269=1,0,INDEX(BV$5:BV268,MATCH(BQ269-1,BQ$5:BQ268,0))),0),"")</f>
        <v/>
      </c>
    </row>
    <row r="270" customFormat="false" ht="15" hidden="false" customHeight="false" outlineLevel="0" collapsed="false">
      <c r="A270" s="66" t="str">
        <f aca="false">IF(B270="","",ROW()-5)</f>
        <v/>
      </c>
      <c r="B270" s="67"/>
      <c r="C270" s="68" t="str">
        <f aca="false">IF(B270="","",CHOOSE(WEEKDAY(B270,2),"Mon","Tue","Wed","Thu","Fri","Sat","Sun"))</f>
        <v/>
      </c>
      <c r="D270" s="66" t="str">
        <f aca="false">IF(B270="","",WEEKNUM(B270,2))</f>
        <v/>
      </c>
      <c r="E270" s="69"/>
      <c r="F270" s="69"/>
      <c r="G270" s="70"/>
      <c r="H270" s="70"/>
      <c r="I270" s="69"/>
      <c r="J270" s="69"/>
      <c r="K270" s="69"/>
      <c r="L270" s="71"/>
      <c r="M270" s="69"/>
      <c r="N270" s="69"/>
      <c r="O270" s="69"/>
      <c r="P270" s="71"/>
      <c r="Q270" s="69"/>
      <c r="R270" s="69"/>
      <c r="S270" s="69"/>
      <c r="T270" s="69"/>
      <c r="U270" s="69"/>
      <c r="V270" s="69"/>
      <c r="W270" s="69"/>
      <c r="X270" s="66" t="str">
        <f aca="false">IF(B270="","",COUNTIF(Q270:W270,"Yes"))</f>
        <v/>
      </c>
      <c r="Y270" s="68" t="str">
        <f aca="false">IF(B270="","",IF(X270&gt;=Settings!$C$16,"A+",IF(X270&gt;=Settings!$C$17,"A",IF(X270&gt;=Settings!$C$18,"B","C"))))</f>
        <v/>
      </c>
      <c r="Z270" s="72"/>
      <c r="AA270" s="72"/>
      <c r="AB270" s="72"/>
      <c r="AC270" s="72"/>
      <c r="AD270" s="72"/>
      <c r="AE270" s="72"/>
      <c r="AF270" s="73"/>
      <c r="AG270" s="74"/>
      <c r="AH270" s="75"/>
      <c r="AI270" s="76" t="str">
        <f aca="false">IF(B270="","",ROUND(IF(AG270="",Settings!$C$5,AG270)*AW270,2))</f>
        <v/>
      </c>
      <c r="AJ270" s="77" t="str">
        <f aca="false">IF(OR(B270="",AB270="",AC270="",AD270=""),"",IFERROR(ROUND(ABS(AD270-AB270)/ABS(AB270-AC270),2),""))</f>
        <v/>
      </c>
      <c r="AK270" s="78" t="str">
        <f aca="false">IF(OR(B270="",AB270="",AC270="",AE270=""),"",IFERROR(ROUND(IF(J270="Short",AB270-AE270,AE270-AB270)/ABS(AB270-AC270),2),""))</f>
        <v/>
      </c>
      <c r="AL270" s="68" t="str">
        <f aca="false">IF(AK270="","",IF(ABS(AK270)&lt;=Settings!$C$6,"BE",IF(AK270&gt;0,"Win","Loss")))</f>
        <v/>
      </c>
      <c r="AM270" s="79" t="str">
        <f aca="false">IF(OR(AK270="",AI270=""),"",ROUND(AK270*AI270-N(AH270),2))</f>
        <v/>
      </c>
      <c r="AN270" s="76" t="str">
        <f aca="false">IF(AM270="","",ROUND(BK270+SUMIFS(AM$6:AM270,BJ$6:BJ270,BJ270),2))</f>
        <v/>
      </c>
      <c r="AO270" s="78" t="str">
        <f aca="false">IF(AK270="","",ROUND(SUMIFS(AK$6:AK270,BJ$6:BJ270,BJ270),2))</f>
        <v/>
      </c>
      <c r="AP270" s="80" t="str">
        <f aca="false">IF(OR(AK270="",BL270=""),"",IFERROR(ROUND(IF(J270="Short",AB270-AE270,AE270-AB270)/BL270,1),""))</f>
        <v/>
      </c>
      <c r="AQ270" s="66" t="str">
        <f aca="false">IF(OR(G270="",H270=""),"",ROUND(MOD(H270-G270,1)*1440,0))</f>
        <v/>
      </c>
      <c r="AR270" s="68" t="str">
        <f aca="false">IF(AQ270="","",IF(AQ270&lt;15,"Under 15m",IF(AQ270&lt;60,"15-60m",IF(AQ270&lt;240,"1-4 hours","4+ hours"))))</f>
        <v/>
      </c>
      <c r="AS270" s="66" t="str">
        <f aca="false">IF(G270="","",HOUR(G270))</f>
        <v/>
      </c>
      <c r="AT270" s="80" t="str">
        <f aca="false">IF(OR(Z270="",AB270="",BL270=""),"",IFERROR(ROUND(IF(J270="Short",Z270-AB270,AB270-Z270)/BL270,1),""))</f>
        <v/>
      </c>
      <c r="AU270" s="68" t="str">
        <f aca="false">IF(OR(AA270="",AC270=""),"",IF(AA270=AC270,"No","Yes"))</f>
        <v/>
      </c>
      <c r="AV270" s="81" t="str">
        <f aca="false">IF(OR(B270="",BL270="",BM270="",AB270="",AC270=""),"",IFERROR(ROUND(AI270/(ABS(AB270-AC270)/BL270*BM270),2),""))</f>
        <v/>
      </c>
      <c r="AW270" s="76" t="str">
        <f aca="false">IF(B270="","",ROUND(BK270+SUMIFS(AM$5:AM269,BJ$5:BJ269,BJ270),2))</f>
        <v/>
      </c>
      <c r="AX270" s="66" t="str">
        <f aca="false">IF(B270="","",COUNTIFS(B$6:B270,B270,BJ$6:BJ270,BJ270))</f>
        <v/>
      </c>
      <c r="AY270" s="79" t="str">
        <f aca="false">IF(B270="","",ROUND(SUMIFS(AM$5:AM269,B$5:B269,B270,BJ$5:BJ269,BJ270),2))</f>
        <v/>
      </c>
      <c r="AZ270" s="79" t="str">
        <f aca="false">IF(AM270="","",ROUND(AY270+AM270,2))</f>
        <v/>
      </c>
      <c r="BA270" s="79" t="str">
        <f aca="false">IF(B270="","",ROUND(SUMIFS(AM$5:AM269,B$5:B269,"&gt;="&amp;(B270-WEEKDAY(B270,2)+1),B$5:B269,"&lt;="&amp;B270,BJ$5:BJ269,BJ270),2))</f>
        <v/>
      </c>
      <c r="BB270" s="68" t="str">
        <f aca="false">IF(B270="","",IF(AND(AF270&lt;&gt;"",AV270&lt;&gt;"",N(AF270)&gt;N(AV270)*(1+Settings!$C$13)),"Oversized",IF(AX270&gt;Settings!$C$10,"Overtraded",IF(AY270&lt;=-Settings!$C$11*(AW270-AY270),"Daily loss hit",IF(BA270&lt;=-Settings!$C$12*(AW270-BA270),"Weekly loss hit","OK")))))</f>
        <v/>
      </c>
      <c r="BC270" s="69"/>
      <c r="BD270" s="69"/>
      <c r="BE270" s="69"/>
      <c r="BF270" s="73"/>
      <c r="BG270" s="73"/>
      <c r="BH270" s="71"/>
      <c r="BI270" s="71"/>
      <c r="BJ270" s="68" t="str">
        <f aca="false">IF(B270="","",IF(E270="",Settings!$F$5,E270))</f>
        <v/>
      </c>
      <c r="BK270" s="76" t="str">
        <f aca="false">IF(B270="","",IFERROR(INDEX(Settings!$G$5:$G$10,MATCH(BJ270,Settings!$F$5:$F$10,0)),Settings!$G$5))</f>
        <v/>
      </c>
      <c r="BL270" s="82" t="str">
        <f aca="false">IF(I270="","",IFERROR(1/(1/INDEX(Lists!$C$6:$C$17,MATCH(I270,Lists!$B$6:$B$17,0))),""))</f>
        <v/>
      </c>
      <c r="BM270" s="81" t="str">
        <f aca="false">IF(I270="","",IFERROR(1/(1/INDEX(Lists!$D$6:$D$17,MATCH(I270,Lists!$B$6:$B$17,0))),""))</f>
        <v/>
      </c>
      <c r="BN270" s="76" t="str">
        <f aca="false">IF(AN270="","",MAX(BK270,_xlfn.MAXIFS(AN$6:AN270,BJ$6:BJ270,BJ270)))</f>
        <v/>
      </c>
      <c r="BO270" s="83" t="str">
        <f aca="false">IF(AN270="","",(AN270-BN270)/BN270)</f>
        <v/>
      </c>
      <c r="BP270" s="66" t="n">
        <f aca="false">IF(OR(B270="",AL270=""),0,IF(OR(Settings!$C$28="All Accounts",BJ270=Settings!$C$28),1,0))</f>
        <v>0</v>
      </c>
      <c r="BQ270" s="66" t="str">
        <f aca="false">IF(BP270=1,SUM(BP$6:BP270),"")</f>
        <v/>
      </c>
      <c r="BR270" s="76" t="str">
        <f aca="false">IF(BP270=1,ROUND(Settings!$C$29+SUMIFS(AM$6:AM270,BP$6:BP270,1),2),"")</f>
        <v/>
      </c>
      <c r="BS270" s="76" t="str">
        <f aca="false">IF(BP270=1,MAX(Settings!$C$29,MAX(BR$6:BR270)),"")</f>
        <v/>
      </c>
      <c r="BT270" s="83" t="str">
        <f aca="false">IF(BP270=1,(BR270-BS270)/BS270,"")</f>
        <v/>
      </c>
      <c r="BU270" s="66" t="str">
        <f aca="false">IF(BP270=1,IF(AL270="Win",1+IF(BQ270=1,0,INDEX(BU$5:BU269,MATCH(BQ270-1,BQ$5:BQ269,0))),0),"")</f>
        <v/>
      </c>
      <c r="BV270" s="66" t="str">
        <f aca="false">IF(BP270=1,IF(AL270="Loss",1+IF(BQ270=1,0,INDEX(BV$5:BV269,MATCH(BQ270-1,BQ$5:BQ269,0))),0),"")</f>
        <v/>
      </c>
    </row>
    <row r="271" customFormat="false" ht="15" hidden="false" customHeight="false" outlineLevel="0" collapsed="false">
      <c r="A271" s="66" t="str">
        <f aca="false">IF(B271="","",ROW()-5)</f>
        <v/>
      </c>
      <c r="B271" s="67"/>
      <c r="C271" s="68" t="str">
        <f aca="false">IF(B271="","",CHOOSE(WEEKDAY(B271,2),"Mon","Tue","Wed","Thu","Fri","Sat","Sun"))</f>
        <v/>
      </c>
      <c r="D271" s="66" t="str">
        <f aca="false">IF(B271="","",WEEKNUM(B271,2))</f>
        <v/>
      </c>
      <c r="E271" s="69"/>
      <c r="F271" s="69"/>
      <c r="G271" s="70"/>
      <c r="H271" s="70"/>
      <c r="I271" s="69"/>
      <c r="J271" s="69"/>
      <c r="K271" s="69"/>
      <c r="L271" s="71"/>
      <c r="M271" s="69"/>
      <c r="N271" s="69"/>
      <c r="O271" s="69"/>
      <c r="P271" s="71"/>
      <c r="Q271" s="69"/>
      <c r="R271" s="69"/>
      <c r="S271" s="69"/>
      <c r="T271" s="69"/>
      <c r="U271" s="69"/>
      <c r="V271" s="69"/>
      <c r="W271" s="69"/>
      <c r="X271" s="66" t="str">
        <f aca="false">IF(B271="","",COUNTIF(Q271:W271,"Yes"))</f>
        <v/>
      </c>
      <c r="Y271" s="68" t="str">
        <f aca="false">IF(B271="","",IF(X271&gt;=Settings!$C$16,"A+",IF(X271&gt;=Settings!$C$17,"A",IF(X271&gt;=Settings!$C$18,"B","C"))))</f>
        <v/>
      </c>
      <c r="Z271" s="72"/>
      <c r="AA271" s="72"/>
      <c r="AB271" s="72"/>
      <c r="AC271" s="72"/>
      <c r="AD271" s="72"/>
      <c r="AE271" s="72"/>
      <c r="AF271" s="73"/>
      <c r="AG271" s="74"/>
      <c r="AH271" s="75"/>
      <c r="AI271" s="76" t="str">
        <f aca="false">IF(B271="","",ROUND(IF(AG271="",Settings!$C$5,AG271)*AW271,2))</f>
        <v/>
      </c>
      <c r="AJ271" s="77" t="str">
        <f aca="false">IF(OR(B271="",AB271="",AC271="",AD271=""),"",IFERROR(ROUND(ABS(AD271-AB271)/ABS(AB271-AC271),2),""))</f>
        <v/>
      </c>
      <c r="AK271" s="78" t="str">
        <f aca="false">IF(OR(B271="",AB271="",AC271="",AE271=""),"",IFERROR(ROUND(IF(J271="Short",AB271-AE271,AE271-AB271)/ABS(AB271-AC271),2),""))</f>
        <v/>
      </c>
      <c r="AL271" s="68" t="str">
        <f aca="false">IF(AK271="","",IF(ABS(AK271)&lt;=Settings!$C$6,"BE",IF(AK271&gt;0,"Win","Loss")))</f>
        <v/>
      </c>
      <c r="AM271" s="79" t="str">
        <f aca="false">IF(OR(AK271="",AI271=""),"",ROUND(AK271*AI271-N(AH271),2))</f>
        <v/>
      </c>
      <c r="AN271" s="76" t="str">
        <f aca="false">IF(AM271="","",ROUND(BK271+SUMIFS(AM$6:AM271,BJ$6:BJ271,BJ271),2))</f>
        <v/>
      </c>
      <c r="AO271" s="78" t="str">
        <f aca="false">IF(AK271="","",ROUND(SUMIFS(AK$6:AK271,BJ$6:BJ271,BJ271),2))</f>
        <v/>
      </c>
      <c r="AP271" s="80" t="str">
        <f aca="false">IF(OR(AK271="",BL271=""),"",IFERROR(ROUND(IF(J271="Short",AB271-AE271,AE271-AB271)/BL271,1),""))</f>
        <v/>
      </c>
      <c r="AQ271" s="66" t="str">
        <f aca="false">IF(OR(G271="",H271=""),"",ROUND(MOD(H271-G271,1)*1440,0))</f>
        <v/>
      </c>
      <c r="AR271" s="68" t="str">
        <f aca="false">IF(AQ271="","",IF(AQ271&lt;15,"Under 15m",IF(AQ271&lt;60,"15-60m",IF(AQ271&lt;240,"1-4 hours","4+ hours"))))</f>
        <v/>
      </c>
      <c r="AS271" s="66" t="str">
        <f aca="false">IF(G271="","",HOUR(G271))</f>
        <v/>
      </c>
      <c r="AT271" s="80" t="str">
        <f aca="false">IF(OR(Z271="",AB271="",BL271=""),"",IFERROR(ROUND(IF(J271="Short",Z271-AB271,AB271-Z271)/BL271,1),""))</f>
        <v/>
      </c>
      <c r="AU271" s="68" t="str">
        <f aca="false">IF(OR(AA271="",AC271=""),"",IF(AA271=AC271,"No","Yes"))</f>
        <v/>
      </c>
      <c r="AV271" s="81" t="str">
        <f aca="false">IF(OR(B271="",BL271="",BM271="",AB271="",AC271=""),"",IFERROR(ROUND(AI271/(ABS(AB271-AC271)/BL271*BM271),2),""))</f>
        <v/>
      </c>
      <c r="AW271" s="76" t="str">
        <f aca="false">IF(B271="","",ROUND(BK271+SUMIFS(AM$5:AM270,BJ$5:BJ270,BJ271),2))</f>
        <v/>
      </c>
      <c r="AX271" s="66" t="str">
        <f aca="false">IF(B271="","",COUNTIFS(B$6:B271,B271,BJ$6:BJ271,BJ271))</f>
        <v/>
      </c>
      <c r="AY271" s="79" t="str">
        <f aca="false">IF(B271="","",ROUND(SUMIFS(AM$5:AM270,B$5:B270,B271,BJ$5:BJ270,BJ271),2))</f>
        <v/>
      </c>
      <c r="AZ271" s="79" t="str">
        <f aca="false">IF(AM271="","",ROUND(AY271+AM271,2))</f>
        <v/>
      </c>
      <c r="BA271" s="79" t="str">
        <f aca="false">IF(B271="","",ROUND(SUMIFS(AM$5:AM270,B$5:B270,"&gt;="&amp;(B271-WEEKDAY(B271,2)+1),B$5:B270,"&lt;="&amp;B271,BJ$5:BJ270,BJ271),2))</f>
        <v/>
      </c>
      <c r="BB271" s="68" t="str">
        <f aca="false">IF(B271="","",IF(AND(AF271&lt;&gt;"",AV271&lt;&gt;"",N(AF271)&gt;N(AV271)*(1+Settings!$C$13)),"Oversized",IF(AX271&gt;Settings!$C$10,"Overtraded",IF(AY271&lt;=-Settings!$C$11*(AW271-AY271),"Daily loss hit",IF(BA271&lt;=-Settings!$C$12*(AW271-BA271),"Weekly loss hit","OK")))))</f>
        <v/>
      </c>
      <c r="BC271" s="69"/>
      <c r="BD271" s="69"/>
      <c r="BE271" s="69"/>
      <c r="BF271" s="73"/>
      <c r="BG271" s="73"/>
      <c r="BH271" s="71"/>
      <c r="BI271" s="71"/>
      <c r="BJ271" s="68" t="str">
        <f aca="false">IF(B271="","",IF(E271="",Settings!$F$5,E271))</f>
        <v/>
      </c>
      <c r="BK271" s="76" t="str">
        <f aca="false">IF(B271="","",IFERROR(INDEX(Settings!$G$5:$G$10,MATCH(BJ271,Settings!$F$5:$F$10,0)),Settings!$G$5))</f>
        <v/>
      </c>
      <c r="BL271" s="82" t="str">
        <f aca="false">IF(I271="","",IFERROR(1/(1/INDEX(Lists!$C$6:$C$17,MATCH(I271,Lists!$B$6:$B$17,0))),""))</f>
        <v/>
      </c>
      <c r="BM271" s="81" t="str">
        <f aca="false">IF(I271="","",IFERROR(1/(1/INDEX(Lists!$D$6:$D$17,MATCH(I271,Lists!$B$6:$B$17,0))),""))</f>
        <v/>
      </c>
      <c r="BN271" s="76" t="str">
        <f aca="false">IF(AN271="","",MAX(BK271,_xlfn.MAXIFS(AN$6:AN271,BJ$6:BJ271,BJ271)))</f>
        <v/>
      </c>
      <c r="BO271" s="83" t="str">
        <f aca="false">IF(AN271="","",(AN271-BN271)/BN271)</f>
        <v/>
      </c>
      <c r="BP271" s="66" t="n">
        <f aca="false">IF(OR(B271="",AL271=""),0,IF(OR(Settings!$C$28="All Accounts",BJ271=Settings!$C$28),1,0))</f>
        <v>0</v>
      </c>
      <c r="BQ271" s="66" t="str">
        <f aca="false">IF(BP271=1,SUM(BP$6:BP271),"")</f>
        <v/>
      </c>
      <c r="BR271" s="76" t="str">
        <f aca="false">IF(BP271=1,ROUND(Settings!$C$29+SUMIFS(AM$6:AM271,BP$6:BP271,1),2),"")</f>
        <v/>
      </c>
      <c r="BS271" s="76" t="str">
        <f aca="false">IF(BP271=1,MAX(Settings!$C$29,MAX(BR$6:BR271)),"")</f>
        <v/>
      </c>
      <c r="BT271" s="83" t="str">
        <f aca="false">IF(BP271=1,(BR271-BS271)/BS271,"")</f>
        <v/>
      </c>
      <c r="BU271" s="66" t="str">
        <f aca="false">IF(BP271=1,IF(AL271="Win",1+IF(BQ271=1,0,INDEX(BU$5:BU270,MATCH(BQ271-1,BQ$5:BQ270,0))),0),"")</f>
        <v/>
      </c>
      <c r="BV271" s="66" t="str">
        <f aca="false">IF(BP271=1,IF(AL271="Loss",1+IF(BQ271=1,0,INDEX(BV$5:BV270,MATCH(BQ271-1,BQ$5:BQ270,0))),0),"")</f>
        <v/>
      </c>
    </row>
    <row r="272" customFormat="false" ht="15" hidden="false" customHeight="false" outlineLevel="0" collapsed="false">
      <c r="A272" s="66" t="str">
        <f aca="false">IF(B272="","",ROW()-5)</f>
        <v/>
      </c>
      <c r="B272" s="67"/>
      <c r="C272" s="68" t="str">
        <f aca="false">IF(B272="","",CHOOSE(WEEKDAY(B272,2),"Mon","Tue","Wed","Thu","Fri","Sat","Sun"))</f>
        <v/>
      </c>
      <c r="D272" s="66" t="str">
        <f aca="false">IF(B272="","",WEEKNUM(B272,2))</f>
        <v/>
      </c>
      <c r="E272" s="69"/>
      <c r="F272" s="69"/>
      <c r="G272" s="70"/>
      <c r="H272" s="70"/>
      <c r="I272" s="69"/>
      <c r="J272" s="69"/>
      <c r="K272" s="69"/>
      <c r="L272" s="71"/>
      <c r="M272" s="69"/>
      <c r="N272" s="69"/>
      <c r="O272" s="69"/>
      <c r="P272" s="71"/>
      <c r="Q272" s="69"/>
      <c r="R272" s="69"/>
      <c r="S272" s="69"/>
      <c r="T272" s="69"/>
      <c r="U272" s="69"/>
      <c r="V272" s="69"/>
      <c r="W272" s="69"/>
      <c r="X272" s="66" t="str">
        <f aca="false">IF(B272="","",COUNTIF(Q272:W272,"Yes"))</f>
        <v/>
      </c>
      <c r="Y272" s="68" t="str">
        <f aca="false">IF(B272="","",IF(X272&gt;=Settings!$C$16,"A+",IF(X272&gt;=Settings!$C$17,"A",IF(X272&gt;=Settings!$C$18,"B","C"))))</f>
        <v/>
      </c>
      <c r="Z272" s="72"/>
      <c r="AA272" s="72"/>
      <c r="AB272" s="72"/>
      <c r="AC272" s="72"/>
      <c r="AD272" s="72"/>
      <c r="AE272" s="72"/>
      <c r="AF272" s="73"/>
      <c r="AG272" s="74"/>
      <c r="AH272" s="75"/>
      <c r="AI272" s="76" t="str">
        <f aca="false">IF(B272="","",ROUND(IF(AG272="",Settings!$C$5,AG272)*AW272,2))</f>
        <v/>
      </c>
      <c r="AJ272" s="77" t="str">
        <f aca="false">IF(OR(B272="",AB272="",AC272="",AD272=""),"",IFERROR(ROUND(ABS(AD272-AB272)/ABS(AB272-AC272),2),""))</f>
        <v/>
      </c>
      <c r="AK272" s="78" t="str">
        <f aca="false">IF(OR(B272="",AB272="",AC272="",AE272=""),"",IFERROR(ROUND(IF(J272="Short",AB272-AE272,AE272-AB272)/ABS(AB272-AC272),2),""))</f>
        <v/>
      </c>
      <c r="AL272" s="68" t="str">
        <f aca="false">IF(AK272="","",IF(ABS(AK272)&lt;=Settings!$C$6,"BE",IF(AK272&gt;0,"Win","Loss")))</f>
        <v/>
      </c>
      <c r="AM272" s="79" t="str">
        <f aca="false">IF(OR(AK272="",AI272=""),"",ROUND(AK272*AI272-N(AH272),2))</f>
        <v/>
      </c>
      <c r="AN272" s="76" t="str">
        <f aca="false">IF(AM272="","",ROUND(BK272+SUMIFS(AM$6:AM272,BJ$6:BJ272,BJ272),2))</f>
        <v/>
      </c>
      <c r="AO272" s="78" t="str">
        <f aca="false">IF(AK272="","",ROUND(SUMIFS(AK$6:AK272,BJ$6:BJ272,BJ272),2))</f>
        <v/>
      </c>
      <c r="AP272" s="80" t="str">
        <f aca="false">IF(OR(AK272="",BL272=""),"",IFERROR(ROUND(IF(J272="Short",AB272-AE272,AE272-AB272)/BL272,1),""))</f>
        <v/>
      </c>
      <c r="AQ272" s="66" t="str">
        <f aca="false">IF(OR(G272="",H272=""),"",ROUND(MOD(H272-G272,1)*1440,0))</f>
        <v/>
      </c>
      <c r="AR272" s="68" t="str">
        <f aca="false">IF(AQ272="","",IF(AQ272&lt;15,"Under 15m",IF(AQ272&lt;60,"15-60m",IF(AQ272&lt;240,"1-4 hours","4+ hours"))))</f>
        <v/>
      </c>
      <c r="AS272" s="66" t="str">
        <f aca="false">IF(G272="","",HOUR(G272))</f>
        <v/>
      </c>
      <c r="AT272" s="80" t="str">
        <f aca="false">IF(OR(Z272="",AB272="",BL272=""),"",IFERROR(ROUND(IF(J272="Short",Z272-AB272,AB272-Z272)/BL272,1),""))</f>
        <v/>
      </c>
      <c r="AU272" s="68" t="str">
        <f aca="false">IF(OR(AA272="",AC272=""),"",IF(AA272=AC272,"No","Yes"))</f>
        <v/>
      </c>
      <c r="AV272" s="81" t="str">
        <f aca="false">IF(OR(B272="",BL272="",BM272="",AB272="",AC272=""),"",IFERROR(ROUND(AI272/(ABS(AB272-AC272)/BL272*BM272),2),""))</f>
        <v/>
      </c>
      <c r="AW272" s="76" t="str">
        <f aca="false">IF(B272="","",ROUND(BK272+SUMIFS(AM$5:AM271,BJ$5:BJ271,BJ272),2))</f>
        <v/>
      </c>
      <c r="AX272" s="66" t="str">
        <f aca="false">IF(B272="","",COUNTIFS(B$6:B272,B272,BJ$6:BJ272,BJ272))</f>
        <v/>
      </c>
      <c r="AY272" s="79" t="str">
        <f aca="false">IF(B272="","",ROUND(SUMIFS(AM$5:AM271,B$5:B271,B272,BJ$5:BJ271,BJ272),2))</f>
        <v/>
      </c>
      <c r="AZ272" s="79" t="str">
        <f aca="false">IF(AM272="","",ROUND(AY272+AM272,2))</f>
        <v/>
      </c>
      <c r="BA272" s="79" t="str">
        <f aca="false">IF(B272="","",ROUND(SUMIFS(AM$5:AM271,B$5:B271,"&gt;="&amp;(B272-WEEKDAY(B272,2)+1),B$5:B271,"&lt;="&amp;B272,BJ$5:BJ271,BJ272),2))</f>
        <v/>
      </c>
      <c r="BB272" s="68" t="str">
        <f aca="false">IF(B272="","",IF(AND(AF272&lt;&gt;"",AV272&lt;&gt;"",N(AF272)&gt;N(AV272)*(1+Settings!$C$13)),"Oversized",IF(AX272&gt;Settings!$C$10,"Overtraded",IF(AY272&lt;=-Settings!$C$11*(AW272-AY272),"Daily loss hit",IF(BA272&lt;=-Settings!$C$12*(AW272-BA272),"Weekly loss hit","OK")))))</f>
        <v/>
      </c>
      <c r="BC272" s="69"/>
      <c r="BD272" s="69"/>
      <c r="BE272" s="69"/>
      <c r="BF272" s="73"/>
      <c r="BG272" s="73"/>
      <c r="BH272" s="71"/>
      <c r="BI272" s="71"/>
      <c r="BJ272" s="68" t="str">
        <f aca="false">IF(B272="","",IF(E272="",Settings!$F$5,E272))</f>
        <v/>
      </c>
      <c r="BK272" s="76" t="str">
        <f aca="false">IF(B272="","",IFERROR(INDEX(Settings!$G$5:$G$10,MATCH(BJ272,Settings!$F$5:$F$10,0)),Settings!$G$5))</f>
        <v/>
      </c>
      <c r="BL272" s="82" t="str">
        <f aca="false">IF(I272="","",IFERROR(1/(1/INDEX(Lists!$C$6:$C$17,MATCH(I272,Lists!$B$6:$B$17,0))),""))</f>
        <v/>
      </c>
      <c r="BM272" s="81" t="str">
        <f aca="false">IF(I272="","",IFERROR(1/(1/INDEX(Lists!$D$6:$D$17,MATCH(I272,Lists!$B$6:$B$17,0))),""))</f>
        <v/>
      </c>
      <c r="BN272" s="76" t="str">
        <f aca="false">IF(AN272="","",MAX(BK272,_xlfn.MAXIFS(AN$6:AN272,BJ$6:BJ272,BJ272)))</f>
        <v/>
      </c>
      <c r="BO272" s="83" t="str">
        <f aca="false">IF(AN272="","",(AN272-BN272)/BN272)</f>
        <v/>
      </c>
      <c r="BP272" s="66" t="n">
        <f aca="false">IF(OR(B272="",AL272=""),0,IF(OR(Settings!$C$28="All Accounts",BJ272=Settings!$C$28),1,0))</f>
        <v>0</v>
      </c>
      <c r="BQ272" s="66" t="str">
        <f aca="false">IF(BP272=1,SUM(BP$6:BP272),"")</f>
        <v/>
      </c>
      <c r="BR272" s="76" t="str">
        <f aca="false">IF(BP272=1,ROUND(Settings!$C$29+SUMIFS(AM$6:AM272,BP$6:BP272,1),2),"")</f>
        <v/>
      </c>
      <c r="BS272" s="76" t="str">
        <f aca="false">IF(BP272=1,MAX(Settings!$C$29,MAX(BR$6:BR272)),"")</f>
        <v/>
      </c>
      <c r="BT272" s="83" t="str">
        <f aca="false">IF(BP272=1,(BR272-BS272)/BS272,"")</f>
        <v/>
      </c>
      <c r="BU272" s="66" t="str">
        <f aca="false">IF(BP272=1,IF(AL272="Win",1+IF(BQ272=1,0,INDEX(BU$5:BU271,MATCH(BQ272-1,BQ$5:BQ271,0))),0),"")</f>
        <v/>
      </c>
      <c r="BV272" s="66" t="str">
        <f aca="false">IF(BP272=1,IF(AL272="Loss",1+IF(BQ272=1,0,INDEX(BV$5:BV271,MATCH(BQ272-1,BQ$5:BQ271,0))),0),"")</f>
        <v/>
      </c>
    </row>
    <row r="273" customFormat="false" ht="15" hidden="false" customHeight="false" outlineLevel="0" collapsed="false">
      <c r="A273" s="66" t="str">
        <f aca="false">IF(B273="","",ROW()-5)</f>
        <v/>
      </c>
      <c r="B273" s="67"/>
      <c r="C273" s="68" t="str">
        <f aca="false">IF(B273="","",CHOOSE(WEEKDAY(B273,2),"Mon","Tue","Wed","Thu","Fri","Sat","Sun"))</f>
        <v/>
      </c>
      <c r="D273" s="66" t="str">
        <f aca="false">IF(B273="","",WEEKNUM(B273,2))</f>
        <v/>
      </c>
      <c r="E273" s="69"/>
      <c r="F273" s="69"/>
      <c r="G273" s="70"/>
      <c r="H273" s="70"/>
      <c r="I273" s="69"/>
      <c r="J273" s="69"/>
      <c r="K273" s="69"/>
      <c r="L273" s="71"/>
      <c r="M273" s="69"/>
      <c r="N273" s="69"/>
      <c r="O273" s="69"/>
      <c r="P273" s="71"/>
      <c r="Q273" s="69"/>
      <c r="R273" s="69"/>
      <c r="S273" s="69"/>
      <c r="T273" s="69"/>
      <c r="U273" s="69"/>
      <c r="V273" s="69"/>
      <c r="W273" s="69"/>
      <c r="X273" s="66" t="str">
        <f aca="false">IF(B273="","",COUNTIF(Q273:W273,"Yes"))</f>
        <v/>
      </c>
      <c r="Y273" s="68" t="str">
        <f aca="false">IF(B273="","",IF(X273&gt;=Settings!$C$16,"A+",IF(X273&gt;=Settings!$C$17,"A",IF(X273&gt;=Settings!$C$18,"B","C"))))</f>
        <v/>
      </c>
      <c r="Z273" s="72"/>
      <c r="AA273" s="72"/>
      <c r="AB273" s="72"/>
      <c r="AC273" s="72"/>
      <c r="AD273" s="72"/>
      <c r="AE273" s="72"/>
      <c r="AF273" s="73"/>
      <c r="AG273" s="74"/>
      <c r="AH273" s="75"/>
      <c r="AI273" s="76" t="str">
        <f aca="false">IF(B273="","",ROUND(IF(AG273="",Settings!$C$5,AG273)*AW273,2))</f>
        <v/>
      </c>
      <c r="AJ273" s="77" t="str">
        <f aca="false">IF(OR(B273="",AB273="",AC273="",AD273=""),"",IFERROR(ROUND(ABS(AD273-AB273)/ABS(AB273-AC273),2),""))</f>
        <v/>
      </c>
      <c r="AK273" s="78" t="str">
        <f aca="false">IF(OR(B273="",AB273="",AC273="",AE273=""),"",IFERROR(ROUND(IF(J273="Short",AB273-AE273,AE273-AB273)/ABS(AB273-AC273),2),""))</f>
        <v/>
      </c>
      <c r="AL273" s="68" t="str">
        <f aca="false">IF(AK273="","",IF(ABS(AK273)&lt;=Settings!$C$6,"BE",IF(AK273&gt;0,"Win","Loss")))</f>
        <v/>
      </c>
      <c r="AM273" s="79" t="str">
        <f aca="false">IF(OR(AK273="",AI273=""),"",ROUND(AK273*AI273-N(AH273),2))</f>
        <v/>
      </c>
      <c r="AN273" s="76" t="str">
        <f aca="false">IF(AM273="","",ROUND(BK273+SUMIFS(AM$6:AM273,BJ$6:BJ273,BJ273),2))</f>
        <v/>
      </c>
      <c r="AO273" s="78" t="str">
        <f aca="false">IF(AK273="","",ROUND(SUMIFS(AK$6:AK273,BJ$6:BJ273,BJ273),2))</f>
        <v/>
      </c>
      <c r="AP273" s="80" t="str">
        <f aca="false">IF(OR(AK273="",BL273=""),"",IFERROR(ROUND(IF(J273="Short",AB273-AE273,AE273-AB273)/BL273,1),""))</f>
        <v/>
      </c>
      <c r="AQ273" s="66" t="str">
        <f aca="false">IF(OR(G273="",H273=""),"",ROUND(MOD(H273-G273,1)*1440,0))</f>
        <v/>
      </c>
      <c r="AR273" s="68" t="str">
        <f aca="false">IF(AQ273="","",IF(AQ273&lt;15,"Under 15m",IF(AQ273&lt;60,"15-60m",IF(AQ273&lt;240,"1-4 hours","4+ hours"))))</f>
        <v/>
      </c>
      <c r="AS273" s="66" t="str">
        <f aca="false">IF(G273="","",HOUR(G273))</f>
        <v/>
      </c>
      <c r="AT273" s="80" t="str">
        <f aca="false">IF(OR(Z273="",AB273="",BL273=""),"",IFERROR(ROUND(IF(J273="Short",Z273-AB273,AB273-Z273)/BL273,1),""))</f>
        <v/>
      </c>
      <c r="AU273" s="68" t="str">
        <f aca="false">IF(OR(AA273="",AC273=""),"",IF(AA273=AC273,"No","Yes"))</f>
        <v/>
      </c>
      <c r="AV273" s="81" t="str">
        <f aca="false">IF(OR(B273="",BL273="",BM273="",AB273="",AC273=""),"",IFERROR(ROUND(AI273/(ABS(AB273-AC273)/BL273*BM273),2),""))</f>
        <v/>
      </c>
      <c r="AW273" s="76" t="str">
        <f aca="false">IF(B273="","",ROUND(BK273+SUMIFS(AM$5:AM272,BJ$5:BJ272,BJ273),2))</f>
        <v/>
      </c>
      <c r="AX273" s="66" t="str">
        <f aca="false">IF(B273="","",COUNTIFS(B$6:B273,B273,BJ$6:BJ273,BJ273))</f>
        <v/>
      </c>
      <c r="AY273" s="79" t="str">
        <f aca="false">IF(B273="","",ROUND(SUMIFS(AM$5:AM272,B$5:B272,B273,BJ$5:BJ272,BJ273),2))</f>
        <v/>
      </c>
      <c r="AZ273" s="79" t="str">
        <f aca="false">IF(AM273="","",ROUND(AY273+AM273,2))</f>
        <v/>
      </c>
      <c r="BA273" s="79" t="str">
        <f aca="false">IF(B273="","",ROUND(SUMIFS(AM$5:AM272,B$5:B272,"&gt;="&amp;(B273-WEEKDAY(B273,2)+1),B$5:B272,"&lt;="&amp;B273,BJ$5:BJ272,BJ273),2))</f>
        <v/>
      </c>
      <c r="BB273" s="68" t="str">
        <f aca="false">IF(B273="","",IF(AND(AF273&lt;&gt;"",AV273&lt;&gt;"",N(AF273)&gt;N(AV273)*(1+Settings!$C$13)),"Oversized",IF(AX273&gt;Settings!$C$10,"Overtraded",IF(AY273&lt;=-Settings!$C$11*(AW273-AY273),"Daily loss hit",IF(BA273&lt;=-Settings!$C$12*(AW273-BA273),"Weekly loss hit","OK")))))</f>
        <v/>
      </c>
      <c r="BC273" s="69"/>
      <c r="BD273" s="69"/>
      <c r="BE273" s="69"/>
      <c r="BF273" s="73"/>
      <c r="BG273" s="73"/>
      <c r="BH273" s="71"/>
      <c r="BI273" s="71"/>
      <c r="BJ273" s="68" t="str">
        <f aca="false">IF(B273="","",IF(E273="",Settings!$F$5,E273))</f>
        <v/>
      </c>
      <c r="BK273" s="76" t="str">
        <f aca="false">IF(B273="","",IFERROR(INDEX(Settings!$G$5:$G$10,MATCH(BJ273,Settings!$F$5:$F$10,0)),Settings!$G$5))</f>
        <v/>
      </c>
      <c r="BL273" s="82" t="str">
        <f aca="false">IF(I273="","",IFERROR(1/(1/INDEX(Lists!$C$6:$C$17,MATCH(I273,Lists!$B$6:$B$17,0))),""))</f>
        <v/>
      </c>
      <c r="BM273" s="81" t="str">
        <f aca="false">IF(I273="","",IFERROR(1/(1/INDEX(Lists!$D$6:$D$17,MATCH(I273,Lists!$B$6:$B$17,0))),""))</f>
        <v/>
      </c>
      <c r="BN273" s="76" t="str">
        <f aca="false">IF(AN273="","",MAX(BK273,_xlfn.MAXIFS(AN$6:AN273,BJ$6:BJ273,BJ273)))</f>
        <v/>
      </c>
      <c r="BO273" s="83" t="str">
        <f aca="false">IF(AN273="","",(AN273-BN273)/BN273)</f>
        <v/>
      </c>
      <c r="BP273" s="66" t="n">
        <f aca="false">IF(OR(B273="",AL273=""),0,IF(OR(Settings!$C$28="All Accounts",BJ273=Settings!$C$28),1,0))</f>
        <v>0</v>
      </c>
      <c r="BQ273" s="66" t="str">
        <f aca="false">IF(BP273=1,SUM(BP$6:BP273),"")</f>
        <v/>
      </c>
      <c r="BR273" s="76" t="str">
        <f aca="false">IF(BP273=1,ROUND(Settings!$C$29+SUMIFS(AM$6:AM273,BP$6:BP273,1),2),"")</f>
        <v/>
      </c>
      <c r="BS273" s="76" t="str">
        <f aca="false">IF(BP273=1,MAX(Settings!$C$29,MAX(BR$6:BR273)),"")</f>
        <v/>
      </c>
      <c r="BT273" s="83" t="str">
        <f aca="false">IF(BP273=1,(BR273-BS273)/BS273,"")</f>
        <v/>
      </c>
      <c r="BU273" s="66" t="str">
        <f aca="false">IF(BP273=1,IF(AL273="Win",1+IF(BQ273=1,0,INDEX(BU$5:BU272,MATCH(BQ273-1,BQ$5:BQ272,0))),0),"")</f>
        <v/>
      </c>
      <c r="BV273" s="66" t="str">
        <f aca="false">IF(BP273=1,IF(AL273="Loss",1+IF(BQ273=1,0,INDEX(BV$5:BV272,MATCH(BQ273-1,BQ$5:BQ272,0))),0),"")</f>
        <v/>
      </c>
    </row>
    <row r="274" customFormat="false" ht="15" hidden="false" customHeight="false" outlineLevel="0" collapsed="false">
      <c r="A274" s="66" t="str">
        <f aca="false">IF(B274="","",ROW()-5)</f>
        <v/>
      </c>
      <c r="B274" s="67"/>
      <c r="C274" s="68" t="str">
        <f aca="false">IF(B274="","",CHOOSE(WEEKDAY(B274,2),"Mon","Tue","Wed","Thu","Fri","Sat","Sun"))</f>
        <v/>
      </c>
      <c r="D274" s="66" t="str">
        <f aca="false">IF(B274="","",WEEKNUM(B274,2))</f>
        <v/>
      </c>
      <c r="E274" s="69"/>
      <c r="F274" s="69"/>
      <c r="G274" s="70"/>
      <c r="H274" s="70"/>
      <c r="I274" s="69"/>
      <c r="J274" s="69"/>
      <c r="K274" s="69"/>
      <c r="L274" s="71"/>
      <c r="M274" s="69"/>
      <c r="N274" s="69"/>
      <c r="O274" s="69"/>
      <c r="P274" s="71"/>
      <c r="Q274" s="69"/>
      <c r="R274" s="69"/>
      <c r="S274" s="69"/>
      <c r="T274" s="69"/>
      <c r="U274" s="69"/>
      <c r="V274" s="69"/>
      <c r="W274" s="69"/>
      <c r="X274" s="66" t="str">
        <f aca="false">IF(B274="","",COUNTIF(Q274:W274,"Yes"))</f>
        <v/>
      </c>
      <c r="Y274" s="68" t="str">
        <f aca="false">IF(B274="","",IF(X274&gt;=Settings!$C$16,"A+",IF(X274&gt;=Settings!$C$17,"A",IF(X274&gt;=Settings!$C$18,"B","C"))))</f>
        <v/>
      </c>
      <c r="Z274" s="72"/>
      <c r="AA274" s="72"/>
      <c r="AB274" s="72"/>
      <c r="AC274" s="72"/>
      <c r="AD274" s="72"/>
      <c r="AE274" s="72"/>
      <c r="AF274" s="73"/>
      <c r="AG274" s="74"/>
      <c r="AH274" s="75"/>
      <c r="AI274" s="76" t="str">
        <f aca="false">IF(B274="","",ROUND(IF(AG274="",Settings!$C$5,AG274)*AW274,2))</f>
        <v/>
      </c>
      <c r="AJ274" s="77" t="str">
        <f aca="false">IF(OR(B274="",AB274="",AC274="",AD274=""),"",IFERROR(ROUND(ABS(AD274-AB274)/ABS(AB274-AC274),2),""))</f>
        <v/>
      </c>
      <c r="AK274" s="78" t="str">
        <f aca="false">IF(OR(B274="",AB274="",AC274="",AE274=""),"",IFERROR(ROUND(IF(J274="Short",AB274-AE274,AE274-AB274)/ABS(AB274-AC274),2),""))</f>
        <v/>
      </c>
      <c r="AL274" s="68" t="str">
        <f aca="false">IF(AK274="","",IF(ABS(AK274)&lt;=Settings!$C$6,"BE",IF(AK274&gt;0,"Win","Loss")))</f>
        <v/>
      </c>
      <c r="AM274" s="79" t="str">
        <f aca="false">IF(OR(AK274="",AI274=""),"",ROUND(AK274*AI274-N(AH274),2))</f>
        <v/>
      </c>
      <c r="AN274" s="76" t="str">
        <f aca="false">IF(AM274="","",ROUND(BK274+SUMIFS(AM$6:AM274,BJ$6:BJ274,BJ274),2))</f>
        <v/>
      </c>
      <c r="AO274" s="78" t="str">
        <f aca="false">IF(AK274="","",ROUND(SUMIFS(AK$6:AK274,BJ$6:BJ274,BJ274),2))</f>
        <v/>
      </c>
      <c r="AP274" s="80" t="str">
        <f aca="false">IF(OR(AK274="",BL274=""),"",IFERROR(ROUND(IF(J274="Short",AB274-AE274,AE274-AB274)/BL274,1),""))</f>
        <v/>
      </c>
      <c r="AQ274" s="66" t="str">
        <f aca="false">IF(OR(G274="",H274=""),"",ROUND(MOD(H274-G274,1)*1440,0))</f>
        <v/>
      </c>
      <c r="AR274" s="68" t="str">
        <f aca="false">IF(AQ274="","",IF(AQ274&lt;15,"Under 15m",IF(AQ274&lt;60,"15-60m",IF(AQ274&lt;240,"1-4 hours","4+ hours"))))</f>
        <v/>
      </c>
      <c r="AS274" s="66" t="str">
        <f aca="false">IF(G274="","",HOUR(G274))</f>
        <v/>
      </c>
      <c r="AT274" s="80" t="str">
        <f aca="false">IF(OR(Z274="",AB274="",BL274=""),"",IFERROR(ROUND(IF(J274="Short",Z274-AB274,AB274-Z274)/BL274,1),""))</f>
        <v/>
      </c>
      <c r="AU274" s="68" t="str">
        <f aca="false">IF(OR(AA274="",AC274=""),"",IF(AA274=AC274,"No","Yes"))</f>
        <v/>
      </c>
      <c r="AV274" s="81" t="str">
        <f aca="false">IF(OR(B274="",BL274="",BM274="",AB274="",AC274=""),"",IFERROR(ROUND(AI274/(ABS(AB274-AC274)/BL274*BM274),2),""))</f>
        <v/>
      </c>
      <c r="AW274" s="76" t="str">
        <f aca="false">IF(B274="","",ROUND(BK274+SUMIFS(AM$5:AM273,BJ$5:BJ273,BJ274),2))</f>
        <v/>
      </c>
      <c r="AX274" s="66" t="str">
        <f aca="false">IF(B274="","",COUNTIFS(B$6:B274,B274,BJ$6:BJ274,BJ274))</f>
        <v/>
      </c>
      <c r="AY274" s="79" t="str">
        <f aca="false">IF(B274="","",ROUND(SUMIFS(AM$5:AM273,B$5:B273,B274,BJ$5:BJ273,BJ274),2))</f>
        <v/>
      </c>
      <c r="AZ274" s="79" t="str">
        <f aca="false">IF(AM274="","",ROUND(AY274+AM274,2))</f>
        <v/>
      </c>
      <c r="BA274" s="79" t="str">
        <f aca="false">IF(B274="","",ROUND(SUMIFS(AM$5:AM273,B$5:B273,"&gt;="&amp;(B274-WEEKDAY(B274,2)+1),B$5:B273,"&lt;="&amp;B274,BJ$5:BJ273,BJ274),2))</f>
        <v/>
      </c>
      <c r="BB274" s="68" t="str">
        <f aca="false">IF(B274="","",IF(AND(AF274&lt;&gt;"",AV274&lt;&gt;"",N(AF274)&gt;N(AV274)*(1+Settings!$C$13)),"Oversized",IF(AX274&gt;Settings!$C$10,"Overtraded",IF(AY274&lt;=-Settings!$C$11*(AW274-AY274),"Daily loss hit",IF(BA274&lt;=-Settings!$C$12*(AW274-BA274),"Weekly loss hit","OK")))))</f>
        <v/>
      </c>
      <c r="BC274" s="69"/>
      <c r="BD274" s="69"/>
      <c r="BE274" s="69"/>
      <c r="BF274" s="73"/>
      <c r="BG274" s="73"/>
      <c r="BH274" s="71"/>
      <c r="BI274" s="71"/>
      <c r="BJ274" s="68" t="str">
        <f aca="false">IF(B274="","",IF(E274="",Settings!$F$5,E274))</f>
        <v/>
      </c>
      <c r="BK274" s="76" t="str">
        <f aca="false">IF(B274="","",IFERROR(INDEX(Settings!$G$5:$G$10,MATCH(BJ274,Settings!$F$5:$F$10,0)),Settings!$G$5))</f>
        <v/>
      </c>
      <c r="BL274" s="82" t="str">
        <f aca="false">IF(I274="","",IFERROR(1/(1/INDEX(Lists!$C$6:$C$17,MATCH(I274,Lists!$B$6:$B$17,0))),""))</f>
        <v/>
      </c>
      <c r="BM274" s="81" t="str">
        <f aca="false">IF(I274="","",IFERROR(1/(1/INDEX(Lists!$D$6:$D$17,MATCH(I274,Lists!$B$6:$B$17,0))),""))</f>
        <v/>
      </c>
      <c r="BN274" s="76" t="str">
        <f aca="false">IF(AN274="","",MAX(BK274,_xlfn.MAXIFS(AN$6:AN274,BJ$6:BJ274,BJ274)))</f>
        <v/>
      </c>
      <c r="BO274" s="83" t="str">
        <f aca="false">IF(AN274="","",(AN274-BN274)/BN274)</f>
        <v/>
      </c>
      <c r="BP274" s="66" t="n">
        <f aca="false">IF(OR(B274="",AL274=""),0,IF(OR(Settings!$C$28="All Accounts",BJ274=Settings!$C$28),1,0))</f>
        <v>0</v>
      </c>
      <c r="BQ274" s="66" t="str">
        <f aca="false">IF(BP274=1,SUM(BP$6:BP274),"")</f>
        <v/>
      </c>
      <c r="BR274" s="76" t="str">
        <f aca="false">IF(BP274=1,ROUND(Settings!$C$29+SUMIFS(AM$6:AM274,BP$6:BP274,1),2),"")</f>
        <v/>
      </c>
      <c r="BS274" s="76" t="str">
        <f aca="false">IF(BP274=1,MAX(Settings!$C$29,MAX(BR$6:BR274)),"")</f>
        <v/>
      </c>
      <c r="BT274" s="83" t="str">
        <f aca="false">IF(BP274=1,(BR274-BS274)/BS274,"")</f>
        <v/>
      </c>
      <c r="BU274" s="66" t="str">
        <f aca="false">IF(BP274=1,IF(AL274="Win",1+IF(BQ274=1,0,INDEX(BU$5:BU273,MATCH(BQ274-1,BQ$5:BQ273,0))),0),"")</f>
        <v/>
      </c>
      <c r="BV274" s="66" t="str">
        <f aca="false">IF(BP274=1,IF(AL274="Loss",1+IF(BQ274=1,0,INDEX(BV$5:BV273,MATCH(BQ274-1,BQ$5:BQ273,0))),0),"")</f>
        <v/>
      </c>
    </row>
    <row r="275" customFormat="false" ht="15" hidden="false" customHeight="false" outlineLevel="0" collapsed="false">
      <c r="A275" s="66" t="str">
        <f aca="false">IF(B275="","",ROW()-5)</f>
        <v/>
      </c>
      <c r="B275" s="67"/>
      <c r="C275" s="68" t="str">
        <f aca="false">IF(B275="","",CHOOSE(WEEKDAY(B275,2),"Mon","Tue","Wed","Thu","Fri","Sat","Sun"))</f>
        <v/>
      </c>
      <c r="D275" s="66" t="str">
        <f aca="false">IF(B275="","",WEEKNUM(B275,2))</f>
        <v/>
      </c>
      <c r="E275" s="69"/>
      <c r="F275" s="69"/>
      <c r="G275" s="70"/>
      <c r="H275" s="70"/>
      <c r="I275" s="69"/>
      <c r="J275" s="69"/>
      <c r="K275" s="69"/>
      <c r="L275" s="71"/>
      <c r="M275" s="69"/>
      <c r="N275" s="69"/>
      <c r="O275" s="69"/>
      <c r="P275" s="71"/>
      <c r="Q275" s="69"/>
      <c r="R275" s="69"/>
      <c r="S275" s="69"/>
      <c r="T275" s="69"/>
      <c r="U275" s="69"/>
      <c r="V275" s="69"/>
      <c r="W275" s="69"/>
      <c r="X275" s="66" t="str">
        <f aca="false">IF(B275="","",COUNTIF(Q275:W275,"Yes"))</f>
        <v/>
      </c>
      <c r="Y275" s="68" t="str">
        <f aca="false">IF(B275="","",IF(X275&gt;=Settings!$C$16,"A+",IF(X275&gt;=Settings!$C$17,"A",IF(X275&gt;=Settings!$C$18,"B","C"))))</f>
        <v/>
      </c>
      <c r="Z275" s="72"/>
      <c r="AA275" s="72"/>
      <c r="AB275" s="72"/>
      <c r="AC275" s="72"/>
      <c r="AD275" s="72"/>
      <c r="AE275" s="72"/>
      <c r="AF275" s="73"/>
      <c r="AG275" s="74"/>
      <c r="AH275" s="75"/>
      <c r="AI275" s="76" t="str">
        <f aca="false">IF(B275="","",ROUND(IF(AG275="",Settings!$C$5,AG275)*AW275,2))</f>
        <v/>
      </c>
      <c r="AJ275" s="77" t="str">
        <f aca="false">IF(OR(B275="",AB275="",AC275="",AD275=""),"",IFERROR(ROUND(ABS(AD275-AB275)/ABS(AB275-AC275),2),""))</f>
        <v/>
      </c>
      <c r="AK275" s="78" t="str">
        <f aca="false">IF(OR(B275="",AB275="",AC275="",AE275=""),"",IFERROR(ROUND(IF(J275="Short",AB275-AE275,AE275-AB275)/ABS(AB275-AC275),2),""))</f>
        <v/>
      </c>
      <c r="AL275" s="68" t="str">
        <f aca="false">IF(AK275="","",IF(ABS(AK275)&lt;=Settings!$C$6,"BE",IF(AK275&gt;0,"Win","Loss")))</f>
        <v/>
      </c>
      <c r="AM275" s="79" t="str">
        <f aca="false">IF(OR(AK275="",AI275=""),"",ROUND(AK275*AI275-N(AH275),2))</f>
        <v/>
      </c>
      <c r="AN275" s="76" t="str">
        <f aca="false">IF(AM275="","",ROUND(BK275+SUMIFS(AM$6:AM275,BJ$6:BJ275,BJ275),2))</f>
        <v/>
      </c>
      <c r="AO275" s="78" t="str">
        <f aca="false">IF(AK275="","",ROUND(SUMIFS(AK$6:AK275,BJ$6:BJ275,BJ275),2))</f>
        <v/>
      </c>
      <c r="AP275" s="80" t="str">
        <f aca="false">IF(OR(AK275="",BL275=""),"",IFERROR(ROUND(IF(J275="Short",AB275-AE275,AE275-AB275)/BL275,1),""))</f>
        <v/>
      </c>
      <c r="AQ275" s="66" t="str">
        <f aca="false">IF(OR(G275="",H275=""),"",ROUND(MOD(H275-G275,1)*1440,0))</f>
        <v/>
      </c>
      <c r="AR275" s="68" t="str">
        <f aca="false">IF(AQ275="","",IF(AQ275&lt;15,"Under 15m",IF(AQ275&lt;60,"15-60m",IF(AQ275&lt;240,"1-4 hours","4+ hours"))))</f>
        <v/>
      </c>
      <c r="AS275" s="66" t="str">
        <f aca="false">IF(G275="","",HOUR(G275))</f>
        <v/>
      </c>
      <c r="AT275" s="80" t="str">
        <f aca="false">IF(OR(Z275="",AB275="",BL275=""),"",IFERROR(ROUND(IF(J275="Short",Z275-AB275,AB275-Z275)/BL275,1),""))</f>
        <v/>
      </c>
      <c r="AU275" s="68" t="str">
        <f aca="false">IF(OR(AA275="",AC275=""),"",IF(AA275=AC275,"No","Yes"))</f>
        <v/>
      </c>
      <c r="AV275" s="81" t="str">
        <f aca="false">IF(OR(B275="",BL275="",BM275="",AB275="",AC275=""),"",IFERROR(ROUND(AI275/(ABS(AB275-AC275)/BL275*BM275),2),""))</f>
        <v/>
      </c>
      <c r="AW275" s="76" t="str">
        <f aca="false">IF(B275="","",ROUND(BK275+SUMIFS(AM$5:AM274,BJ$5:BJ274,BJ275),2))</f>
        <v/>
      </c>
      <c r="AX275" s="66" t="str">
        <f aca="false">IF(B275="","",COUNTIFS(B$6:B275,B275,BJ$6:BJ275,BJ275))</f>
        <v/>
      </c>
      <c r="AY275" s="79" t="str">
        <f aca="false">IF(B275="","",ROUND(SUMIFS(AM$5:AM274,B$5:B274,B275,BJ$5:BJ274,BJ275),2))</f>
        <v/>
      </c>
      <c r="AZ275" s="79" t="str">
        <f aca="false">IF(AM275="","",ROUND(AY275+AM275,2))</f>
        <v/>
      </c>
      <c r="BA275" s="79" t="str">
        <f aca="false">IF(B275="","",ROUND(SUMIFS(AM$5:AM274,B$5:B274,"&gt;="&amp;(B275-WEEKDAY(B275,2)+1),B$5:B274,"&lt;="&amp;B275,BJ$5:BJ274,BJ275),2))</f>
        <v/>
      </c>
      <c r="BB275" s="68" t="str">
        <f aca="false">IF(B275="","",IF(AND(AF275&lt;&gt;"",AV275&lt;&gt;"",N(AF275)&gt;N(AV275)*(1+Settings!$C$13)),"Oversized",IF(AX275&gt;Settings!$C$10,"Overtraded",IF(AY275&lt;=-Settings!$C$11*(AW275-AY275),"Daily loss hit",IF(BA275&lt;=-Settings!$C$12*(AW275-BA275),"Weekly loss hit","OK")))))</f>
        <v/>
      </c>
      <c r="BC275" s="69"/>
      <c r="BD275" s="69"/>
      <c r="BE275" s="69"/>
      <c r="BF275" s="73"/>
      <c r="BG275" s="73"/>
      <c r="BH275" s="71"/>
      <c r="BI275" s="71"/>
      <c r="BJ275" s="68" t="str">
        <f aca="false">IF(B275="","",IF(E275="",Settings!$F$5,E275))</f>
        <v/>
      </c>
      <c r="BK275" s="76" t="str">
        <f aca="false">IF(B275="","",IFERROR(INDEX(Settings!$G$5:$G$10,MATCH(BJ275,Settings!$F$5:$F$10,0)),Settings!$G$5))</f>
        <v/>
      </c>
      <c r="BL275" s="82" t="str">
        <f aca="false">IF(I275="","",IFERROR(1/(1/INDEX(Lists!$C$6:$C$17,MATCH(I275,Lists!$B$6:$B$17,0))),""))</f>
        <v/>
      </c>
      <c r="BM275" s="81" t="str">
        <f aca="false">IF(I275="","",IFERROR(1/(1/INDEX(Lists!$D$6:$D$17,MATCH(I275,Lists!$B$6:$B$17,0))),""))</f>
        <v/>
      </c>
      <c r="BN275" s="76" t="str">
        <f aca="false">IF(AN275="","",MAX(BK275,_xlfn.MAXIFS(AN$6:AN275,BJ$6:BJ275,BJ275)))</f>
        <v/>
      </c>
      <c r="BO275" s="83" t="str">
        <f aca="false">IF(AN275="","",(AN275-BN275)/BN275)</f>
        <v/>
      </c>
      <c r="BP275" s="66" t="n">
        <f aca="false">IF(OR(B275="",AL275=""),0,IF(OR(Settings!$C$28="All Accounts",BJ275=Settings!$C$28),1,0))</f>
        <v>0</v>
      </c>
      <c r="BQ275" s="66" t="str">
        <f aca="false">IF(BP275=1,SUM(BP$6:BP275),"")</f>
        <v/>
      </c>
      <c r="BR275" s="76" t="str">
        <f aca="false">IF(BP275=1,ROUND(Settings!$C$29+SUMIFS(AM$6:AM275,BP$6:BP275,1),2),"")</f>
        <v/>
      </c>
      <c r="BS275" s="76" t="str">
        <f aca="false">IF(BP275=1,MAX(Settings!$C$29,MAX(BR$6:BR275)),"")</f>
        <v/>
      </c>
      <c r="BT275" s="83" t="str">
        <f aca="false">IF(BP275=1,(BR275-BS275)/BS275,"")</f>
        <v/>
      </c>
      <c r="BU275" s="66" t="str">
        <f aca="false">IF(BP275=1,IF(AL275="Win",1+IF(BQ275=1,0,INDEX(BU$5:BU274,MATCH(BQ275-1,BQ$5:BQ274,0))),0),"")</f>
        <v/>
      </c>
      <c r="BV275" s="66" t="str">
        <f aca="false">IF(BP275=1,IF(AL275="Loss",1+IF(BQ275=1,0,INDEX(BV$5:BV274,MATCH(BQ275-1,BQ$5:BQ274,0))),0),"")</f>
        <v/>
      </c>
    </row>
    <row r="276" customFormat="false" ht="15" hidden="false" customHeight="false" outlineLevel="0" collapsed="false">
      <c r="A276" s="66" t="str">
        <f aca="false">IF(B276="","",ROW()-5)</f>
        <v/>
      </c>
      <c r="B276" s="67"/>
      <c r="C276" s="68" t="str">
        <f aca="false">IF(B276="","",CHOOSE(WEEKDAY(B276,2),"Mon","Tue","Wed","Thu","Fri","Sat","Sun"))</f>
        <v/>
      </c>
      <c r="D276" s="66" t="str">
        <f aca="false">IF(B276="","",WEEKNUM(B276,2))</f>
        <v/>
      </c>
      <c r="E276" s="69"/>
      <c r="F276" s="69"/>
      <c r="G276" s="70"/>
      <c r="H276" s="70"/>
      <c r="I276" s="69"/>
      <c r="J276" s="69"/>
      <c r="K276" s="69"/>
      <c r="L276" s="71"/>
      <c r="M276" s="69"/>
      <c r="N276" s="69"/>
      <c r="O276" s="69"/>
      <c r="P276" s="71"/>
      <c r="Q276" s="69"/>
      <c r="R276" s="69"/>
      <c r="S276" s="69"/>
      <c r="T276" s="69"/>
      <c r="U276" s="69"/>
      <c r="V276" s="69"/>
      <c r="W276" s="69"/>
      <c r="X276" s="66" t="str">
        <f aca="false">IF(B276="","",COUNTIF(Q276:W276,"Yes"))</f>
        <v/>
      </c>
      <c r="Y276" s="68" t="str">
        <f aca="false">IF(B276="","",IF(X276&gt;=Settings!$C$16,"A+",IF(X276&gt;=Settings!$C$17,"A",IF(X276&gt;=Settings!$C$18,"B","C"))))</f>
        <v/>
      </c>
      <c r="Z276" s="72"/>
      <c r="AA276" s="72"/>
      <c r="AB276" s="72"/>
      <c r="AC276" s="72"/>
      <c r="AD276" s="72"/>
      <c r="AE276" s="72"/>
      <c r="AF276" s="73"/>
      <c r="AG276" s="74"/>
      <c r="AH276" s="75"/>
      <c r="AI276" s="76" t="str">
        <f aca="false">IF(B276="","",ROUND(IF(AG276="",Settings!$C$5,AG276)*AW276,2))</f>
        <v/>
      </c>
      <c r="AJ276" s="77" t="str">
        <f aca="false">IF(OR(B276="",AB276="",AC276="",AD276=""),"",IFERROR(ROUND(ABS(AD276-AB276)/ABS(AB276-AC276),2),""))</f>
        <v/>
      </c>
      <c r="AK276" s="78" t="str">
        <f aca="false">IF(OR(B276="",AB276="",AC276="",AE276=""),"",IFERROR(ROUND(IF(J276="Short",AB276-AE276,AE276-AB276)/ABS(AB276-AC276),2),""))</f>
        <v/>
      </c>
      <c r="AL276" s="68" t="str">
        <f aca="false">IF(AK276="","",IF(ABS(AK276)&lt;=Settings!$C$6,"BE",IF(AK276&gt;0,"Win","Loss")))</f>
        <v/>
      </c>
      <c r="AM276" s="79" t="str">
        <f aca="false">IF(OR(AK276="",AI276=""),"",ROUND(AK276*AI276-N(AH276),2))</f>
        <v/>
      </c>
      <c r="AN276" s="76" t="str">
        <f aca="false">IF(AM276="","",ROUND(BK276+SUMIFS(AM$6:AM276,BJ$6:BJ276,BJ276),2))</f>
        <v/>
      </c>
      <c r="AO276" s="78" t="str">
        <f aca="false">IF(AK276="","",ROUND(SUMIFS(AK$6:AK276,BJ$6:BJ276,BJ276),2))</f>
        <v/>
      </c>
      <c r="AP276" s="80" t="str">
        <f aca="false">IF(OR(AK276="",BL276=""),"",IFERROR(ROUND(IF(J276="Short",AB276-AE276,AE276-AB276)/BL276,1),""))</f>
        <v/>
      </c>
      <c r="AQ276" s="66" t="str">
        <f aca="false">IF(OR(G276="",H276=""),"",ROUND(MOD(H276-G276,1)*1440,0))</f>
        <v/>
      </c>
      <c r="AR276" s="68" t="str">
        <f aca="false">IF(AQ276="","",IF(AQ276&lt;15,"Under 15m",IF(AQ276&lt;60,"15-60m",IF(AQ276&lt;240,"1-4 hours","4+ hours"))))</f>
        <v/>
      </c>
      <c r="AS276" s="66" t="str">
        <f aca="false">IF(G276="","",HOUR(G276))</f>
        <v/>
      </c>
      <c r="AT276" s="80" t="str">
        <f aca="false">IF(OR(Z276="",AB276="",BL276=""),"",IFERROR(ROUND(IF(J276="Short",Z276-AB276,AB276-Z276)/BL276,1),""))</f>
        <v/>
      </c>
      <c r="AU276" s="68" t="str">
        <f aca="false">IF(OR(AA276="",AC276=""),"",IF(AA276=AC276,"No","Yes"))</f>
        <v/>
      </c>
      <c r="AV276" s="81" t="str">
        <f aca="false">IF(OR(B276="",BL276="",BM276="",AB276="",AC276=""),"",IFERROR(ROUND(AI276/(ABS(AB276-AC276)/BL276*BM276),2),""))</f>
        <v/>
      </c>
      <c r="AW276" s="76" t="str">
        <f aca="false">IF(B276="","",ROUND(BK276+SUMIFS(AM$5:AM275,BJ$5:BJ275,BJ276),2))</f>
        <v/>
      </c>
      <c r="AX276" s="66" t="str">
        <f aca="false">IF(B276="","",COUNTIFS(B$6:B276,B276,BJ$6:BJ276,BJ276))</f>
        <v/>
      </c>
      <c r="AY276" s="79" t="str">
        <f aca="false">IF(B276="","",ROUND(SUMIFS(AM$5:AM275,B$5:B275,B276,BJ$5:BJ275,BJ276),2))</f>
        <v/>
      </c>
      <c r="AZ276" s="79" t="str">
        <f aca="false">IF(AM276="","",ROUND(AY276+AM276,2))</f>
        <v/>
      </c>
      <c r="BA276" s="79" t="str">
        <f aca="false">IF(B276="","",ROUND(SUMIFS(AM$5:AM275,B$5:B275,"&gt;="&amp;(B276-WEEKDAY(B276,2)+1),B$5:B275,"&lt;="&amp;B276,BJ$5:BJ275,BJ276),2))</f>
        <v/>
      </c>
      <c r="BB276" s="68" t="str">
        <f aca="false">IF(B276="","",IF(AND(AF276&lt;&gt;"",AV276&lt;&gt;"",N(AF276)&gt;N(AV276)*(1+Settings!$C$13)),"Oversized",IF(AX276&gt;Settings!$C$10,"Overtraded",IF(AY276&lt;=-Settings!$C$11*(AW276-AY276),"Daily loss hit",IF(BA276&lt;=-Settings!$C$12*(AW276-BA276),"Weekly loss hit","OK")))))</f>
        <v/>
      </c>
      <c r="BC276" s="69"/>
      <c r="BD276" s="69"/>
      <c r="BE276" s="69"/>
      <c r="BF276" s="73"/>
      <c r="BG276" s="73"/>
      <c r="BH276" s="71"/>
      <c r="BI276" s="71"/>
      <c r="BJ276" s="68" t="str">
        <f aca="false">IF(B276="","",IF(E276="",Settings!$F$5,E276))</f>
        <v/>
      </c>
      <c r="BK276" s="76" t="str">
        <f aca="false">IF(B276="","",IFERROR(INDEX(Settings!$G$5:$G$10,MATCH(BJ276,Settings!$F$5:$F$10,0)),Settings!$G$5))</f>
        <v/>
      </c>
      <c r="BL276" s="82" t="str">
        <f aca="false">IF(I276="","",IFERROR(1/(1/INDEX(Lists!$C$6:$C$17,MATCH(I276,Lists!$B$6:$B$17,0))),""))</f>
        <v/>
      </c>
      <c r="BM276" s="81" t="str">
        <f aca="false">IF(I276="","",IFERROR(1/(1/INDEX(Lists!$D$6:$D$17,MATCH(I276,Lists!$B$6:$B$17,0))),""))</f>
        <v/>
      </c>
      <c r="BN276" s="76" t="str">
        <f aca="false">IF(AN276="","",MAX(BK276,_xlfn.MAXIFS(AN$6:AN276,BJ$6:BJ276,BJ276)))</f>
        <v/>
      </c>
      <c r="BO276" s="83" t="str">
        <f aca="false">IF(AN276="","",(AN276-BN276)/BN276)</f>
        <v/>
      </c>
      <c r="BP276" s="66" t="n">
        <f aca="false">IF(OR(B276="",AL276=""),0,IF(OR(Settings!$C$28="All Accounts",BJ276=Settings!$C$28),1,0))</f>
        <v>0</v>
      </c>
      <c r="BQ276" s="66" t="str">
        <f aca="false">IF(BP276=1,SUM(BP$6:BP276),"")</f>
        <v/>
      </c>
      <c r="BR276" s="76" t="str">
        <f aca="false">IF(BP276=1,ROUND(Settings!$C$29+SUMIFS(AM$6:AM276,BP$6:BP276,1),2),"")</f>
        <v/>
      </c>
      <c r="BS276" s="76" t="str">
        <f aca="false">IF(BP276=1,MAX(Settings!$C$29,MAX(BR$6:BR276)),"")</f>
        <v/>
      </c>
      <c r="BT276" s="83" t="str">
        <f aca="false">IF(BP276=1,(BR276-BS276)/BS276,"")</f>
        <v/>
      </c>
      <c r="BU276" s="66" t="str">
        <f aca="false">IF(BP276=1,IF(AL276="Win",1+IF(BQ276=1,0,INDEX(BU$5:BU275,MATCH(BQ276-1,BQ$5:BQ275,0))),0),"")</f>
        <v/>
      </c>
      <c r="BV276" s="66" t="str">
        <f aca="false">IF(BP276=1,IF(AL276="Loss",1+IF(BQ276=1,0,INDEX(BV$5:BV275,MATCH(BQ276-1,BQ$5:BQ275,0))),0),"")</f>
        <v/>
      </c>
    </row>
    <row r="277" customFormat="false" ht="15" hidden="false" customHeight="false" outlineLevel="0" collapsed="false">
      <c r="A277" s="66" t="str">
        <f aca="false">IF(B277="","",ROW()-5)</f>
        <v/>
      </c>
      <c r="B277" s="67"/>
      <c r="C277" s="68" t="str">
        <f aca="false">IF(B277="","",CHOOSE(WEEKDAY(B277,2),"Mon","Tue","Wed","Thu","Fri","Sat","Sun"))</f>
        <v/>
      </c>
      <c r="D277" s="66" t="str">
        <f aca="false">IF(B277="","",WEEKNUM(B277,2))</f>
        <v/>
      </c>
      <c r="E277" s="69"/>
      <c r="F277" s="69"/>
      <c r="G277" s="70"/>
      <c r="H277" s="70"/>
      <c r="I277" s="69"/>
      <c r="J277" s="69"/>
      <c r="K277" s="69"/>
      <c r="L277" s="71"/>
      <c r="M277" s="69"/>
      <c r="N277" s="69"/>
      <c r="O277" s="69"/>
      <c r="P277" s="71"/>
      <c r="Q277" s="69"/>
      <c r="R277" s="69"/>
      <c r="S277" s="69"/>
      <c r="T277" s="69"/>
      <c r="U277" s="69"/>
      <c r="V277" s="69"/>
      <c r="W277" s="69"/>
      <c r="X277" s="66" t="str">
        <f aca="false">IF(B277="","",COUNTIF(Q277:W277,"Yes"))</f>
        <v/>
      </c>
      <c r="Y277" s="68" t="str">
        <f aca="false">IF(B277="","",IF(X277&gt;=Settings!$C$16,"A+",IF(X277&gt;=Settings!$C$17,"A",IF(X277&gt;=Settings!$C$18,"B","C"))))</f>
        <v/>
      </c>
      <c r="Z277" s="72"/>
      <c r="AA277" s="72"/>
      <c r="AB277" s="72"/>
      <c r="AC277" s="72"/>
      <c r="AD277" s="72"/>
      <c r="AE277" s="72"/>
      <c r="AF277" s="73"/>
      <c r="AG277" s="74"/>
      <c r="AH277" s="75"/>
      <c r="AI277" s="76" t="str">
        <f aca="false">IF(B277="","",ROUND(IF(AG277="",Settings!$C$5,AG277)*AW277,2))</f>
        <v/>
      </c>
      <c r="AJ277" s="77" t="str">
        <f aca="false">IF(OR(B277="",AB277="",AC277="",AD277=""),"",IFERROR(ROUND(ABS(AD277-AB277)/ABS(AB277-AC277),2),""))</f>
        <v/>
      </c>
      <c r="AK277" s="78" t="str">
        <f aca="false">IF(OR(B277="",AB277="",AC277="",AE277=""),"",IFERROR(ROUND(IF(J277="Short",AB277-AE277,AE277-AB277)/ABS(AB277-AC277),2),""))</f>
        <v/>
      </c>
      <c r="AL277" s="68" t="str">
        <f aca="false">IF(AK277="","",IF(ABS(AK277)&lt;=Settings!$C$6,"BE",IF(AK277&gt;0,"Win","Loss")))</f>
        <v/>
      </c>
      <c r="AM277" s="79" t="str">
        <f aca="false">IF(OR(AK277="",AI277=""),"",ROUND(AK277*AI277-N(AH277),2))</f>
        <v/>
      </c>
      <c r="AN277" s="76" t="str">
        <f aca="false">IF(AM277="","",ROUND(BK277+SUMIFS(AM$6:AM277,BJ$6:BJ277,BJ277),2))</f>
        <v/>
      </c>
      <c r="AO277" s="78" t="str">
        <f aca="false">IF(AK277="","",ROUND(SUMIFS(AK$6:AK277,BJ$6:BJ277,BJ277),2))</f>
        <v/>
      </c>
      <c r="AP277" s="80" t="str">
        <f aca="false">IF(OR(AK277="",BL277=""),"",IFERROR(ROUND(IF(J277="Short",AB277-AE277,AE277-AB277)/BL277,1),""))</f>
        <v/>
      </c>
      <c r="AQ277" s="66" t="str">
        <f aca="false">IF(OR(G277="",H277=""),"",ROUND(MOD(H277-G277,1)*1440,0))</f>
        <v/>
      </c>
      <c r="AR277" s="68" t="str">
        <f aca="false">IF(AQ277="","",IF(AQ277&lt;15,"Under 15m",IF(AQ277&lt;60,"15-60m",IF(AQ277&lt;240,"1-4 hours","4+ hours"))))</f>
        <v/>
      </c>
      <c r="AS277" s="66" t="str">
        <f aca="false">IF(G277="","",HOUR(G277))</f>
        <v/>
      </c>
      <c r="AT277" s="80" t="str">
        <f aca="false">IF(OR(Z277="",AB277="",BL277=""),"",IFERROR(ROUND(IF(J277="Short",Z277-AB277,AB277-Z277)/BL277,1),""))</f>
        <v/>
      </c>
      <c r="AU277" s="68" t="str">
        <f aca="false">IF(OR(AA277="",AC277=""),"",IF(AA277=AC277,"No","Yes"))</f>
        <v/>
      </c>
      <c r="AV277" s="81" t="str">
        <f aca="false">IF(OR(B277="",BL277="",BM277="",AB277="",AC277=""),"",IFERROR(ROUND(AI277/(ABS(AB277-AC277)/BL277*BM277),2),""))</f>
        <v/>
      </c>
      <c r="AW277" s="76" t="str">
        <f aca="false">IF(B277="","",ROUND(BK277+SUMIFS(AM$5:AM276,BJ$5:BJ276,BJ277),2))</f>
        <v/>
      </c>
      <c r="AX277" s="66" t="str">
        <f aca="false">IF(B277="","",COUNTIFS(B$6:B277,B277,BJ$6:BJ277,BJ277))</f>
        <v/>
      </c>
      <c r="AY277" s="79" t="str">
        <f aca="false">IF(B277="","",ROUND(SUMIFS(AM$5:AM276,B$5:B276,B277,BJ$5:BJ276,BJ277),2))</f>
        <v/>
      </c>
      <c r="AZ277" s="79" t="str">
        <f aca="false">IF(AM277="","",ROUND(AY277+AM277,2))</f>
        <v/>
      </c>
      <c r="BA277" s="79" t="str">
        <f aca="false">IF(B277="","",ROUND(SUMIFS(AM$5:AM276,B$5:B276,"&gt;="&amp;(B277-WEEKDAY(B277,2)+1),B$5:B276,"&lt;="&amp;B277,BJ$5:BJ276,BJ277),2))</f>
        <v/>
      </c>
      <c r="BB277" s="68" t="str">
        <f aca="false">IF(B277="","",IF(AND(AF277&lt;&gt;"",AV277&lt;&gt;"",N(AF277)&gt;N(AV277)*(1+Settings!$C$13)),"Oversized",IF(AX277&gt;Settings!$C$10,"Overtraded",IF(AY277&lt;=-Settings!$C$11*(AW277-AY277),"Daily loss hit",IF(BA277&lt;=-Settings!$C$12*(AW277-BA277),"Weekly loss hit","OK")))))</f>
        <v/>
      </c>
      <c r="BC277" s="69"/>
      <c r="BD277" s="69"/>
      <c r="BE277" s="69"/>
      <c r="BF277" s="73"/>
      <c r="BG277" s="73"/>
      <c r="BH277" s="71"/>
      <c r="BI277" s="71"/>
      <c r="BJ277" s="68" t="str">
        <f aca="false">IF(B277="","",IF(E277="",Settings!$F$5,E277))</f>
        <v/>
      </c>
      <c r="BK277" s="76" t="str">
        <f aca="false">IF(B277="","",IFERROR(INDEX(Settings!$G$5:$G$10,MATCH(BJ277,Settings!$F$5:$F$10,0)),Settings!$G$5))</f>
        <v/>
      </c>
      <c r="BL277" s="82" t="str">
        <f aca="false">IF(I277="","",IFERROR(1/(1/INDEX(Lists!$C$6:$C$17,MATCH(I277,Lists!$B$6:$B$17,0))),""))</f>
        <v/>
      </c>
      <c r="BM277" s="81" t="str">
        <f aca="false">IF(I277="","",IFERROR(1/(1/INDEX(Lists!$D$6:$D$17,MATCH(I277,Lists!$B$6:$B$17,0))),""))</f>
        <v/>
      </c>
      <c r="BN277" s="76" t="str">
        <f aca="false">IF(AN277="","",MAX(BK277,_xlfn.MAXIFS(AN$6:AN277,BJ$6:BJ277,BJ277)))</f>
        <v/>
      </c>
      <c r="BO277" s="83" t="str">
        <f aca="false">IF(AN277="","",(AN277-BN277)/BN277)</f>
        <v/>
      </c>
      <c r="BP277" s="66" t="n">
        <f aca="false">IF(OR(B277="",AL277=""),0,IF(OR(Settings!$C$28="All Accounts",BJ277=Settings!$C$28),1,0))</f>
        <v>0</v>
      </c>
      <c r="BQ277" s="66" t="str">
        <f aca="false">IF(BP277=1,SUM(BP$6:BP277),"")</f>
        <v/>
      </c>
      <c r="BR277" s="76" t="str">
        <f aca="false">IF(BP277=1,ROUND(Settings!$C$29+SUMIFS(AM$6:AM277,BP$6:BP277,1),2),"")</f>
        <v/>
      </c>
      <c r="BS277" s="76" t="str">
        <f aca="false">IF(BP277=1,MAX(Settings!$C$29,MAX(BR$6:BR277)),"")</f>
        <v/>
      </c>
      <c r="BT277" s="83" t="str">
        <f aca="false">IF(BP277=1,(BR277-BS277)/BS277,"")</f>
        <v/>
      </c>
      <c r="BU277" s="66" t="str">
        <f aca="false">IF(BP277=1,IF(AL277="Win",1+IF(BQ277=1,0,INDEX(BU$5:BU276,MATCH(BQ277-1,BQ$5:BQ276,0))),0),"")</f>
        <v/>
      </c>
      <c r="BV277" s="66" t="str">
        <f aca="false">IF(BP277=1,IF(AL277="Loss",1+IF(BQ277=1,0,INDEX(BV$5:BV276,MATCH(BQ277-1,BQ$5:BQ276,0))),0),"")</f>
        <v/>
      </c>
    </row>
    <row r="278" customFormat="false" ht="15" hidden="false" customHeight="false" outlineLevel="0" collapsed="false">
      <c r="A278" s="66" t="str">
        <f aca="false">IF(B278="","",ROW()-5)</f>
        <v/>
      </c>
      <c r="B278" s="67"/>
      <c r="C278" s="68" t="str">
        <f aca="false">IF(B278="","",CHOOSE(WEEKDAY(B278,2),"Mon","Tue","Wed","Thu","Fri","Sat","Sun"))</f>
        <v/>
      </c>
      <c r="D278" s="66" t="str">
        <f aca="false">IF(B278="","",WEEKNUM(B278,2))</f>
        <v/>
      </c>
      <c r="E278" s="69"/>
      <c r="F278" s="69"/>
      <c r="G278" s="70"/>
      <c r="H278" s="70"/>
      <c r="I278" s="69"/>
      <c r="J278" s="69"/>
      <c r="K278" s="69"/>
      <c r="L278" s="71"/>
      <c r="M278" s="69"/>
      <c r="N278" s="69"/>
      <c r="O278" s="69"/>
      <c r="P278" s="71"/>
      <c r="Q278" s="69"/>
      <c r="R278" s="69"/>
      <c r="S278" s="69"/>
      <c r="T278" s="69"/>
      <c r="U278" s="69"/>
      <c r="V278" s="69"/>
      <c r="W278" s="69"/>
      <c r="X278" s="66" t="str">
        <f aca="false">IF(B278="","",COUNTIF(Q278:W278,"Yes"))</f>
        <v/>
      </c>
      <c r="Y278" s="68" t="str">
        <f aca="false">IF(B278="","",IF(X278&gt;=Settings!$C$16,"A+",IF(X278&gt;=Settings!$C$17,"A",IF(X278&gt;=Settings!$C$18,"B","C"))))</f>
        <v/>
      </c>
      <c r="Z278" s="72"/>
      <c r="AA278" s="72"/>
      <c r="AB278" s="72"/>
      <c r="AC278" s="72"/>
      <c r="AD278" s="72"/>
      <c r="AE278" s="72"/>
      <c r="AF278" s="73"/>
      <c r="AG278" s="74"/>
      <c r="AH278" s="75"/>
      <c r="AI278" s="76" t="str">
        <f aca="false">IF(B278="","",ROUND(IF(AG278="",Settings!$C$5,AG278)*AW278,2))</f>
        <v/>
      </c>
      <c r="AJ278" s="77" t="str">
        <f aca="false">IF(OR(B278="",AB278="",AC278="",AD278=""),"",IFERROR(ROUND(ABS(AD278-AB278)/ABS(AB278-AC278),2),""))</f>
        <v/>
      </c>
      <c r="AK278" s="78" t="str">
        <f aca="false">IF(OR(B278="",AB278="",AC278="",AE278=""),"",IFERROR(ROUND(IF(J278="Short",AB278-AE278,AE278-AB278)/ABS(AB278-AC278),2),""))</f>
        <v/>
      </c>
      <c r="AL278" s="68" t="str">
        <f aca="false">IF(AK278="","",IF(ABS(AK278)&lt;=Settings!$C$6,"BE",IF(AK278&gt;0,"Win","Loss")))</f>
        <v/>
      </c>
      <c r="AM278" s="79" t="str">
        <f aca="false">IF(OR(AK278="",AI278=""),"",ROUND(AK278*AI278-N(AH278),2))</f>
        <v/>
      </c>
      <c r="AN278" s="76" t="str">
        <f aca="false">IF(AM278="","",ROUND(BK278+SUMIFS(AM$6:AM278,BJ$6:BJ278,BJ278),2))</f>
        <v/>
      </c>
      <c r="AO278" s="78" t="str">
        <f aca="false">IF(AK278="","",ROUND(SUMIFS(AK$6:AK278,BJ$6:BJ278,BJ278),2))</f>
        <v/>
      </c>
      <c r="AP278" s="80" t="str">
        <f aca="false">IF(OR(AK278="",BL278=""),"",IFERROR(ROUND(IF(J278="Short",AB278-AE278,AE278-AB278)/BL278,1),""))</f>
        <v/>
      </c>
      <c r="AQ278" s="66" t="str">
        <f aca="false">IF(OR(G278="",H278=""),"",ROUND(MOD(H278-G278,1)*1440,0))</f>
        <v/>
      </c>
      <c r="AR278" s="68" t="str">
        <f aca="false">IF(AQ278="","",IF(AQ278&lt;15,"Under 15m",IF(AQ278&lt;60,"15-60m",IF(AQ278&lt;240,"1-4 hours","4+ hours"))))</f>
        <v/>
      </c>
      <c r="AS278" s="66" t="str">
        <f aca="false">IF(G278="","",HOUR(G278))</f>
        <v/>
      </c>
      <c r="AT278" s="80" t="str">
        <f aca="false">IF(OR(Z278="",AB278="",BL278=""),"",IFERROR(ROUND(IF(J278="Short",Z278-AB278,AB278-Z278)/BL278,1),""))</f>
        <v/>
      </c>
      <c r="AU278" s="68" t="str">
        <f aca="false">IF(OR(AA278="",AC278=""),"",IF(AA278=AC278,"No","Yes"))</f>
        <v/>
      </c>
      <c r="AV278" s="81" t="str">
        <f aca="false">IF(OR(B278="",BL278="",BM278="",AB278="",AC278=""),"",IFERROR(ROUND(AI278/(ABS(AB278-AC278)/BL278*BM278),2),""))</f>
        <v/>
      </c>
      <c r="AW278" s="76" t="str">
        <f aca="false">IF(B278="","",ROUND(BK278+SUMIFS(AM$5:AM277,BJ$5:BJ277,BJ278),2))</f>
        <v/>
      </c>
      <c r="AX278" s="66" t="str">
        <f aca="false">IF(B278="","",COUNTIFS(B$6:B278,B278,BJ$6:BJ278,BJ278))</f>
        <v/>
      </c>
      <c r="AY278" s="79" t="str">
        <f aca="false">IF(B278="","",ROUND(SUMIFS(AM$5:AM277,B$5:B277,B278,BJ$5:BJ277,BJ278),2))</f>
        <v/>
      </c>
      <c r="AZ278" s="79" t="str">
        <f aca="false">IF(AM278="","",ROUND(AY278+AM278,2))</f>
        <v/>
      </c>
      <c r="BA278" s="79" t="str">
        <f aca="false">IF(B278="","",ROUND(SUMIFS(AM$5:AM277,B$5:B277,"&gt;="&amp;(B278-WEEKDAY(B278,2)+1),B$5:B277,"&lt;="&amp;B278,BJ$5:BJ277,BJ278),2))</f>
        <v/>
      </c>
      <c r="BB278" s="68" t="str">
        <f aca="false">IF(B278="","",IF(AND(AF278&lt;&gt;"",AV278&lt;&gt;"",N(AF278)&gt;N(AV278)*(1+Settings!$C$13)),"Oversized",IF(AX278&gt;Settings!$C$10,"Overtraded",IF(AY278&lt;=-Settings!$C$11*(AW278-AY278),"Daily loss hit",IF(BA278&lt;=-Settings!$C$12*(AW278-BA278),"Weekly loss hit","OK")))))</f>
        <v/>
      </c>
      <c r="BC278" s="69"/>
      <c r="BD278" s="69"/>
      <c r="BE278" s="69"/>
      <c r="BF278" s="73"/>
      <c r="BG278" s="73"/>
      <c r="BH278" s="71"/>
      <c r="BI278" s="71"/>
      <c r="BJ278" s="68" t="str">
        <f aca="false">IF(B278="","",IF(E278="",Settings!$F$5,E278))</f>
        <v/>
      </c>
      <c r="BK278" s="76" t="str">
        <f aca="false">IF(B278="","",IFERROR(INDEX(Settings!$G$5:$G$10,MATCH(BJ278,Settings!$F$5:$F$10,0)),Settings!$G$5))</f>
        <v/>
      </c>
      <c r="BL278" s="82" t="str">
        <f aca="false">IF(I278="","",IFERROR(1/(1/INDEX(Lists!$C$6:$C$17,MATCH(I278,Lists!$B$6:$B$17,0))),""))</f>
        <v/>
      </c>
      <c r="BM278" s="81" t="str">
        <f aca="false">IF(I278="","",IFERROR(1/(1/INDEX(Lists!$D$6:$D$17,MATCH(I278,Lists!$B$6:$B$17,0))),""))</f>
        <v/>
      </c>
      <c r="BN278" s="76" t="str">
        <f aca="false">IF(AN278="","",MAX(BK278,_xlfn.MAXIFS(AN$6:AN278,BJ$6:BJ278,BJ278)))</f>
        <v/>
      </c>
      <c r="BO278" s="83" t="str">
        <f aca="false">IF(AN278="","",(AN278-BN278)/BN278)</f>
        <v/>
      </c>
      <c r="BP278" s="66" t="n">
        <f aca="false">IF(OR(B278="",AL278=""),0,IF(OR(Settings!$C$28="All Accounts",BJ278=Settings!$C$28),1,0))</f>
        <v>0</v>
      </c>
      <c r="BQ278" s="66" t="str">
        <f aca="false">IF(BP278=1,SUM(BP$6:BP278),"")</f>
        <v/>
      </c>
      <c r="BR278" s="76" t="str">
        <f aca="false">IF(BP278=1,ROUND(Settings!$C$29+SUMIFS(AM$6:AM278,BP$6:BP278,1),2),"")</f>
        <v/>
      </c>
      <c r="BS278" s="76" t="str">
        <f aca="false">IF(BP278=1,MAX(Settings!$C$29,MAX(BR$6:BR278)),"")</f>
        <v/>
      </c>
      <c r="BT278" s="83" t="str">
        <f aca="false">IF(BP278=1,(BR278-BS278)/BS278,"")</f>
        <v/>
      </c>
      <c r="BU278" s="66" t="str">
        <f aca="false">IF(BP278=1,IF(AL278="Win",1+IF(BQ278=1,0,INDEX(BU$5:BU277,MATCH(BQ278-1,BQ$5:BQ277,0))),0),"")</f>
        <v/>
      </c>
      <c r="BV278" s="66" t="str">
        <f aca="false">IF(BP278=1,IF(AL278="Loss",1+IF(BQ278=1,0,INDEX(BV$5:BV277,MATCH(BQ278-1,BQ$5:BQ277,0))),0),"")</f>
        <v/>
      </c>
    </row>
    <row r="279" customFormat="false" ht="15" hidden="false" customHeight="false" outlineLevel="0" collapsed="false">
      <c r="A279" s="66" t="str">
        <f aca="false">IF(B279="","",ROW()-5)</f>
        <v/>
      </c>
      <c r="B279" s="67"/>
      <c r="C279" s="68" t="str">
        <f aca="false">IF(B279="","",CHOOSE(WEEKDAY(B279,2),"Mon","Tue","Wed","Thu","Fri","Sat","Sun"))</f>
        <v/>
      </c>
      <c r="D279" s="66" t="str">
        <f aca="false">IF(B279="","",WEEKNUM(B279,2))</f>
        <v/>
      </c>
      <c r="E279" s="69"/>
      <c r="F279" s="69"/>
      <c r="G279" s="70"/>
      <c r="H279" s="70"/>
      <c r="I279" s="69"/>
      <c r="J279" s="69"/>
      <c r="K279" s="69"/>
      <c r="L279" s="71"/>
      <c r="M279" s="69"/>
      <c r="N279" s="69"/>
      <c r="O279" s="69"/>
      <c r="P279" s="71"/>
      <c r="Q279" s="69"/>
      <c r="R279" s="69"/>
      <c r="S279" s="69"/>
      <c r="T279" s="69"/>
      <c r="U279" s="69"/>
      <c r="V279" s="69"/>
      <c r="W279" s="69"/>
      <c r="X279" s="66" t="str">
        <f aca="false">IF(B279="","",COUNTIF(Q279:W279,"Yes"))</f>
        <v/>
      </c>
      <c r="Y279" s="68" t="str">
        <f aca="false">IF(B279="","",IF(X279&gt;=Settings!$C$16,"A+",IF(X279&gt;=Settings!$C$17,"A",IF(X279&gt;=Settings!$C$18,"B","C"))))</f>
        <v/>
      </c>
      <c r="Z279" s="72"/>
      <c r="AA279" s="72"/>
      <c r="AB279" s="72"/>
      <c r="AC279" s="72"/>
      <c r="AD279" s="72"/>
      <c r="AE279" s="72"/>
      <c r="AF279" s="73"/>
      <c r="AG279" s="74"/>
      <c r="AH279" s="75"/>
      <c r="AI279" s="76" t="str">
        <f aca="false">IF(B279="","",ROUND(IF(AG279="",Settings!$C$5,AG279)*AW279,2))</f>
        <v/>
      </c>
      <c r="AJ279" s="77" t="str">
        <f aca="false">IF(OR(B279="",AB279="",AC279="",AD279=""),"",IFERROR(ROUND(ABS(AD279-AB279)/ABS(AB279-AC279),2),""))</f>
        <v/>
      </c>
      <c r="AK279" s="78" t="str">
        <f aca="false">IF(OR(B279="",AB279="",AC279="",AE279=""),"",IFERROR(ROUND(IF(J279="Short",AB279-AE279,AE279-AB279)/ABS(AB279-AC279),2),""))</f>
        <v/>
      </c>
      <c r="AL279" s="68" t="str">
        <f aca="false">IF(AK279="","",IF(ABS(AK279)&lt;=Settings!$C$6,"BE",IF(AK279&gt;0,"Win","Loss")))</f>
        <v/>
      </c>
      <c r="AM279" s="79" t="str">
        <f aca="false">IF(OR(AK279="",AI279=""),"",ROUND(AK279*AI279-N(AH279),2))</f>
        <v/>
      </c>
      <c r="AN279" s="76" t="str">
        <f aca="false">IF(AM279="","",ROUND(BK279+SUMIFS(AM$6:AM279,BJ$6:BJ279,BJ279),2))</f>
        <v/>
      </c>
      <c r="AO279" s="78" t="str">
        <f aca="false">IF(AK279="","",ROUND(SUMIFS(AK$6:AK279,BJ$6:BJ279,BJ279),2))</f>
        <v/>
      </c>
      <c r="AP279" s="80" t="str">
        <f aca="false">IF(OR(AK279="",BL279=""),"",IFERROR(ROUND(IF(J279="Short",AB279-AE279,AE279-AB279)/BL279,1),""))</f>
        <v/>
      </c>
      <c r="AQ279" s="66" t="str">
        <f aca="false">IF(OR(G279="",H279=""),"",ROUND(MOD(H279-G279,1)*1440,0))</f>
        <v/>
      </c>
      <c r="AR279" s="68" t="str">
        <f aca="false">IF(AQ279="","",IF(AQ279&lt;15,"Under 15m",IF(AQ279&lt;60,"15-60m",IF(AQ279&lt;240,"1-4 hours","4+ hours"))))</f>
        <v/>
      </c>
      <c r="AS279" s="66" t="str">
        <f aca="false">IF(G279="","",HOUR(G279))</f>
        <v/>
      </c>
      <c r="AT279" s="80" t="str">
        <f aca="false">IF(OR(Z279="",AB279="",BL279=""),"",IFERROR(ROUND(IF(J279="Short",Z279-AB279,AB279-Z279)/BL279,1),""))</f>
        <v/>
      </c>
      <c r="AU279" s="68" t="str">
        <f aca="false">IF(OR(AA279="",AC279=""),"",IF(AA279=AC279,"No","Yes"))</f>
        <v/>
      </c>
      <c r="AV279" s="81" t="str">
        <f aca="false">IF(OR(B279="",BL279="",BM279="",AB279="",AC279=""),"",IFERROR(ROUND(AI279/(ABS(AB279-AC279)/BL279*BM279),2),""))</f>
        <v/>
      </c>
      <c r="AW279" s="76" t="str">
        <f aca="false">IF(B279="","",ROUND(BK279+SUMIFS(AM$5:AM278,BJ$5:BJ278,BJ279),2))</f>
        <v/>
      </c>
      <c r="AX279" s="66" t="str">
        <f aca="false">IF(B279="","",COUNTIFS(B$6:B279,B279,BJ$6:BJ279,BJ279))</f>
        <v/>
      </c>
      <c r="AY279" s="79" t="str">
        <f aca="false">IF(B279="","",ROUND(SUMIFS(AM$5:AM278,B$5:B278,B279,BJ$5:BJ278,BJ279),2))</f>
        <v/>
      </c>
      <c r="AZ279" s="79" t="str">
        <f aca="false">IF(AM279="","",ROUND(AY279+AM279,2))</f>
        <v/>
      </c>
      <c r="BA279" s="79" t="str">
        <f aca="false">IF(B279="","",ROUND(SUMIFS(AM$5:AM278,B$5:B278,"&gt;="&amp;(B279-WEEKDAY(B279,2)+1),B$5:B278,"&lt;="&amp;B279,BJ$5:BJ278,BJ279),2))</f>
        <v/>
      </c>
      <c r="BB279" s="68" t="str">
        <f aca="false">IF(B279="","",IF(AND(AF279&lt;&gt;"",AV279&lt;&gt;"",N(AF279)&gt;N(AV279)*(1+Settings!$C$13)),"Oversized",IF(AX279&gt;Settings!$C$10,"Overtraded",IF(AY279&lt;=-Settings!$C$11*(AW279-AY279),"Daily loss hit",IF(BA279&lt;=-Settings!$C$12*(AW279-BA279),"Weekly loss hit","OK")))))</f>
        <v/>
      </c>
      <c r="BC279" s="69"/>
      <c r="BD279" s="69"/>
      <c r="BE279" s="69"/>
      <c r="BF279" s="73"/>
      <c r="BG279" s="73"/>
      <c r="BH279" s="71"/>
      <c r="BI279" s="71"/>
      <c r="BJ279" s="68" t="str">
        <f aca="false">IF(B279="","",IF(E279="",Settings!$F$5,E279))</f>
        <v/>
      </c>
      <c r="BK279" s="76" t="str">
        <f aca="false">IF(B279="","",IFERROR(INDEX(Settings!$G$5:$G$10,MATCH(BJ279,Settings!$F$5:$F$10,0)),Settings!$G$5))</f>
        <v/>
      </c>
      <c r="BL279" s="82" t="str">
        <f aca="false">IF(I279="","",IFERROR(1/(1/INDEX(Lists!$C$6:$C$17,MATCH(I279,Lists!$B$6:$B$17,0))),""))</f>
        <v/>
      </c>
      <c r="BM279" s="81" t="str">
        <f aca="false">IF(I279="","",IFERROR(1/(1/INDEX(Lists!$D$6:$D$17,MATCH(I279,Lists!$B$6:$B$17,0))),""))</f>
        <v/>
      </c>
      <c r="BN279" s="76" t="str">
        <f aca="false">IF(AN279="","",MAX(BK279,_xlfn.MAXIFS(AN$6:AN279,BJ$6:BJ279,BJ279)))</f>
        <v/>
      </c>
      <c r="BO279" s="83" t="str">
        <f aca="false">IF(AN279="","",(AN279-BN279)/BN279)</f>
        <v/>
      </c>
      <c r="BP279" s="66" t="n">
        <f aca="false">IF(OR(B279="",AL279=""),0,IF(OR(Settings!$C$28="All Accounts",BJ279=Settings!$C$28),1,0))</f>
        <v>0</v>
      </c>
      <c r="BQ279" s="66" t="str">
        <f aca="false">IF(BP279=1,SUM(BP$6:BP279),"")</f>
        <v/>
      </c>
      <c r="BR279" s="76" t="str">
        <f aca="false">IF(BP279=1,ROUND(Settings!$C$29+SUMIFS(AM$6:AM279,BP$6:BP279,1),2),"")</f>
        <v/>
      </c>
      <c r="BS279" s="76" t="str">
        <f aca="false">IF(BP279=1,MAX(Settings!$C$29,MAX(BR$6:BR279)),"")</f>
        <v/>
      </c>
      <c r="BT279" s="83" t="str">
        <f aca="false">IF(BP279=1,(BR279-BS279)/BS279,"")</f>
        <v/>
      </c>
      <c r="BU279" s="66" t="str">
        <f aca="false">IF(BP279=1,IF(AL279="Win",1+IF(BQ279=1,0,INDEX(BU$5:BU278,MATCH(BQ279-1,BQ$5:BQ278,0))),0),"")</f>
        <v/>
      </c>
      <c r="BV279" s="66" t="str">
        <f aca="false">IF(BP279=1,IF(AL279="Loss",1+IF(BQ279=1,0,INDEX(BV$5:BV278,MATCH(BQ279-1,BQ$5:BQ278,0))),0),"")</f>
        <v/>
      </c>
    </row>
    <row r="280" customFormat="false" ht="15" hidden="false" customHeight="false" outlineLevel="0" collapsed="false">
      <c r="A280" s="66" t="str">
        <f aca="false">IF(B280="","",ROW()-5)</f>
        <v/>
      </c>
      <c r="B280" s="67"/>
      <c r="C280" s="68" t="str">
        <f aca="false">IF(B280="","",CHOOSE(WEEKDAY(B280,2),"Mon","Tue","Wed","Thu","Fri","Sat","Sun"))</f>
        <v/>
      </c>
      <c r="D280" s="66" t="str">
        <f aca="false">IF(B280="","",WEEKNUM(B280,2))</f>
        <v/>
      </c>
      <c r="E280" s="69"/>
      <c r="F280" s="69"/>
      <c r="G280" s="70"/>
      <c r="H280" s="70"/>
      <c r="I280" s="69"/>
      <c r="J280" s="69"/>
      <c r="K280" s="69"/>
      <c r="L280" s="71"/>
      <c r="M280" s="69"/>
      <c r="N280" s="69"/>
      <c r="O280" s="69"/>
      <c r="P280" s="71"/>
      <c r="Q280" s="69"/>
      <c r="R280" s="69"/>
      <c r="S280" s="69"/>
      <c r="T280" s="69"/>
      <c r="U280" s="69"/>
      <c r="V280" s="69"/>
      <c r="W280" s="69"/>
      <c r="X280" s="66" t="str">
        <f aca="false">IF(B280="","",COUNTIF(Q280:W280,"Yes"))</f>
        <v/>
      </c>
      <c r="Y280" s="68" t="str">
        <f aca="false">IF(B280="","",IF(X280&gt;=Settings!$C$16,"A+",IF(X280&gt;=Settings!$C$17,"A",IF(X280&gt;=Settings!$C$18,"B","C"))))</f>
        <v/>
      </c>
      <c r="Z280" s="72"/>
      <c r="AA280" s="72"/>
      <c r="AB280" s="72"/>
      <c r="AC280" s="72"/>
      <c r="AD280" s="72"/>
      <c r="AE280" s="72"/>
      <c r="AF280" s="73"/>
      <c r="AG280" s="74"/>
      <c r="AH280" s="75"/>
      <c r="AI280" s="76" t="str">
        <f aca="false">IF(B280="","",ROUND(IF(AG280="",Settings!$C$5,AG280)*AW280,2))</f>
        <v/>
      </c>
      <c r="AJ280" s="77" t="str">
        <f aca="false">IF(OR(B280="",AB280="",AC280="",AD280=""),"",IFERROR(ROUND(ABS(AD280-AB280)/ABS(AB280-AC280),2),""))</f>
        <v/>
      </c>
      <c r="AK280" s="78" t="str">
        <f aca="false">IF(OR(B280="",AB280="",AC280="",AE280=""),"",IFERROR(ROUND(IF(J280="Short",AB280-AE280,AE280-AB280)/ABS(AB280-AC280),2),""))</f>
        <v/>
      </c>
      <c r="AL280" s="68" t="str">
        <f aca="false">IF(AK280="","",IF(ABS(AK280)&lt;=Settings!$C$6,"BE",IF(AK280&gt;0,"Win","Loss")))</f>
        <v/>
      </c>
      <c r="AM280" s="79" t="str">
        <f aca="false">IF(OR(AK280="",AI280=""),"",ROUND(AK280*AI280-N(AH280),2))</f>
        <v/>
      </c>
      <c r="AN280" s="76" t="str">
        <f aca="false">IF(AM280="","",ROUND(BK280+SUMIFS(AM$6:AM280,BJ$6:BJ280,BJ280),2))</f>
        <v/>
      </c>
      <c r="AO280" s="78" t="str">
        <f aca="false">IF(AK280="","",ROUND(SUMIFS(AK$6:AK280,BJ$6:BJ280,BJ280),2))</f>
        <v/>
      </c>
      <c r="AP280" s="80" t="str">
        <f aca="false">IF(OR(AK280="",BL280=""),"",IFERROR(ROUND(IF(J280="Short",AB280-AE280,AE280-AB280)/BL280,1),""))</f>
        <v/>
      </c>
      <c r="AQ280" s="66" t="str">
        <f aca="false">IF(OR(G280="",H280=""),"",ROUND(MOD(H280-G280,1)*1440,0))</f>
        <v/>
      </c>
      <c r="AR280" s="68" t="str">
        <f aca="false">IF(AQ280="","",IF(AQ280&lt;15,"Under 15m",IF(AQ280&lt;60,"15-60m",IF(AQ280&lt;240,"1-4 hours","4+ hours"))))</f>
        <v/>
      </c>
      <c r="AS280" s="66" t="str">
        <f aca="false">IF(G280="","",HOUR(G280))</f>
        <v/>
      </c>
      <c r="AT280" s="80" t="str">
        <f aca="false">IF(OR(Z280="",AB280="",BL280=""),"",IFERROR(ROUND(IF(J280="Short",Z280-AB280,AB280-Z280)/BL280,1),""))</f>
        <v/>
      </c>
      <c r="AU280" s="68" t="str">
        <f aca="false">IF(OR(AA280="",AC280=""),"",IF(AA280=AC280,"No","Yes"))</f>
        <v/>
      </c>
      <c r="AV280" s="81" t="str">
        <f aca="false">IF(OR(B280="",BL280="",BM280="",AB280="",AC280=""),"",IFERROR(ROUND(AI280/(ABS(AB280-AC280)/BL280*BM280),2),""))</f>
        <v/>
      </c>
      <c r="AW280" s="76" t="str">
        <f aca="false">IF(B280="","",ROUND(BK280+SUMIFS(AM$5:AM279,BJ$5:BJ279,BJ280),2))</f>
        <v/>
      </c>
      <c r="AX280" s="66" t="str">
        <f aca="false">IF(B280="","",COUNTIFS(B$6:B280,B280,BJ$6:BJ280,BJ280))</f>
        <v/>
      </c>
      <c r="AY280" s="79" t="str">
        <f aca="false">IF(B280="","",ROUND(SUMIFS(AM$5:AM279,B$5:B279,B280,BJ$5:BJ279,BJ280),2))</f>
        <v/>
      </c>
      <c r="AZ280" s="79" t="str">
        <f aca="false">IF(AM280="","",ROUND(AY280+AM280,2))</f>
        <v/>
      </c>
      <c r="BA280" s="79" t="str">
        <f aca="false">IF(B280="","",ROUND(SUMIFS(AM$5:AM279,B$5:B279,"&gt;="&amp;(B280-WEEKDAY(B280,2)+1),B$5:B279,"&lt;="&amp;B280,BJ$5:BJ279,BJ280),2))</f>
        <v/>
      </c>
      <c r="BB280" s="68" t="str">
        <f aca="false">IF(B280="","",IF(AND(AF280&lt;&gt;"",AV280&lt;&gt;"",N(AF280)&gt;N(AV280)*(1+Settings!$C$13)),"Oversized",IF(AX280&gt;Settings!$C$10,"Overtraded",IF(AY280&lt;=-Settings!$C$11*(AW280-AY280),"Daily loss hit",IF(BA280&lt;=-Settings!$C$12*(AW280-BA280),"Weekly loss hit","OK")))))</f>
        <v/>
      </c>
      <c r="BC280" s="69"/>
      <c r="BD280" s="69"/>
      <c r="BE280" s="69"/>
      <c r="BF280" s="73"/>
      <c r="BG280" s="73"/>
      <c r="BH280" s="71"/>
      <c r="BI280" s="71"/>
      <c r="BJ280" s="68" t="str">
        <f aca="false">IF(B280="","",IF(E280="",Settings!$F$5,E280))</f>
        <v/>
      </c>
      <c r="BK280" s="76" t="str">
        <f aca="false">IF(B280="","",IFERROR(INDEX(Settings!$G$5:$G$10,MATCH(BJ280,Settings!$F$5:$F$10,0)),Settings!$G$5))</f>
        <v/>
      </c>
      <c r="BL280" s="82" t="str">
        <f aca="false">IF(I280="","",IFERROR(1/(1/INDEX(Lists!$C$6:$C$17,MATCH(I280,Lists!$B$6:$B$17,0))),""))</f>
        <v/>
      </c>
      <c r="BM280" s="81" t="str">
        <f aca="false">IF(I280="","",IFERROR(1/(1/INDEX(Lists!$D$6:$D$17,MATCH(I280,Lists!$B$6:$B$17,0))),""))</f>
        <v/>
      </c>
      <c r="BN280" s="76" t="str">
        <f aca="false">IF(AN280="","",MAX(BK280,_xlfn.MAXIFS(AN$6:AN280,BJ$6:BJ280,BJ280)))</f>
        <v/>
      </c>
      <c r="BO280" s="83" t="str">
        <f aca="false">IF(AN280="","",(AN280-BN280)/BN280)</f>
        <v/>
      </c>
      <c r="BP280" s="66" t="n">
        <f aca="false">IF(OR(B280="",AL280=""),0,IF(OR(Settings!$C$28="All Accounts",BJ280=Settings!$C$28),1,0))</f>
        <v>0</v>
      </c>
      <c r="BQ280" s="66" t="str">
        <f aca="false">IF(BP280=1,SUM(BP$6:BP280),"")</f>
        <v/>
      </c>
      <c r="BR280" s="76" t="str">
        <f aca="false">IF(BP280=1,ROUND(Settings!$C$29+SUMIFS(AM$6:AM280,BP$6:BP280,1),2),"")</f>
        <v/>
      </c>
      <c r="BS280" s="76" t="str">
        <f aca="false">IF(BP280=1,MAX(Settings!$C$29,MAX(BR$6:BR280)),"")</f>
        <v/>
      </c>
      <c r="BT280" s="83" t="str">
        <f aca="false">IF(BP280=1,(BR280-BS280)/BS280,"")</f>
        <v/>
      </c>
      <c r="BU280" s="66" t="str">
        <f aca="false">IF(BP280=1,IF(AL280="Win",1+IF(BQ280=1,0,INDEX(BU$5:BU279,MATCH(BQ280-1,BQ$5:BQ279,0))),0),"")</f>
        <v/>
      </c>
      <c r="BV280" s="66" t="str">
        <f aca="false">IF(BP280=1,IF(AL280="Loss",1+IF(BQ280=1,0,INDEX(BV$5:BV279,MATCH(BQ280-1,BQ$5:BQ279,0))),0),"")</f>
        <v/>
      </c>
    </row>
    <row r="281" customFormat="false" ht="15" hidden="false" customHeight="false" outlineLevel="0" collapsed="false">
      <c r="A281" s="66" t="str">
        <f aca="false">IF(B281="","",ROW()-5)</f>
        <v/>
      </c>
      <c r="B281" s="67"/>
      <c r="C281" s="68" t="str">
        <f aca="false">IF(B281="","",CHOOSE(WEEKDAY(B281,2),"Mon","Tue","Wed","Thu","Fri","Sat","Sun"))</f>
        <v/>
      </c>
      <c r="D281" s="66" t="str">
        <f aca="false">IF(B281="","",WEEKNUM(B281,2))</f>
        <v/>
      </c>
      <c r="E281" s="69"/>
      <c r="F281" s="69"/>
      <c r="G281" s="70"/>
      <c r="H281" s="70"/>
      <c r="I281" s="69"/>
      <c r="J281" s="69"/>
      <c r="K281" s="69"/>
      <c r="L281" s="71"/>
      <c r="M281" s="69"/>
      <c r="N281" s="69"/>
      <c r="O281" s="69"/>
      <c r="P281" s="71"/>
      <c r="Q281" s="69"/>
      <c r="R281" s="69"/>
      <c r="S281" s="69"/>
      <c r="T281" s="69"/>
      <c r="U281" s="69"/>
      <c r="V281" s="69"/>
      <c r="W281" s="69"/>
      <c r="X281" s="66" t="str">
        <f aca="false">IF(B281="","",COUNTIF(Q281:W281,"Yes"))</f>
        <v/>
      </c>
      <c r="Y281" s="68" t="str">
        <f aca="false">IF(B281="","",IF(X281&gt;=Settings!$C$16,"A+",IF(X281&gt;=Settings!$C$17,"A",IF(X281&gt;=Settings!$C$18,"B","C"))))</f>
        <v/>
      </c>
      <c r="Z281" s="72"/>
      <c r="AA281" s="72"/>
      <c r="AB281" s="72"/>
      <c r="AC281" s="72"/>
      <c r="AD281" s="72"/>
      <c r="AE281" s="72"/>
      <c r="AF281" s="73"/>
      <c r="AG281" s="74"/>
      <c r="AH281" s="75"/>
      <c r="AI281" s="76" t="str">
        <f aca="false">IF(B281="","",ROUND(IF(AG281="",Settings!$C$5,AG281)*AW281,2))</f>
        <v/>
      </c>
      <c r="AJ281" s="77" t="str">
        <f aca="false">IF(OR(B281="",AB281="",AC281="",AD281=""),"",IFERROR(ROUND(ABS(AD281-AB281)/ABS(AB281-AC281),2),""))</f>
        <v/>
      </c>
      <c r="AK281" s="78" t="str">
        <f aca="false">IF(OR(B281="",AB281="",AC281="",AE281=""),"",IFERROR(ROUND(IF(J281="Short",AB281-AE281,AE281-AB281)/ABS(AB281-AC281),2),""))</f>
        <v/>
      </c>
      <c r="AL281" s="68" t="str">
        <f aca="false">IF(AK281="","",IF(ABS(AK281)&lt;=Settings!$C$6,"BE",IF(AK281&gt;0,"Win","Loss")))</f>
        <v/>
      </c>
      <c r="AM281" s="79" t="str">
        <f aca="false">IF(OR(AK281="",AI281=""),"",ROUND(AK281*AI281-N(AH281),2))</f>
        <v/>
      </c>
      <c r="AN281" s="76" t="str">
        <f aca="false">IF(AM281="","",ROUND(BK281+SUMIFS(AM$6:AM281,BJ$6:BJ281,BJ281),2))</f>
        <v/>
      </c>
      <c r="AO281" s="78" t="str">
        <f aca="false">IF(AK281="","",ROUND(SUMIFS(AK$6:AK281,BJ$6:BJ281,BJ281),2))</f>
        <v/>
      </c>
      <c r="AP281" s="80" t="str">
        <f aca="false">IF(OR(AK281="",BL281=""),"",IFERROR(ROUND(IF(J281="Short",AB281-AE281,AE281-AB281)/BL281,1),""))</f>
        <v/>
      </c>
      <c r="AQ281" s="66" t="str">
        <f aca="false">IF(OR(G281="",H281=""),"",ROUND(MOD(H281-G281,1)*1440,0))</f>
        <v/>
      </c>
      <c r="AR281" s="68" t="str">
        <f aca="false">IF(AQ281="","",IF(AQ281&lt;15,"Under 15m",IF(AQ281&lt;60,"15-60m",IF(AQ281&lt;240,"1-4 hours","4+ hours"))))</f>
        <v/>
      </c>
      <c r="AS281" s="66" t="str">
        <f aca="false">IF(G281="","",HOUR(G281))</f>
        <v/>
      </c>
      <c r="AT281" s="80" t="str">
        <f aca="false">IF(OR(Z281="",AB281="",BL281=""),"",IFERROR(ROUND(IF(J281="Short",Z281-AB281,AB281-Z281)/BL281,1),""))</f>
        <v/>
      </c>
      <c r="AU281" s="68" t="str">
        <f aca="false">IF(OR(AA281="",AC281=""),"",IF(AA281=AC281,"No","Yes"))</f>
        <v/>
      </c>
      <c r="AV281" s="81" t="str">
        <f aca="false">IF(OR(B281="",BL281="",BM281="",AB281="",AC281=""),"",IFERROR(ROUND(AI281/(ABS(AB281-AC281)/BL281*BM281),2),""))</f>
        <v/>
      </c>
      <c r="AW281" s="76" t="str">
        <f aca="false">IF(B281="","",ROUND(BK281+SUMIFS(AM$5:AM280,BJ$5:BJ280,BJ281),2))</f>
        <v/>
      </c>
      <c r="AX281" s="66" t="str">
        <f aca="false">IF(B281="","",COUNTIFS(B$6:B281,B281,BJ$6:BJ281,BJ281))</f>
        <v/>
      </c>
      <c r="AY281" s="79" t="str">
        <f aca="false">IF(B281="","",ROUND(SUMIFS(AM$5:AM280,B$5:B280,B281,BJ$5:BJ280,BJ281),2))</f>
        <v/>
      </c>
      <c r="AZ281" s="79" t="str">
        <f aca="false">IF(AM281="","",ROUND(AY281+AM281,2))</f>
        <v/>
      </c>
      <c r="BA281" s="79" t="str">
        <f aca="false">IF(B281="","",ROUND(SUMIFS(AM$5:AM280,B$5:B280,"&gt;="&amp;(B281-WEEKDAY(B281,2)+1),B$5:B280,"&lt;="&amp;B281,BJ$5:BJ280,BJ281),2))</f>
        <v/>
      </c>
      <c r="BB281" s="68" t="str">
        <f aca="false">IF(B281="","",IF(AND(AF281&lt;&gt;"",AV281&lt;&gt;"",N(AF281)&gt;N(AV281)*(1+Settings!$C$13)),"Oversized",IF(AX281&gt;Settings!$C$10,"Overtraded",IF(AY281&lt;=-Settings!$C$11*(AW281-AY281),"Daily loss hit",IF(BA281&lt;=-Settings!$C$12*(AW281-BA281),"Weekly loss hit","OK")))))</f>
        <v/>
      </c>
      <c r="BC281" s="69"/>
      <c r="BD281" s="69"/>
      <c r="BE281" s="69"/>
      <c r="BF281" s="73"/>
      <c r="BG281" s="73"/>
      <c r="BH281" s="71"/>
      <c r="BI281" s="71"/>
      <c r="BJ281" s="68" t="str">
        <f aca="false">IF(B281="","",IF(E281="",Settings!$F$5,E281))</f>
        <v/>
      </c>
      <c r="BK281" s="76" t="str">
        <f aca="false">IF(B281="","",IFERROR(INDEX(Settings!$G$5:$G$10,MATCH(BJ281,Settings!$F$5:$F$10,0)),Settings!$G$5))</f>
        <v/>
      </c>
      <c r="BL281" s="82" t="str">
        <f aca="false">IF(I281="","",IFERROR(1/(1/INDEX(Lists!$C$6:$C$17,MATCH(I281,Lists!$B$6:$B$17,0))),""))</f>
        <v/>
      </c>
      <c r="BM281" s="81" t="str">
        <f aca="false">IF(I281="","",IFERROR(1/(1/INDEX(Lists!$D$6:$D$17,MATCH(I281,Lists!$B$6:$B$17,0))),""))</f>
        <v/>
      </c>
      <c r="BN281" s="76" t="str">
        <f aca="false">IF(AN281="","",MAX(BK281,_xlfn.MAXIFS(AN$6:AN281,BJ$6:BJ281,BJ281)))</f>
        <v/>
      </c>
      <c r="BO281" s="83" t="str">
        <f aca="false">IF(AN281="","",(AN281-BN281)/BN281)</f>
        <v/>
      </c>
      <c r="BP281" s="66" t="n">
        <f aca="false">IF(OR(B281="",AL281=""),0,IF(OR(Settings!$C$28="All Accounts",BJ281=Settings!$C$28),1,0))</f>
        <v>0</v>
      </c>
      <c r="BQ281" s="66" t="str">
        <f aca="false">IF(BP281=1,SUM(BP$6:BP281),"")</f>
        <v/>
      </c>
      <c r="BR281" s="76" t="str">
        <f aca="false">IF(BP281=1,ROUND(Settings!$C$29+SUMIFS(AM$6:AM281,BP$6:BP281,1),2),"")</f>
        <v/>
      </c>
      <c r="BS281" s="76" t="str">
        <f aca="false">IF(BP281=1,MAX(Settings!$C$29,MAX(BR$6:BR281)),"")</f>
        <v/>
      </c>
      <c r="BT281" s="83" t="str">
        <f aca="false">IF(BP281=1,(BR281-BS281)/BS281,"")</f>
        <v/>
      </c>
      <c r="BU281" s="66" t="str">
        <f aca="false">IF(BP281=1,IF(AL281="Win",1+IF(BQ281=1,0,INDEX(BU$5:BU280,MATCH(BQ281-1,BQ$5:BQ280,0))),0),"")</f>
        <v/>
      </c>
      <c r="BV281" s="66" t="str">
        <f aca="false">IF(BP281=1,IF(AL281="Loss",1+IF(BQ281=1,0,INDEX(BV$5:BV280,MATCH(BQ281-1,BQ$5:BQ280,0))),0),"")</f>
        <v/>
      </c>
    </row>
    <row r="282" customFormat="false" ht="15" hidden="false" customHeight="false" outlineLevel="0" collapsed="false">
      <c r="A282" s="66" t="str">
        <f aca="false">IF(B282="","",ROW()-5)</f>
        <v/>
      </c>
      <c r="B282" s="67"/>
      <c r="C282" s="68" t="str">
        <f aca="false">IF(B282="","",CHOOSE(WEEKDAY(B282,2),"Mon","Tue","Wed","Thu","Fri","Sat","Sun"))</f>
        <v/>
      </c>
      <c r="D282" s="66" t="str">
        <f aca="false">IF(B282="","",WEEKNUM(B282,2))</f>
        <v/>
      </c>
      <c r="E282" s="69"/>
      <c r="F282" s="69"/>
      <c r="G282" s="70"/>
      <c r="H282" s="70"/>
      <c r="I282" s="69"/>
      <c r="J282" s="69"/>
      <c r="K282" s="69"/>
      <c r="L282" s="71"/>
      <c r="M282" s="69"/>
      <c r="N282" s="69"/>
      <c r="O282" s="69"/>
      <c r="P282" s="71"/>
      <c r="Q282" s="69"/>
      <c r="R282" s="69"/>
      <c r="S282" s="69"/>
      <c r="T282" s="69"/>
      <c r="U282" s="69"/>
      <c r="V282" s="69"/>
      <c r="W282" s="69"/>
      <c r="X282" s="66" t="str">
        <f aca="false">IF(B282="","",COUNTIF(Q282:W282,"Yes"))</f>
        <v/>
      </c>
      <c r="Y282" s="68" t="str">
        <f aca="false">IF(B282="","",IF(X282&gt;=Settings!$C$16,"A+",IF(X282&gt;=Settings!$C$17,"A",IF(X282&gt;=Settings!$C$18,"B","C"))))</f>
        <v/>
      </c>
      <c r="Z282" s="72"/>
      <c r="AA282" s="72"/>
      <c r="AB282" s="72"/>
      <c r="AC282" s="72"/>
      <c r="AD282" s="72"/>
      <c r="AE282" s="72"/>
      <c r="AF282" s="73"/>
      <c r="AG282" s="74"/>
      <c r="AH282" s="75"/>
      <c r="AI282" s="76" t="str">
        <f aca="false">IF(B282="","",ROUND(IF(AG282="",Settings!$C$5,AG282)*AW282,2))</f>
        <v/>
      </c>
      <c r="AJ282" s="77" t="str">
        <f aca="false">IF(OR(B282="",AB282="",AC282="",AD282=""),"",IFERROR(ROUND(ABS(AD282-AB282)/ABS(AB282-AC282),2),""))</f>
        <v/>
      </c>
      <c r="AK282" s="78" t="str">
        <f aca="false">IF(OR(B282="",AB282="",AC282="",AE282=""),"",IFERROR(ROUND(IF(J282="Short",AB282-AE282,AE282-AB282)/ABS(AB282-AC282),2),""))</f>
        <v/>
      </c>
      <c r="AL282" s="68" t="str">
        <f aca="false">IF(AK282="","",IF(ABS(AK282)&lt;=Settings!$C$6,"BE",IF(AK282&gt;0,"Win","Loss")))</f>
        <v/>
      </c>
      <c r="AM282" s="79" t="str">
        <f aca="false">IF(OR(AK282="",AI282=""),"",ROUND(AK282*AI282-N(AH282),2))</f>
        <v/>
      </c>
      <c r="AN282" s="76" t="str">
        <f aca="false">IF(AM282="","",ROUND(BK282+SUMIFS(AM$6:AM282,BJ$6:BJ282,BJ282),2))</f>
        <v/>
      </c>
      <c r="AO282" s="78" t="str">
        <f aca="false">IF(AK282="","",ROUND(SUMIFS(AK$6:AK282,BJ$6:BJ282,BJ282),2))</f>
        <v/>
      </c>
      <c r="AP282" s="80" t="str">
        <f aca="false">IF(OR(AK282="",BL282=""),"",IFERROR(ROUND(IF(J282="Short",AB282-AE282,AE282-AB282)/BL282,1),""))</f>
        <v/>
      </c>
      <c r="AQ282" s="66" t="str">
        <f aca="false">IF(OR(G282="",H282=""),"",ROUND(MOD(H282-G282,1)*1440,0))</f>
        <v/>
      </c>
      <c r="AR282" s="68" t="str">
        <f aca="false">IF(AQ282="","",IF(AQ282&lt;15,"Under 15m",IF(AQ282&lt;60,"15-60m",IF(AQ282&lt;240,"1-4 hours","4+ hours"))))</f>
        <v/>
      </c>
      <c r="AS282" s="66" t="str">
        <f aca="false">IF(G282="","",HOUR(G282))</f>
        <v/>
      </c>
      <c r="AT282" s="80" t="str">
        <f aca="false">IF(OR(Z282="",AB282="",BL282=""),"",IFERROR(ROUND(IF(J282="Short",Z282-AB282,AB282-Z282)/BL282,1),""))</f>
        <v/>
      </c>
      <c r="AU282" s="68" t="str">
        <f aca="false">IF(OR(AA282="",AC282=""),"",IF(AA282=AC282,"No","Yes"))</f>
        <v/>
      </c>
      <c r="AV282" s="81" t="str">
        <f aca="false">IF(OR(B282="",BL282="",BM282="",AB282="",AC282=""),"",IFERROR(ROUND(AI282/(ABS(AB282-AC282)/BL282*BM282),2),""))</f>
        <v/>
      </c>
      <c r="AW282" s="76" t="str">
        <f aca="false">IF(B282="","",ROUND(BK282+SUMIFS(AM$5:AM281,BJ$5:BJ281,BJ282),2))</f>
        <v/>
      </c>
      <c r="AX282" s="66" t="str">
        <f aca="false">IF(B282="","",COUNTIFS(B$6:B282,B282,BJ$6:BJ282,BJ282))</f>
        <v/>
      </c>
      <c r="AY282" s="79" t="str">
        <f aca="false">IF(B282="","",ROUND(SUMIFS(AM$5:AM281,B$5:B281,B282,BJ$5:BJ281,BJ282),2))</f>
        <v/>
      </c>
      <c r="AZ282" s="79" t="str">
        <f aca="false">IF(AM282="","",ROUND(AY282+AM282,2))</f>
        <v/>
      </c>
      <c r="BA282" s="79" t="str">
        <f aca="false">IF(B282="","",ROUND(SUMIFS(AM$5:AM281,B$5:B281,"&gt;="&amp;(B282-WEEKDAY(B282,2)+1),B$5:B281,"&lt;="&amp;B282,BJ$5:BJ281,BJ282),2))</f>
        <v/>
      </c>
      <c r="BB282" s="68" t="str">
        <f aca="false">IF(B282="","",IF(AND(AF282&lt;&gt;"",AV282&lt;&gt;"",N(AF282)&gt;N(AV282)*(1+Settings!$C$13)),"Oversized",IF(AX282&gt;Settings!$C$10,"Overtraded",IF(AY282&lt;=-Settings!$C$11*(AW282-AY282),"Daily loss hit",IF(BA282&lt;=-Settings!$C$12*(AW282-BA282),"Weekly loss hit","OK")))))</f>
        <v/>
      </c>
      <c r="BC282" s="69"/>
      <c r="BD282" s="69"/>
      <c r="BE282" s="69"/>
      <c r="BF282" s="73"/>
      <c r="BG282" s="73"/>
      <c r="BH282" s="71"/>
      <c r="BI282" s="71"/>
      <c r="BJ282" s="68" t="str">
        <f aca="false">IF(B282="","",IF(E282="",Settings!$F$5,E282))</f>
        <v/>
      </c>
      <c r="BK282" s="76" t="str">
        <f aca="false">IF(B282="","",IFERROR(INDEX(Settings!$G$5:$G$10,MATCH(BJ282,Settings!$F$5:$F$10,0)),Settings!$G$5))</f>
        <v/>
      </c>
      <c r="BL282" s="82" t="str">
        <f aca="false">IF(I282="","",IFERROR(1/(1/INDEX(Lists!$C$6:$C$17,MATCH(I282,Lists!$B$6:$B$17,0))),""))</f>
        <v/>
      </c>
      <c r="BM282" s="81" t="str">
        <f aca="false">IF(I282="","",IFERROR(1/(1/INDEX(Lists!$D$6:$D$17,MATCH(I282,Lists!$B$6:$B$17,0))),""))</f>
        <v/>
      </c>
      <c r="BN282" s="76" t="str">
        <f aca="false">IF(AN282="","",MAX(BK282,_xlfn.MAXIFS(AN$6:AN282,BJ$6:BJ282,BJ282)))</f>
        <v/>
      </c>
      <c r="BO282" s="83" t="str">
        <f aca="false">IF(AN282="","",(AN282-BN282)/BN282)</f>
        <v/>
      </c>
      <c r="BP282" s="66" t="n">
        <f aca="false">IF(OR(B282="",AL282=""),0,IF(OR(Settings!$C$28="All Accounts",BJ282=Settings!$C$28),1,0))</f>
        <v>0</v>
      </c>
      <c r="BQ282" s="66" t="str">
        <f aca="false">IF(BP282=1,SUM(BP$6:BP282),"")</f>
        <v/>
      </c>
      <c r="BR282" s="76" t="str">
        <f aca="false">IF(BP282=1,ROUND(Settings!$C$29+SUMIFS(AM$6:AM282,BP$6:BP282,1),2),"")</f>
        <v/>
      </c>
      <c r="BS282" s="76" t="str">
        <f aca="false">IF(BP282=1,MAX(Settings!$C$29,MAX(BR$6:BR282)),"")</f>
        <v/>
      </c>
      <c r="BT282" s="83" t="str">
        <f aca="false">IF(BP282=1,(BR282-BS282)/BS282,"")</f>
        <v/>
      </c>
      <c r="BU282" s="66" t="str">
        <f aca="false">IF(BP282=1,IF(AL282="Win",1+IF(BQ282=1,0,INDEX(BU$5:BU281,MATCH(BQ282-1,BQ$5:BQ281,0))),0),"")</f>
        <v/>
      </c>
      <c r="BV282" s="66" t="str">
        <f aca="false">IF(BP282=1,IF(AL282="Loss",1+IF(BQ282=1,0,INDEX(BV$5:BV281,MATCH(BQ282-1,BQ$5:BQ281,0))),0),"")</f>
        <v/>
      </c>
    </row>
    <row r="283" customFormat="false" ht="15" hidden="false" customHeight="false" outlineLevel="0" collapsed="false">
      <c r="A283" s="66" t="str">
        <f aca="false">IF(B283="","",ROW()-5)</f>
        <v/>
      </c>
      <c r="B283" s="67"/>
      <c r="C283" s="68" t="str">
        <f aca="false">IF(B283="","",CHOOSE(WEEKDAY(B283,2),"Mon","Tue","Wed","Thu","Fri","Sat","Sun"))</f>
        <v/>
      </c>
      <c r="D283" s="66" t="str">
        <f aca="false">IF(B283="","",WEEKNUM(B283,2))</f>
        <v/>
      </c>
      <c r="E283" s="69"/>
      <c r="F283" s="69"/>
      <c r="G283" s="70"/>
      <c r="H283" s="70"/>
      <c r="I283" s="69"/>
      <c r="J283" s="69"/>
      <c r="K283" s="69"/>
      <c r="L283" s="71"/>
      <c r="M283" s="69"/>
      <c r="N283" s="69"/>
      <c r="O283" s="69"/>
      <c r="P283" s="71"/>
      <c r="Q283" s="69"/>
      <c r="R283" s="69"/>
      <c r="S283" s="69"/>
      <c r="T283" s="69"/>
      <c r="U283" s="69"/>
      <c r="V283" s="69"/>
      <c r="W283" s="69"/>
      <c r="X283" s="66" t="str">
        <f aca="false">IF(B283="","",COUNTIF(Q283:W283,"Yes"))</f>
        <v/>
      </c>
      <c r="Y283" s="68" t="str">
        <f aca="false">IF(B283="","",IF(X283&gt;=Settings!$C$16,"A+",IF(X283&gt;=Settings!$C$17,"A",IF(X283&gt;=Settings!$C$18,"B","C"))))</f>
        <v/>
      </c>
      <c r="Z283" s="72"/>
      <c r="AA283" s="72"/>
      <c r="AB283" s="72"/>
      <c r="AC283" s="72"/>
      <c r="AD283" s="72"/>
      <c r="AE283" s="72"/>
      <c r="AF283" s="73"/>
      <c r="AG283" s="74"/>
      <c r="AH283" s="75"/>
      <c r="AI283" s="76" t="str">
        <f aca="false">IF(B283="","",ROUND(IF(AG283="",Settings!$C$5,AG283)*AW283,2))</f>
        <v/>
      </c>
      <c r="AJ283" s="77" t="str">
        <f aca="false">IF(OR(B283="",AB283="",AC283="",AD283=""),"",IFERROR(ROUND(ABS(AD283-AB283)/ABS(AB283-AC283),2),""))</f>
        <v/>
      </c>
      <c r="AK283" s="78" t="str">
        <f aca="false">IF(OR(B283="",AB283="",AC283="",AE283=""),"",IFERROR(ROUND(IF(J283="Short",AB283-AE283,AE283-AB283)/ABS(AB283-AC283),2),""))</f>
        <v/>
      </c>
      <c r="AL283" s="68" t="str">
        <f aca="false">IF(AK283="","",IF(ABS(AK283)&lt;=Settings!$C$6,"BE",IF(AK283&gt;0,"Win","Loss")))</f>
        <v/>
      </c>
      <c r="AM283" s="79" t="str">
        <f aca="false">IF(OR(AK283="",AI283=""),"",ROUND(AK283*AI283-N(AH283),2))</f>
        <v/>
      </c>
      <c r="AN283" s="76" t="str">
        <f aca="false">IF(AM283="","",ROUND(BK283+SUMIFS(AM$6:AM283,BJ$6:BJ283,BJ283),2))</f>
        <v/>
      </c>
      <c r="AO283" s="78" t="str">
        <f aca="false">IF(AK283="","",ROUND(SUMIFS(AK$6:AK283,BJ$6:BJ283,BJ283),2))</f>
        <v/>
      </c>
      <c r="AP283" s="80" t="str">
        <f aca="false">IF(OR(AK283="",BL283=""),"",IFERROR(ROUND(IF(J283="Short",AB283-AE283,AE283-AB283)/BL283,1),""))</f>
        <v/>
      </c>
      <c r="AQ283" s="66" t="str">
        <f aca="false">IF(OR(G283="",H283=""),"",ROUND(MOD(H283-G283,1)*1440,0))</f>
        <v/>
      </c>
      <c r="AR283" s="68" t="str">
        <f aca="false">IF(AQ283="","",IF(AQ283&lt;15,"Under 15m",IF(AQ283&lt;60,"15-60m",IF(AQ283&lt;240,"1-4 hours","4+ hours"))))</f>
        <v/>
      </c>
      <c r="AS283" s="66" t="str">
        <f aca="false">IF(G283="","",HOUR(G283))</f>
        <v/>
      </c>
      <c r="AT283" s="80" t="str">
        <f aca="false">IF(OR(Z283="",AB283="",BL283=""),"",IFERROR(ROUND(IF(J283="Short",Z283-AB283,AB283-Z283)/BL283,1),""))</f>
        <v/>
      </c>
      <c r="AU283" s="68" t="str">
        <f aca="false">IF(OR(AA283="",AC283=""),"",IF(AA283=AC283,"No","Yes"))</f>
        <v/>
      </c>
      <c r="AV283" s="81" t="str">
        <f aca="false">IF(OR(B283="",BL283="",BM283="",AB283="",AC283=""),"",IFERROR(ROUND(AI283/(ABS(AB283-AC283)/BL283*BM283),2),""))</f>
        <v/>
      </c>
      <c r="AW283" s="76" t="str">
        <f aca="false">IF(B283="","",ROUND(BK283+SUMIFS(AM$5:AM282,BJ$5:BJ282,BJ283),2))</f>
        <v/>
      </c>
      <c r="AX283" s="66" t="str">
        <f aca="false">IF(B283="","",COUNTIFS(B$6:B283,B283,BJ$6:BJ283,BJ283))</f>
        <v/>
      </c>
      <c r="AY283" s="79" t="str">
        <f aca="false">IF(B283="","",ROUND(SUMIFS(AM$5:AM282,B$5:B282,B283,BJ$5:BJ282,BJ283),2))</f>
        <v/>
      </c>
      <c r="AZ283" s="79" t="str">
        <f aca="false">IF(AM283="","",ROUND(AY283+AM283,2))</f>
        <v/>
      </c>
      <c r="BA283" s="79" t="str">
        <f aca="false">IF(B283="","",ROUND(SUMIFS(AM$5:AM282,B$5:B282,"&gt;="&amp;(B283-WEEKDAY(B283,2)+1),B$5:B282,"&lt;="&amp;B283,BJ$5:BJ282,BJ283),2))</f>
        <v/>
      </c>
      <c r="BB283" s="68" t="str">
        <f aca="false">IF(B283="","",IF(AND(AF283&lt;&gt;"",AV283&lt;&gt;"",N(AF283)&gt;N(AV283)*(1+Settings!$C$13)),"Oversized",IF(AX283&gt;Settings!$C$10,"Overtraded",IF(AY283&lt;=-Settings!$C$11*(AW283-AY283),"Daily loss hit",IF(BA283&lt;=-Settings!$C$12*(AW283-BA283),"Weekly loss hit","OK")))))</f>
        <v/>
      </c>
      <c r="BC283" s="69"/>
      <c r="BD283" s="69"/>
      <c r="BE283" s="69"/>
      <c r="BF283" s="73"/>
      <c r="BG283" s="73"/>
      <c r="BH283" s="71"/>
      <c r="BI283" s="71"/>
      <c r="BJ283" s="68" t="str">
        <f aca="false">IF(B283="","",IF(E283="",Settings!$F$5,E283))</f>
        <v/>
      </c>
      <c r="BK283" s="76" t="str">
        <f aca="false">IF(B283="","",IFERROR(INDEX(Settings!$G$5:$G$10,MATCH(BJ283,Settings!$F$5:$F$10,0)),Settings!$G$5))</f>
        <v/>
      </c>
      <c r="BL283" s="82" t="str">
        <f aca="false">IF(I283="","",IFERROR(1/(1/INDEX(Lists!$C$6:$C$17,MATCH(I283,Lists!$B$6:$B$17,0))),""))</f>
        <v/>
      </c>
      <c r="BM283" s="81" t="str">
        <f aca="false">IF(I283="","",IFERROR(1/(1/INDEX(Lists!$D$6:$D$17,MATCH(I283,Lists!$B$6:$B$17,0))),""))</f>
        <v/>
      </c>
      <c r="BN283" s="76" t="str">
        <f aca="false">IF(AN283="","",MAX(BK283,_xlfn.MAXIFS(AN$6:AN283,BJ$6:BJ283,BJ283)))</f>
        <v/>
      </c>
      <c r="BO283" s="83" t="str">
        <f aca="false">IF(AN283="","",(AN283-BN283)/BN283)</f>
        <v/>
      </c>
      <c r="BP283" s="66" t="n">
        <f aca="false">IF(OR(B283="",AL283=""),0,IF(OR(Settings!$C$28="All Accounts",BJ283=Settings!$C$28),1,0))</f>
        <v>0</v>
      </c>
      <c r="BQ283" s="66" t="str">
        <f aca="false">IF(BP283=1,SUM(BP$6:BP283),"")</f>
        <v/>
      </c>
      <c r="BR283" s="76" t="str">
        <f aca="false">IF(BP283=1,ROUND(Settings!$C$29+SUMIFS(AM$6:AM283,BP$6:BP283,1),2),"")</f>
        <v/>
      </c>
      <c r="BS283" s="76" t="str">
        <f aca="false">IF(BP283=1,MAX(Settings!$C$29,MAX(BR$6:BR283)),"")</f>
        <v/>
      </c>
      <c r="BT283" s="83" t="str">
        <f aca="false">IF(BP283=1,(BR283-BS283)/BS283,"")</f>
        <v/>
      </c>
      <c r="BU283" s="66" t="str">
        <f aca="false">IF(BP283=1,IF(AL283="Win",1+IF(BQ283=1,0,INDEX(BU$5:BU282,MATCH(BQ283-1,BQ$5:BQ282,0))),0),"")</f>
        <v/>
      </c>
      <c r="BV283" s="66" t="str">
        <f aca="false">IF(BP283=1,IF(AL283="Loss",1+IF(BQ283=1,0,INDEX(BV$5:BV282,MATCH(BQ283-1,BQ$5:BQ282,0))),0),"")</f>
        <v/>
      </c>
    </row>
    <row r="284" customFormat="false" ht="15" hidden="false" customHeight="false" outlineLevel="0" collapsed="false">
      <c r="A284" s="66" t="str">
        <f aca="false">IF(B284="","",ROW()-5)</f>
        <v/>
      </c>
      <c r="B284" s="67"/>
      <c r="C284" s="68" t="str">
        <f aca="false">IF(B284="","",CHOOSE(WEEKDAY(B284,2),"Mon","Tue","Wed","Thu","Fri","Sat","Sun"))</f>
        <v/>
      </c>
      <c r="D284" s="66" t="str">
        <f aca="false">IF(B284="","",WEEKNUM(B284,2))</f>
        <v/>
      </c>
      <c r="E284" s="69"/>
      <c r="F284" s="69"/>
      <c r="G284" s="70"/>
      <c r="H284" s="70"/>
      <c r="I284" s="69"/>
      <c r="J284" s="69"/>
      <c r="K284" s="69"/>
      <c r="L284" s="71"/>
      <c r="M284" s="69"/>
      <c r="N284" s="69"/>
      <c r="O284" s="69"/>
      <c r="P284" s="71"/>
      <c r="Q284" s="69"/>
      <c r="R284" s="69"/>
      <c r="S284" s="69"/>
      <c r="T284" s="69"/>
      <c r="U284" s="69"/>
      <c r="V284" s="69"/>
      <c r="W284" s="69"/>
      <c r="X284" s="66" t="str">
        <f aca="false">IF(B284="","",COUNTIF(Q284:W284,"Yes"))</f>
        <v/>
      </c>
      <c r="Y284" s="68" t="str">
        <f aca="false">IF(B284="","",IF(X284&gt;=Settings!$C$16,"A+",IF(X284&gt;=Settings!$C$17,"A",IF(X284&gt;=Settings!$C$18,"B","C"))))</f>
        <v/>
      </c>
      <c r="Z284" s="72"/>
      <c r="AA284" s="72"/>
      <c r="AB284" s="72"/>
      <c r="AC284" s="72"/>
      <c r="AD284" s="72"/>
      <c r="AE284" s="72"/>
      <c r="AF284" s="73"/>
      <c r="AG284" s="74"/>
      <c r="AH284" s="75"/>
      <c r="AI284" s="76" t="str">
        <f aca="false">IF(B284="","",ROUND(IF(AG284="",Settings!$C$5,AG284)*AW284,2))</f>
        <v/>
      </c>
      <c r="AJ284" s="77" t="str">
        <f aca="false">IF(OR(B284="",AB284="",AC284="",AD284=""),"",IFERROR(ROUND(ABS(AD284-AB284)/ABS(AB284-AC284),2),""))</f>
        <v/>
      </c>
      <c r="AK284" s="78" t="str">
        <f aca="false">IF(OR(B284="",AB284="",AC284="",AE284=""),"",IFERROR(ROUND(IF(J284="Short",AB284-AE284,AE284-AB284)/ABS(AB284-AC284),2),""))</f>
        <v/>
      </c>
      <c r="AL284" s="68" t="str">
        <f aca="false">IF(AK284="","",IF(ABS(AK284)&lt;=Settings!$C$6,"BE",IF(AK284&gt;0,"Win","Loss")))</f>
        <v/>
      </c>
      <c r="AM284" s="79" t="str">
        <f aca="false">IF(OR(AK284="",AI284=""),"",ROUND(AK284*AI284-N(AH284),2))</f>
        <v/>
      </c>
      <c r="AN284" s="76" t="str">
        <f aca="false">IF(AM284="","",ROUND(BK284+SUMIFS(AM$6:AM284,BJ$6:BJ284,BJ284),2))</f>
        <v/>
      </c>
      <c r="AO284" s="78" t="str">
        <f aca="false">IF(AK284="","",ROUND(SUMIFS(AK$6:AK284,BJ$6:BJ284,BJ284),2))</f>
        <v/>
      </c>
      <c r="AP284" s="80" t="str">
        <f aca="false">IF(OR(AK284="",BL284=""),"",IFERROR(ROUND(IF(J284="Short",AB284-AE284,AE284-AB284)/BL284,1),""))</f>
        <v/>
      </c>
      <c r="AQ284" s="66" t="str">
        <f aca="false">IF(OR(G284="",H284=""),"",ROUND(MOD(H284-G284,1)*1440,0))</f>
        <v/>
      </c>
      <c r="AR284" s="68" t="str">
        <f aca="false">IF(AQ284="","",IF(AQ284&lt;15,"Under 15m",IF(AQ284&lt;60,"15-60m",IF(AQ284&lt;240,"1-4 hours","4+ hours"))))</f>
        <v/>
      </c>
      <c r="AS284" s="66" t="str">
        <f aca="false">IF(G284="","",HOUR(G284))</f>
        <v/>
      </c>
      <c r="AT284" s="80" t="str">
        <f aca="false">IF(OR(Z284="",AB284="",BL284=""),"",IFERROR(ROUND(IF(J284="Short",Z284-AB284,AB284-Z284)/BL284,1),""))</f>
        <v/>
      </c>
      <c r="AU284" s="68" t="str">
        <f aca="false">IF(OR(AA284="",AC284=""),"",IF(AA284=AC284,"No","Yes"))</f>
        <v/>
      </c>
      <c r="AV284" s="81" t="str">
        <f aca="false">IF(OR(B284="",BL284="",BM284="",AB284="",AC284=""),"",IFERROR(ROUND(AI284/(ABS(AB284-AC284)/BL284*BM284),2),""))</f>
        <v/>
      </c>
      <c r="AW284" s="76" t="str">
        <f aca="false">IF(B284="","",ROUND(BK284+SUMIFS(AM$5:AM283,BJ$5:BJ283,BJ284),2))</f>
        <v/>
      </c>
      <c r="AX284" s="66" t="str">
        <f aca="false">IF(B284="","",COUNTIFS(B$6:B284,B284,BJ$6:BJ284,BJ284))</f>
        <v/>
      </c>
      <c r="AY284" s="79" t="str">
        <f aca="false">IF(B284="","",ROUND(SUMIFS(AM$5:AM283,B$5:B283,B284,BJ$5:BJ283,BJ284),2))</f>
        <v/>
      </c>
      <c r="AZ284" s="79" t="str">
        <f aca="false">IF(AM284="","",ROUND(AY284+AM284,2))</f>
        <v/>
      </c>
      <c r="BA284" s="79" t="str">
        <f aca="false">IF(B284="","",ROUND(SUMIFS(AM$5:AM283,B$5:B283,"&gt;="&amp;(B284-WEEKDAY(B284,2)+1),B$5:B283,"&lt;="&amp;B284,BJ$5:BJ283,BJ284),2))</f>
        <v/>
      </c>
      <c r="BB284" s="68" t="str">
        <f aca="false">IF(B284="","",IF(AND(AF284&lt;&gt;"",AV284&lt;&gt;"",N(AF284)&gt;N(AV284)*(1+Settings!$C$13)),"Oversized",IF(AX284&gt;Settings!$C$10,"Overtraded",IF(AY284&lt;=-Settings!$C$11*(AW284-AY284),"Daily loss hit",IF(BA284&lt;=-Settings!$C$12*(AW284-BA284),"Weekly loss hit","OK")))))</f>
        <v/>
      </c>
      <c r="BC284" s="69"/>
      <c r="BD284" s="69"/>
      <c r="BE284" s="69"/>
      <c r="BF284" s="73"/>
      <c r="BG284" s="73"/>
      <c r="BH284" s="71"/>
      <c r="BI284" s="71"/>
      <c r="BJ284" s="68" t="str">
        <f aca="false">IF(B284="","",IF(E284="",Settings!$F$5,E284))</f>
        <v/>
      </c>
      <c r="BK284" s="76" t="str">
        <f aca="false">IF(B284="","",IFERROR(INDEX(Settings!$G$5:$G$10,MATCH(BJ284,Settings!$F$5:$F$10,0)),Settings!$G$5))</f>
        <v/>
      </c>
      <c r="BL284" s="82" t="str">
        <f aca="false">IF(I284="","",IFERROR(1/(1/INDEX(Lists!$C$6:$C$17,MATCH(I284,Lists!$B$6:$B$17,0))),""))</f>
        <v/>
      </c>
      <c r="BM284" s="81" t="str">
        <f aca="false">IF(I284="","",IFERROR(1/(1/INDEX(Lists!$D$6:$D$17,MATCH(I284,Lists!$B$6:$B$17,0))),""))</f>
        <v/>
      </c>
      <c r="BN284" s="76" t="str">
        <f aca="false">IF(AN284="","",MAX(BK284,_xlfn.MAXIFS(AN$6:AN284,BJ$6:BJ284,BJ284)))</f>
        <v/>
      </c>
      <c r="BO284" s="83" t="str">
        <f aca="false">IF(AN284="","",(AN284-BN284)/BN284)</f>
        <v/>
      </c>
      <c r="BP284" s="66" t="n">
        <f aca="false">IF(OR(B284="",AL284=""),0,IF(OR(Settings!$C$28="All Accounts",BJ284=Settings!$C$28),1,0))</f>
        <v>0</v>
      </c>
      <c r="BQ284" s="66" t="str">
        <f aca="false">IF(BP284=1,SUM(BP$6:BP284),"")</f>
        <v/>
      </c>
      <c r="BR284" s="76" t="str">
        <f aca="false">IF(BP284=1,ROUND(Settings!$C$29+SUMIFS(AM$6:AM284,BP$6:BP284,1),2),"")</f>
        <v/>
      </c>
      <c r="BS284" s="76" t="str">
        <f aca="false">IF(BP284=1,MAX(Settings!$C$29,MAX(BR$6:BR284)),"")</f>
        <v/>
      </c>
      <c r="BT284" s="83" t="str">
        <f aca="false">IF(BP284=1,(BR284-BS284)/BS284,"")</f>
        <v/>
      </c>
      <c r="BU284" s="66" t="str">
        <f aca="false">IF(BP284=1,IF(AL284="Win",1+IF(BQ284=1,0,INDEX(BU$5:BU283,MATCH(BQ284-1,BQ$5:BQ283,0))),0),"")</f>
        <v/>
      </c>
      <c r="BV284" s="66" t="str">
        <f aca="false">IF(BP284=1,IF(AL284="Loss",1+IF(BQ284=1,0,INDEX(BV$5:BV283,MATCH(BQ284-1,BQ$5:BQ283,0))),0),"")</f>
        <v/>
      </c>
    </row>
    <row r="285" customFormat="false" ht="15" hidden="false" customHeight="false" outlineLevel="0" collapsed="false">
      <c r="A285" s="66" t="str">
        <f aca="false">IF(B285="","",ROW()-5)</f>
        <v/>
      </c>
      <c r="B285" s="67"/>
      <c r="C285" s="68" t="str">
        <f aca="false">IF(B285="","",CHOOSE(WEEKDAY(B285,2),"Mon","Tue","Wed","Thu","Fri","Sat","Sun"))</f>
        <v/>
      </c>
      <c r="D285" s="66" t="str">
        <f aca="false">IF(B285="","",WEEKNUM(B285,2))</f>
        <v/>
      </c>
      <c r="E285" s="69"/>
      <c r="F285" s="69"/>
      <c r="G285" s="70"/>
      <c r="H285" s="70"/>
      <c r="I285" s="69"/>
      <c r="J285" s="69"/>
      <c r="K285" s="69"/>
      <c r="L285" s="71"/>
      <c r="M285" s="69"/>
      <c r="N285" s="69"/>
      <c r="O285" s="69"/>
      <c r="P285" s="71"/>
      <c r="Q285" s="69"/>
      <c r="R285" s="69"/>
      <c r="S285" s="69"/>
      <c r="T285" s="69"/>
      <c r="U285" s="69"/>
      <c r="V285" s="69"/>
      <c r="W285" s="69"/>
      <c r="X285" s="66" t="str">
        <f aca="false">IF(B285="","",COUNTIF(Q285:W285,"Yes"))</f>
        <v/>
      </c>
      <c r="Y285" s="68" t="str">
        <f aca="false">IF(B285="","",IF(X285&gt;=Settings!$C$16,"A+",IF(X285&gt;=Settings!$C$17,"A",IF(X285&gt;=Settings!$C$18,"B","C"))))</f>
        <v/>
      </c>
      <c r="Z285" s="72"/>
      <c r="AA285" s="72"/>
      <c r="AB285" s="72"/>
      <c r="AC285" s="72"/>
      <c r="AD285" s="72"/>
      <c r="AE285" s="72"/>
      <c r="AF285" s="73"/>
      <c r="AG285" s="74"/>
      <c r="AH285" s="75"/>
      <c r="AI285" s="76" t="str">
        <f aca="false">IF(B285="","",ROUND(IF(AG285="",Settings!$C$5,AG285)*AW285,2))</f>
        <v/>
      </c>
      <c r="AJ285" s="77" t="str">
        <f aca="false">IF(OR(B285="",AB285="",AC285="",AD285=""),"",IFERROR(ROUND(ABS(AD285-AB285)/ABS(AB285-AC285),2),""))</f>
        <v/>
      </c>
      <c r="AK285" s="78" t="str">
        <f aca="false">IF(OR(B285="",AB285="",AC285="",AE285=""),"",IFERROR(ROUND(IF(J285="Short",AB285-AE285,AE285-AB285)/ABS(AB285-AC285),2),""))</f>
        <v/>
      </c>
      <c r="AL285" s="68" t="str">
        <f aca="false">IF(AK285="","",IF(ABS(AK285)&lt;=Settings!$C$6,"BE",IF(AK285&gt;0,"Win","Loss")))</f>
        <v/>
      </c>
      <c r="AM285" s="79" t="str">
        <f aca="false">IF(OR(AK285="",AI285=""),"",ROUND(AK285*AI285-N(AH285),2))</f>
        <v/>
      </c>
      <c r="AN285" s="76" t="str">
        <f aca="false">IF(AM285="","",ROUND(BK285+SUMIFS(AM$6:AM285,BJ$6:BJ285,BJ285),2))</f>
        <v/>
      </c>
      <c r="AO285" s="78" t="str">
        <f aca="false">IF(AK285="","",ROUND(SUMIFS(AK$6:AK285,BJ$6:BJ285,BJ285),2))</f>
        <v/>
      </c>
      <c r="AP285" s="80" t="str">
        <f aca="false">IF(OR(AK285="",BL285=""),"",IFERROR(ROUND(IF(J285="Short",AB285-AE285,AE285-AB285)/BL285,1),""))</f>
        <v/>
      </c>
      <c r="AQ285" s="66" t="str">
        <f aca="false">IF(OR(G285="",H285=""),"",ROUND(MOD(H285-G285,1)*1440,0))</f>
        <v/>
      </c>
      <c r="AR285" s="68" t="str">
        <f aca="false">IF(AQ285="","",IF(AQ285&lt;15,"Under 15m",IF(AQ285&lt;60,"15-60m",IF(AQ285&lt;240,"1-4 hours","4+ hours"))))</f>
        <v/>
      </c>
      <c r="AS285" s="66" t="str">
        <f aca="false">IF(G285="","",HOUR(G285))</f>
        <v/>
      </c>
      <c r="AT285" s="80" t="str">
        <f aca="false">IF(OR(Z285="",AB285="",BL285=""),"",IFERROR(ROUND(IF(J285="Short",Z285-AB285,AB285-Z285)/BL285,1),""))</f>
        <v/>
      </c>
      <c r="AU285" s="68" t="str">
        <f aca="false">IF(OR(AA285="",AC285=""),"",IF(AA285=AC285,"No","Yes"))</f>
        <v/>
      </c>
      <c r="AV285" s="81" t="str">
        <f aca="false">IF(OR(B285="",BL285="",BM285="",AB285="",AC285=""),"",IFERROR(ROUND(AI285/(ABS(AB285-AC285)/BL285*BM285),2),""))</f>
        <v/>
      </c>
      <c r="AW285" s="76" t="str">
        <f aca="false">IF(B285="","",ROUND(BK285+SUMIFS(AM$5:AM284,BJ$5:BJ284,BJ285),2))</f>
        <v/>
      </c>
      <c r="AX285" s="66" t="str">
        <f aca="false">IF(B285="","",COUNTIFS(B$6:B285,B285,BJ$6:BJ285,BJ285))</f>
        <v/>
      </c>
      <c r="AY285" s="79" t="str">
        <f aca="false">IF(B285="","",ROUND(SUMIFS(AM$5:AM284,B$5:B284,B285,BJ$5:BJ284,BJ285),2))</f>
        <v/>
      </c>
      <c r="AZ285" s="79" t="str">
        <f aca="false">IF(AM285="","",ROUND(AY285+AM285,2))</f>
        <v/>
      </c>
      <c r="BA285" s="79" t="str">
        <f aca="false">IF(B285="","",ROUND(SUMIFS(AM$5:AM284,B$5:B284,"&gt;="&amp;(B285-WEEKDAY(B285,2)+1),B$5:B284,"&lt;="&amp;B285,BJ$5:BJ284,BJ285),2))</f>
        <v/>
      </c>
      <c r="BB285" s="68" t="str">
        <f aca="false">IF(B285="","",IF(AND(AF285&lt;&gt;"",AV285&lt;&gt;"",N(AF285)&gt;N(AV285)*(1+Settings!$C$13)),"Oversized",IF(AX285&gt;Settings!$C$10,"Overtraded",IF(AY285&lt;=-Settings!$C$11*(AW285-AY285),"Daily loss hit",IF(BA285&lt;=-Settings!$C$12*(AW285-BA285),"Weekly loss hit","OK")))))</f>
        <v/>
      </c>
      <c r="BC285" s="69"/>
      <c r="BD285" s="69"/>
      <c r="BE285" s="69"/>
      <c r="BF285" s="73"/>
      <c r="BG285" s="73"/>
      <c r="BH285" s="71"/>
      <c r="BI285" s="71"/>
      <c r="BJ285" s="68" t="str">
        <f aca="false">IF(B285="","",IF(E285="",Settings!$F$5,E285))</f>
        <v/>
      </c>
      <c r="BK285" s="76" t="str">
        <f aca="false">IF(B285="","",IFERROR(INDEX(Settings!$G$5:$G$10,MATCH(BJ285,Settings!$F$5:$F$10,0)),Settings!$G$5))</f>
        <v/>
      </c>
      <c r="BL285" s="82" t="str">
        <f aca="false">IF(I285="","",IFERROR(1/(1/INDEX(Lists!$C$6:$C$17,MATCH(I285,Lists!$B$6:$B$17,0))),""))</f>
        <v/>
      </c>
      <c r="BM285" s="81" t="str">
        <f aca="false">IF(I285="","",IFERROR(1/(1/INDEX(Lists!$D$6:$D$17,MATCH(I285,Lists!$B$6:$B$17,0))),""))</f>
        <v/>
      </c>
      <c r="BN285" s="76" t="str">
        <f aca="false">IF(AN285="","",MAX(BK285,_xlfn.MAXIFS(AN$6:AN285,BJ$6:BJ285,BJ285)))</f>
        <v/>
      </c>
      <c r="BO285" s="83" t="str">
        <f aca="false">IF(AN285="","",(AN285-BN285)/BN285)</f>
        <v/>
      </c>
      <c r="BP285" s="66" t="n">
        <f aca="false">IF(OR(B285="",AL285=""),0,IF(OR(Settings!$C$28="All Accounts",BJ285=Settings!$C$28),1,0))</f>
        <v>0</v>
      </c>
      <c r="BQ285" s="66" t="str">
        <f aca="false">IF(BP285=1,SUM(BP$6:BP285),"")</f>
        <v/>
      </c>
      <c r="BR285" s="76" t="str">
        <f aca="false">IF(BP285=1,ROUND(Settings!$C$29+SUMIFS(AM$6:AM285,BP$6:BP285,1),2),"")</f>
        <v/>
      </c>
      <c r="BS285" s="76" t="str">
        <f aca="false">IF(BP285=1,MAX(Settings!$C$29,MAX(BR$6:BR285)),"")</f>
        <v/>
      </c>
      <c r="BT285" s="83" t="str">
        <f aca="false">IF(BP285=1,(BR285-BS285)/BS285,"")</f>
        <v/>
      </c>
      <c r="BU285" s="66" t="str">
        <f aca="false">IF(BP285=1,IF(AL285="Win",1+IF(BQ285=1,0,INDEX(BU$5:BU284,MATCH(BQ285-1,BQ$5:BQ284,0))),0),"")</f>
        <v/>
      </c>
      <c r="BV285" s="66" t="str">
        <f aca="false">IF(BP285=1,IF(AL285="Loss",1+IF(BQ285=1,0,INDEX(BV$5:BV284,MATCH(BQ285-1,BQ$5:BQ284,0))),0),"")</f>
        <v/>
      </c>
    </row>
    <row r="286" customFormat="false" ht="15" hidden="false" customHeight="false" outlineLevel="0" collapsed="false">
      <c r="A286" s="66" t="str">
        <f aca="false">IF(B286="","",ROW()-5)</f>
        <v/>
      </c>
      <c r="B286" s="67"/>
      <c r="C286" s="68" t="str">
        <f aca="false">IF(B286="","",CHOOSE(WEEKDAY(B286,2),"Mon","Tue","Wed","Thu","Fri","Sat","Sun"))</f>
        <v/>
      </c>
      <c r="D286" s="66" t="str">
        <f aca="false">IF(B286="","",WEEKNUM(B286,2))</f>
        <v/>
      </c>
      <c r="E286" s="69"/>
      <c r="F286" s="69"/>
      <c r="G286" s="70"/>
      <c r="H286" s="70"/>
      <c r="I286" s="69"/>
      <c r="J286" s="69"/>
      <c r="K286" s="69"/>
      <c r="L286" s="71"/>
      <c r="M286" s="69"/>
      <c r="N286" s="69"/>
      <c r="O286" s="69"/>
      <c r="P286" s="71"/>
      <c r="Q286" s="69"/>
      <c r="R286" s="69"/>
      <c r="S286" s="69"/>
      <c r="T286" s="69"/>
      <c r="U286" s="69"/>
      <c r="V286" s="69"/>
      <c r="W286" s="69"/>
      <c r="X286" s="66" t="str">
        <f aca="false">IF(B286="","",COUNTIF(Q286:W286,"Yes"))</f>
        <v/>
      </c>
      <c r="Y286" s="68" t="str">
        <f aca="false">IF(B286="","",IF(X286&gt;=Settings!$C$16,"A+",IF(X286&gt;=Settings!$C$17,"A",IF(X286&gt;=Settings!$C$18,"B","C"))))</f>
        <v/>
      </c>
      <c r="Z286" s="72"/>
      <c r="AA286" s="72"/>
      <c r="AB286" s="72"/>
      <c r="AC286" s="72"/>
      <c r="AD286" s="72"/>
      <c r="AE286" s="72"/>
      <c r="AF286" s="73"/>
      <c r="AG286" s="74"/>
      <c r="AH286" s="75"/>
      <c r="AI286" s="76" t="str">
        <f aca="false">IF(B286="","",ROUND(IF(AG286="",Settings!$C$5,AG286)*AW286,2))</f>
        <v/>
      </c>
      <c r="AJ286" s="77" t="str">
        <f aca="false">IF(OR(B286="",AB286="",AC286="",AD286=""),"",IFERROR(ROUND(ABS(AD286-AB286)/ABS(AB286-AC286),2),""))</f>
        <v/>
      </c>
      <c r="AK286" s="78" t="str">
        <f aca="false">IF(OR(B286="",AB286="",AC286="",AE286=""),"",IFERROR(ROUND(IF(J286="Short",AB286-AE286,AE286-AB286)/ABS(AB286-AC286),2),""))</f>
        <v/>
      </c>
      <c r="AL286" s="68" t="str">
        <f aca="false">IF(AK286="","",IF(ABS(AK286)&lt;=Settings!$C$6,"BE",IF(AK286&gt;0,"Win","Loss")))</f>
        <v/>
      </c>
      <c r="AM286" s="79" t="str">
        <f aca="false">IF(OR(AK286="",AI286=""),"",ROUND(AK286*AI286-N(AH286),2))</f>
        <v/>
      </c>
      <c r="AN286" s="76" t="str">
        <f aca="false">IF(AM286="","",ROUND(BK286+SUMIFS(AM$6:AM286,BJ$6:BJ286,BJ286),2))</f>
        <v/>
      </c>
      <c r="AO286" s="78" t="str">
        <f aca="false">IF(AK286="","",ROUND(SUMIFS(AK$6:AK286,BJ$6:BJ286,BJ286),2))</f>
        <v/>
      </c>
      <c r="AP286" s="80" t="str">
        <f aca="false">IF(OR(AK286="",BL286=""),"",IFERROR(ROUND(IF(J286="Short",AB286-AE286,AE286-AB286)/BL286,1),""))</f>
        <v/>
      </c>
      <c r="AQ286" s="66" t="str">
        <f aca="false">IF(OR(G286="",H286=""),"",ROUND(MOD(H286-G286,1)*1440,0))</f>
        <v/>
      </c>
      <c r="AR286" s="68" t="str">
        <f aca="false">IF(AQ286="","",IF(AQ286&lt;15,"Under 15m",IF(AQ286&lt;60,"15-60m",IF(AQ286&lt;240,"1-4 hours","4+ hours"))))</f>
        <v/>
      </c>
      <c r="AS286" s="66" t="str">
        <f aca="false">IF(G286="","",HOUR(G286))</f>
        <v/>
      </c>
      <c r="AT286" s="80" t="str">
        <f aca="false">IF(OR(Z286="",AB286="",BL286=""),"",IFERROR(ROUND(IF(J286="Short",Z286-AB286,AB286-Z286)/BL286,1),""))</f>
        <v/>
      </c>
      <c r="AU286" s="68" t="str">
        <f aca="false">IF(OR(AA286="",AC286=""),"",IF(AA286=AC286,"No","Yes"))</f>
        <v/>
      </c>
      <c r="AV286" s="81" t="str">
        <f aca="false">IF(OR(B286="",BL286="",BM286="",AB286="",AC286=""),"",IFERROR(ROUND(AI286/(ABS(AB286-AC286)/BL286*BM286),2),""))</f>
        <v/>
      </c>
      <c r="AW286" s="76" t="str">
        <f aca="false">IF(B286="","",ROUND(BK286+SUMIFS(AM$5:AM285,BJ$5:BJ285,BJ286),2))</f>
        <v/>
      </c>
      <c r="AX286" s="66" t="str">
        <f aca="false">IF(B286="","",COUNTIFS(B$6:B286,B286,BJ$6:BJ286,BJ286))</f>
        <v/>
      </c>
      <c r="AY286" s="79" t="str">
        <f aca="false">IF(B286="","",ROUND(SUMIFS(AM$5:AM285,B$5:B285,B286,BJ$5:BJ285,BJ286),2))</f>
        <v/>
      </c>
      <c r="AZ286" s="79" t="str">
        <f aca="false">IF(AM286="","",ROUND(AY286+AM286,2))</f>
        <v/>
      </c>
      <c r="BA286" s="79" t="str">
        <f aca="false">IF(B286="","",ROUND(SUMIFS(AM$5:AM285,B$5:B285,"&gt;="&amp;(B286-WEEKDAY(B286,2)+1),B$5:B285,"&lt;="&amp;B286,BJ$5:BJ285,BJ286),2))</f>
        <v/>
      </c>
      <c r="BB286" s="68" t="str">
        <f aca="false">IF(B286="","",IF(AND(AF286&lt;&gt;"",AV286&lt;&gt;"",N(AF286)&gt;N(AV286)*(1+Settings!$C$13)),"Oversized",IF(AX286&gt;Settings!$C$10,"Overtraded",IF(AY286&lt;=-Settings!$C$11*(AW286-AY286),"Daily loss hit",IF(BA286&lt;=-Settings!$C$12*(AW286-BA286),"Weekly loss hit","OK")))))</f>
        <v/>
      </c>
      <c r="BC286" s="69"/>
      <c r="BD286" s="69"/>
      <c r="BE286" s="69"/>
      <c r="BF286" s="73"/>
      <c r="BG286" s="73"/>
      <c r="BH286" s="71"/>
      <c r="BI286" s="71"/>
      <c r="BJ286" s="68" t="str">
        <f aca="false">IF(B286="","",IF(E286="",Settings!$F$5,E286))</f>
        <v/>
      </c>
      <c r="BK286" s="76" t="str">
        <f aca="false">IF(B286="","",IFERROR(INDEX(Settings!$G$5:$G$10,MATCH(BJ286,Settings!$F$5:$F$10,0)),Settings!$G$5))</f>
        <v/>
      </c>
      <c r="BL286" s="82" t="str">
        <f aca="false">IF(I286="","",IFERROR(1/(1/INDEX(Lists!$C$6:$C$17,MATCH(I286,Lists!$B$6:$B$17,0))),""))</f>
        <v/>
      </c>
      <c r="BM286" s="81" t="str">
        <f aca="false">IF(I286="","",IFERROR(1/(1/INDEX(Lists!$D$6:$D$17,MATCH(I286,Lists!$B$6:$B$17,0))),""))</f>
        <v/>
      </c>
      <c r="BN286" s="76" t="str">
        <f aca="false">IF(AN286="","",MAX(BK286,_xlfn.MAXIFS(AN$6:AN286,BJ$6:BJ286,BJ286)))</f>
        <v/>
      </c>
      <c r="BO286" s="83" t="str">
        <f aca="false">IF(AN286="","",(AN286-BN286)/BN286)</f>
        <v/>
      </c>
      <c r="BP286" s="66" t="n">
        <f aca="false">IF(OR(B286="",AL286=""),0,IF(OR(Settings!$C$28="All Accounts",BJ286=Settings!$C$28),1,0))</f>
        <v>0</v>
      </c>
      <c r="BQ286" s="66" t="str">
        <f aca="false">IF(BP286=1,SUM(BP$6:BP286),"")</f>
        <v/>
      </c>
      <c r="BR286" s="76" t="str">
        <f aca="false">IF(BP286=1,ROUND(Settings!$C$29+SUMIFS(AM$6:AM286,BP$6:BP286,1),2),"")</f>
        <v/>
      </c>
      <c r="BS286" s="76" t="str">
        <f aca="false">IF(BP286=1,MAX(Settings!$C$29,MAX(BR$6:BR286)),"")</f>
        <v/>
      </c>
      <c r="BT286" s="83" t="str">
        <f aca="false">IF(BP286=1,(BR286-BS286)/BS286,"")</f>
        <v/>
      </c>
      <c r="BU286" s="66" t="str">
        <f aca="false">IF(BP286=1,IF(AL286="Win",1+IF(BQ286=1,0,INDEX(BU$5:BU285,MATCH(BQ286-1,BQ$5:BQ285,0))),0),"")</f>
        <v/>
      </c>
      <c r="BV286" s="66" t="str">
        <f aca="false">IF(BP286=1,IF(AL286="Loss",1+IF(BQ286=1,0,INDEX(BV$5:BV285,MATCH(BQ286-1,BQ$5:BQ285,0))),0),"")</f>
        <v/>
      </c>
    </row>
    <row r="287" customFormat="false" ht="15" hidden="false" customHeight="false" outlineLevel="0" collapsed="false">
      <c r="A287" s="66" t="str">
        <f aca="false">IF(B287="","",ROW()-5)</f>
        <v/>
      </c>
      <c r="B287" s="67"/>
      <c r="C287" s="68" t="str">
        <f aca="false">IF(B287="","",CHOOSE(WEEKDAY(B287,2),"Mon","Tue","Wed","Thu","Fri","Sat","Sun"))</f>
        <v/>
      </c>
      <c r="D287" s="66" t="str">
        <f aca="false">IF(B287="","",WEEKNUM(B287,2))</f>
        <v/>
      </c>
      <c r="E287" s="69"/>
      <c r="F287" s="69"/>
      <c r="G287" s="70"/>
      <c r="H287" s="70"/>
      <c r="I287" s="69"/>
      <c r="J287" s="69"/>
      <c r="K287" s="69"/>
      <c r="L287" s="71"/>
      <c r="M287" s="69"/>
      <c r="N287" s="69"/>
      <c r="O287" s="69"/>
      <c r="P287" s="71"/>
      <c r="Q287" s="69"/>
      <c r="R287" s="69"/>
      <c r="S287" s="69"/>
      <c r="T287" s="69"/>
      <c r="U287" s="69"/>
      <c r="V287" s="69"/>
      <c r="W287" s="69"/>
      <c r="X287" s="66" t="str">
        <f aca="false">IF(B287="","",COUNTIF(Q287:W287,"Yes"))</f>
        <v/>
      </c>
      <c r="Y287" s="68" t="str">
        <f aca="false">IF(B287="","",IF(X287&gt;=Settings!$C$16,"A+",IF(X287&gt;=Settings!$C$17,"A",IF(X287&gt;=Settings!$C$18,"B","C"))))</f>
        <v/>
      </c>
      <c r="Z287" s="72"/>
      <c r="AA287" s="72"/>
      <c r="AB287" s="72"/>
      <c r="AC287" s="72"/>
      <c r="AD287" s="72"/>
      <c r="AE287" s="72"/>
      <c r="AF287" s="73"/>
      <c r="AG287" s="74"/>
      <c r="AH287" s="75"/>
      <c r="AI287" s="76" t="str">
        <f aca="false">IF(B287="","",ROUND(IF(AG287="",Settings!$C$5,AG287)*AW287,2))</f>
        <v/>
      </c>
      <c r="AJ287" s="77" t="str">
        <f aca="false">IF(OR(B287="",AB287="",AC287="",AD287=""),"",IFERROR(ROUND(ABS(AD287-AB287)/ABS(AB287-AC287),2),""))</f>
        <v/>
      </c>
      <c r="AK287" s="78" t="str">
        <f aca="false">IF(OR(B287="",AB287="",AC287="",AE287=""),"",IFERROR(ROUND(IF(J287="Short",AB287-AE287,AE287-AB287)/ABS(AB287-AC287),2),""))</f>
        <v/>
      </c>
      <c r="AL287" s="68" t="str">
        <f aca="false">IF(AK287="","",IF(ABS(AK287)&lt;=Settings!$C$6,"BE",IF(AK287&gt;0,"Win","Loss")))</f>
        <v/>
      </c>
      <c r="AM287" s="79" t="str">
        <f aca="false">IF(OR(AK287="",AI287=""),"",ROUND(AK287*AI287-N(AH287),2))</f>
        <v/>
      </c>
      <c r="AN287" s="76" t="str">
        <f aca="false">IF(AM287="","",ROUND(BK287+SUMIFS(AM$6:AM287,BJ$6:BJ287,BJ287),2))</f>
        <v/>
      </c>
      <c r="AO287" s="78" t="str">
        <f aca="false">IF(AK287="","",ROUND(SUMIFS(AK$6:AK287,BJ$6:BJ287,BJ287),2))</f>
        <v/>
      </c>
      <c r="AP287" s="80" t="str">
        <f aca="false">IF(OR(AK287="",BL287=""),"",IFERROR(ROUND(IF(J287="Short",AB287-AE287,AE287-AB287)/BL287,1),""))</f>
        <v/>
      </c>
      <c r="AQ287" s="66" t="str">
        <f aca="false">IF(OR(G287="",H287=""),"",ROUND(MOD(H287-G287,1)*1440,0))</f>
        <v/>
      </c>
      <c r="AR287" s="68" t="str">
        <f aca="false">IF(AQ287="","",IF(AQ287&lt;15,"Under 15m",IF(AQ287&lt;60,"15-60m",IF(AQ287&lt;240,"1-4 hours","4+ hours"))))</f>
        <v/>
      </c>
      <c r="AS287" s="66" t="str">
        <f aca="false">IF(G287="","",HOUR(G287))</f>
        <v/>
      </c>
      <c r="AT287" s="80" t="str">
        <f aca="false">IF(OR(Z287="",AB287="",BL287=""),"",IFERROR(ROUND(IF(J287="Short",Z287-AB287,AB287-Z287)/BL287,1),""))</f>
        <v/>
      </c>
      <c r="AU287" s="68" t="str">
        <f aca="false">IF(OR(AA287="",AC287=""),"",IF(AA287=AC287,"No","Yes"))</f>
        <v/>
      </c>
      <c r="AV287" s="81" t="str">
        <f aca="false">IF(OR(B287="",BL287="",BM287="",AB287="",AC287=""),"",IFERROR(ROUND(AI287/(ABS(AB287-AC287)/BL287*BM287),2),""))</f>
        <v/>
      </c>
      <c r="AW287" s="76" t="str">
        <f aca="false">IF(B287="","",ROUND(BK287+SUMIFS(AM$5:AM286,BJ$5:BJ286,BJ287),2))</f>
        <v/>
      </c>
      <c r="AX287" s="66" t="str">
        <f aca="false">IF(B287="","",COUNTIFS(B$6:B287,B287,BJ$6:BJ287,BJ287))</f>
        <v/>
      </c>
      <c r="AY287" s="79" t="str">
        <f aca="false">IF(B287="","",ROUND(SUMIFS(AM$5:AM286,B$5:B286,B287,BJ$5:BJ286,BJ287),2))</f>
        <v/>
      </c>
      <c r="AZ287" s="79" t="str">
        <f aca="false">IF(AM287="","",ROUND(AY287+AM287,2))</f>
        <v/>
      </c>
      <c r="BA287" s="79" t="str">
        <f aca="false">IF(B287="","",ROUND(SUMIFS(AM$5:AM286,B$5:B286,"&gt;="&amp;(B287-WEEKDAY(B287,2)+1),B$5:B286,"&lt;="&amp;B287,BJ$5:BJ286,BJ287),2))</f>
        <v/>
      </c>
      <c r="BB287" s="68" t="str">
        <f aca="false">IF(B287="","",IF(AND(AF287&lt;&gt;"",AV287&lt;&gt;"",N(AF287)&gt;N(AV287)*(1+Settings!$C$13)),"Oversized",IF(AX287&gt;Settings!$C$10,"Overtraded",IF(AY287&lt;=-Settings!$C$11*(AW287-AY287),"Daily loss hit",IF(BA287&lt;=-Settings!$C$12*(AW287-BA287),"Weekly loss hit","OK")))))</f>
        <v/>
      </c>
      <c r="BC287" s="69"/>
      <c r="BD287" s="69"/>
      <c r="BE287" s="69"/>
      <c r="BF287" s="73"/>
      <c r="BG287" s="73"/>
      <c r="BH287" s="71"/>
      <c r="BI287" s="71"/>
      <c r="BJ287" s="68" t="str">
        <f aca="false">IF(B287="","",IF(E287="",Settings!$F$5,E287))</f>
        <v/>
      </c>
      <c r="BK287" s="76" t="str">
        <f aca="false">IF(B287="","",IFERROR(INDEX(Settings!$G$5:$G$10,MATCH(BJ287,Settings!$F$5:$F$10,0)),Settings!$G$5))</f>
        <v/>
      </c>
      <c r="BL287" s="82" t="str">
        <f aca="false">IF(I287="","",IFERROR(1/(1/INDEX(Lists!$C$6:$C$17,MATCH(I287,Lists!$B$6:$B$17,0))),""))</f>
        <v/>
      </c>
      <c r="BM287" s="81" t="str">
        <f aca="false">IF(I287="","",IFERROR(1/(1/INDEX(Lists!$D$6:$D$17,MATCH(I287,Lists!$B$6:$B$17,0))),""))</f>
        <v/>
      </c>
      <c r="BN287" s="76" t="str">
        <f aca="false">IF(AN287="","",MAX(BK287,_xlfn.MAXIFS(AN$6:AN287,BJ$6:BJ287,BJ287)))</f>
        <v/>
      </c>
      <c r="BO287" s="83" t="str">
        <f aca="false">IF(AN287="","",(AN287-BN287)/BN287)</f>
        <v/>
      </c>
      <c r="BP287" s="66" t="n">
        <f aca="false">IF(OR(B287="",AL287=""),0,IF(OR(Settings!$C$28="All Accounts",BJ287=Settings!$C$28),1,0))</f>
        <v>0</v>
      </c>
      <c r="BQ287" s="66" t="str">
        <f aca="false">IF(BP287=1,SUM(BP$6:BP287),"")</f>
        <v/>
      </c>
      <c r="BR287" s="76" t="str">
        <f aca="false">IF(BP287=1,ROUND(Settings!$C$29+SUMIFS(AM$6:AM287,BP$6:BP287,1),2),"")</f>
        <v/>
      </c>
      <c r="BS287" s="76" t="str">
        <f aca="false">IF(BP287=1,MAX(Settings!$C$29,MAX(BR$6:BR287)),"")</f>
        <v/>
      </c>
      <c r="BT287" s="83" t="str">
        <f aca="false">IF(BP287=1,(BR287-BS287)/BS287,"")</f>
        <v/>
      </c>
      <c r="BU287" s="66" t="str">
        <f aca="false">IF(BP287=1,IF(AL287="Win",1+IF(BQ287=1,0,INDEX(BU$5:BU286,MATCH(BQ287-1,BQ$5:BQ286,0))),0),"")</f>
        <v/>
      </c>
      <c r="BV287" s="66" t="str">
        <f aca="false">IF(BP287=1,IF(AL287="Loss",1+IF(BQ287=1,0,INDEX(BV$5:BV286,MATCH(BQ287-1,BQ$5:BQ286,0))),0),"")</f>
        <v/>
      </c>
    </row>
    <row r="288" customFormat="false" ht="15" hidden="false" customHeight="false" outlineLevel="0" collapsed="false">
      <c r="A288" s="66" t="str">
        <f aca="false">IF(B288="","",ROW()-5)</f>
        <v/>
      </c>
      <c r="B288" s="67"/>
      <c r="C288" s="68" t="str">
        <f aca="false">IF(B288="","",CHOOSE(WEEKDAY(B288,2),"Mon","Tue","Wed","Thu","Fri","Sat","Sun"))</f>
        <v/>
      </c>
      <c r="D288" s="66" t="str">
        <f aca="false">IF(B288="","",WEEKNUM(B288,2))</f>
        <v/>
      </c>
      <c r="E288" s="69"/>
      <c r="F288" s="69"/>
      <c r="G288" s="70"/>
      <c r="H288" s="70"/>
      <c r="I288" s="69"/>
      <c r="J288" s="69"/>
      <c r="K288" s="69"/>
      <c r="L288" s="71"/>
      <c r="M288" s="69"/>
      <c r="N288" s="69"/>
      <c r="O288" s="69"/>
      <c r="P288" s="71"/>
      <c r="Q288" s="69"/>
      <c r="R288" s="69"/>
      <c r="S288" s="69"/>
      <c r="T288" s="69"/>
      <c r="U288" s="69"/>
      <c r="V288" s="69"/>
      <c r="W288" s="69"/>
      <c r="X288" s="66" t="str">
        <f aca="false">IF(B288="","",COUNTIF(Q288:W288,"Yes"))</f>
        <v/>
      </c>
      <c r="Y288" s="68" t="str">
        <f aca="false">IF(B288="","",IF(X288&gt;=Settings!$C$16,"A+",IF(X288&gt;=Settings!$C$17,"A",IF(X288&gt;=Settings!$C$18,"B","C"))))</f>
        <v/>
      </c>
      <c r="Z288" s="72"/>
      <c r="AA288" s="72"/>
      <c r="AB288" s="72"/>
      <c r="AC288" s="72"/>
      <c r="AD288" s="72"/>
      <c r="AE288" s="72"/>
      <c r="AF288" s="73"/>
      <c r="AG288" s="74"/>
      <c r="AH288" s="75"/>
      <c r="AI288" s="76" t="str">
        <f aca="false">IF(B288="","",ROUND(IF(AG288="",Settings!$C$5,AG288)*AW288,2))</f>
        <v/>
      </c>
      <c r="AJ288" s="77" t="str">
        <f aca="false">IF(OR(B288="",AB288="",AC288="",AD288=""),"",IFERROR(ROUND(ABS(AD288-AB288)/ABS(AB288-AC288),2),""))</f>
        <v/>
      </c>
      <c r="AK288" s="78" t="str">
        <f aca="false">IF(OR(B288="",AB288="",AC288="",AE288=""),"",IFERROR(ROUND(IF(J288="Short",AB288-AE288,AE288-AB288)/ABS(AB288-AC288),2),""))</f>
        <v/>
      </c>
      <c r="AL288" s="68" t="str">
        <f aca="false">IF(AK288="","",IF(ABS(AK288)&lt;=Settings!$C$6,"BE",IF(AK288&gt;0,"Win","Loss")))</f>
        <v/>
      </c>
      <c r="AM288" s="79" t="str">
        <f aca="false">IF(OR(AK288="",AI288=""),"",ROUND(AK288*AI288-N(AH288),2))</f>
        <v/>
      </c>
      <c r="AN288" s="76" t="str">
        <f aca="false">IF(AM288="","",ROUND(BK288+SUMIFS(AM$6:AM288,BJ$6:BJ288,BJ288),2))</f>
        <v/>
      </c>
      <c r="AO288" s="78" t="str">
        <f aca="false">IF(AK288="","",ROUND(SUMIFS(AK$6:AK288,BJ$6:BJ288,BJ288),2))</f>
        <v/>
      </c>
      <c r="AP288" s="80" t="str">
        <f aca="false">IF(OR(AK288="",BL288=""),"",IFERROR(ROUND(IF(J288="Short",AB288-AE288,AE288-AB288)/BL288,1),""))</f>
        <v/>
      </c>
      <c r="AQ288" s="66" t="str">
        <f aca="false">IF(OR(G288="",H288=""),"",ROUND(MOD(H288-G288,1)*1440,0))</f>
        <v/>
      </c>
      <c r="AR288" s="68" t="str">
        <f aca="false">IF(AQ288="","",IF(AQ288&lt;15,"Under 15m",IF(AQ288&lt;60,"15-60m",IF(AQ288&lt;240,"1-4 hours","4+ hours"))))</f>
        <v/>
      </c>
      <c r="AS288" s="66" t="str">
        <f aca="false">IF(G288="","",HOUR(G288))</f>
        <v/>
      </c>
      <c r="AT288" s="80" t="str">
        <f aca="false">IF(OR(Z288="",AB288="",BL288=""),"",IFERROR(ROUND(IF(J288="Short",Z288-AB288,AB288-Z288)/BL288,1),""))</f>
        <v/>
      </c>
      <c r="AU288" s="68" t="str">
        <f aca="false">IF(OR(AA288="",AC288=""),"",IF(AA288=AC288,"No","Yes"))</f>
        <v/>
      </c>
      <c r="AV288" s="81" t="str">
        <f aca="false">IF(OR(B288="",BL288="",BM288="",AB288="",AC288=""),"",IFERROR(ROUND(AI288/(ABS(AB288-AC288)/BL288*BM288),2),""))</f>
        <v/>
      </c>
      <c r="AW288" s="76" t="str">
        <f aca="false">IF(B288="","",ROUND(BK288+SUMIFS(AM$5:AM287,BJ$5:BJ287,BJ288),2))</f>
        <v/>
      </c>
      <c r="AX288" s="66" t="str">
        <f aca="false">IF(B288="","",COUNTIFS(B$6:B288,B288,BJ$6:BJ288,BJ288))</f>
        <v/>
      </c>
      <c r="AY288" s="79" t="str">
        <f aca="false">IF(B288="","",ROUND(SUMIFS(AM$5:AM287,B$5:B287,B288,BJ$5:BJ287,BJ288),2))</f>
        <v/>
      </c>
      <c r="AZ288" s="79" t="str">
        <f aca="false">IF(AM288="","",ROUND(AY288+AM288,2))</f>
        <v/>
      </c>
      <c r="BA288" s="79" t="str">
        <f aca="false">IF(B288="","",ROUND(SUMIFS(AM$5:AM287,B$5:B287,"&gt;="&amp;(B288-WEEKDAY(B288,2)+1),B$5:B287,"&lt;="&amp;B288,BJ$5:BJ287,BJ288),2))</f>
        <v/>
      </c>
      <c r="BB288" s="68" t="str">
        <f aca="false">IF(B288="","",IF(AND(AF288&lt;&gt;"",AV288&lt;&gt;"",N(AF288)&gt;N(AV288)*(1+Settings!$C$13)),"Oversized",IF(AX288&gt;Settings!$C$10,"Overtraded",IF(AY288&lt;=-Settings!$C$11*(AW288-AY288),"Daily loss hit",IF(BA288&lt;=-Settings!$C$12*(AW288-BA288),"Weekly loss hit","OK")))))</f>
        <v/>
      </c>
      <c r="BC288" s="69"/>
      <c r="BD288" s="69"/>
      <c r="BE288" s="69"/>
      <c r="BF288" s="73"/>
      <c r="BG288" s="73"/>
      <c r="BH288" s="71"/>
      <c r="BI288" s="71"/>
      <c r="BJ288" s="68" t="str">
        <f aca="false">IF(B288="","",IF(E288="",Settings!$F$5,E288))</f>
        <v/>
      </c>
      <c r="BK288" s="76" t="str">
        <f aca="false">IF(B288="","",IFERROR(INDEX(Settings!$G$5:$G$10,MATCH(BJ288,Settings!$F$5:$F$10,0)),Settings!$G$5))</f>
        <v/>
      </c>
      <c r="BL288" s="82" t="str">
        <f aca="false">IF(I288="","",IFERROR(1/(1/INDEX(Lists!$C$6:$C$17,MATCH(I288,Lists!$B$6:$B$17,0))),""))</f>
        <v/>
      </c>
      <c r="BM288" s="81" t="str">
        <f aca="false">IF(I288="","",IFERROR(1/(1/INDEX(Lists!$D$6:$D$17,MATCH(I288,Lists!$B$6:$B$17,0))),""))</f>
        <v/>
      </c>
      <c r="BN288" s="76" t="str">
        <f aca="false">IF(AN288="","",MAX(BK288,_xlfn.MAXIFS(AN$6:AN288,BJ$6:BJ288,BJ288)))</f>
        <v/>
      </c>
      <c r="BO288" s="83" t="str">
        <f aca="false">IF(AN288="","",(AN288-BN288)/BN288)</f>
        <v/>
      </c>
      <c r="BP288" s="66" t="n">
        <f aca="false">IF(OR(B288="",AL288=""),0,IF(OR(Settings!$C$28="All Accounts",BJ288=Settings!$C$28),1,0))</f>
        <v>0</v>
      </c>
      <c r="BQ288" s="66" t="str">
        <f aca="false">IF(BP288=1,SUM(BP$6:BP288),"")</f>
        <v/>
      </c>
      <c r="BR288" s="76" t="str">
        <f aca="false">IF(BP288=1,ROUND(Settings!$C$29+SUMIFS(AM$6:AM288,BP$6:BP288,1),2),"")</f>
        <v/>
      </c>
      <c r="BS288" s="76" t="str">
        <f aca="false">IF(BP288=1,MAX(Settings!$C$29,MAX(BR$6:BR288)),"")</f>
        <v/>
      </c>
      <c r="BT288" s="83" t="str">
        <f aca="false">IF(BP288=1,(BR288-BS288)/BS288,"")</f>
        <v/>
      </c>
      <c r="BU288" s="66" t="str">
        <f aca="false">IF(BP288=1,IF(AL288="Win",1+IF(BQ288=1,0,INDEX(BU$5:BU287,MATCH(BQ288-1,BQ$5:BQ287,0))),0),"")</f>
        <v/>
      </c>
      <c r="BV288" s="66" t="str">
        <f aca="false">IF(BP288=1,IF(AL288="Loss",1+IF(BQ288=1,0,INDEX(BV$5:BV287,MATCH(BQ288-1,BQ$5:BQ287,0))),0),"")</f>
        <v/>
      </c>
    </row>
    <row r="289" customFormat="false" ht="15" hidden="false" customHeight="false" outlineLevel="0" collapsed="false">
      <c r="A289" s="66" t="str">
        <f aca="false">IF(B289="","",ROW()-5)</f>
        <v/>
      </c>
      <c r="B289" s="67"/>
      <c r="C289" s="68" t="str">
        <f aca="false">IF(B289="","",CHOOSE(WEEKDAY(B289,2),"Mon","Tue","Wed","Thu","Fri","Sat","Sun"))</f>
        <v/>
      </c>
      <c r="D289" s="66" t="str">
        <f aca="false">IF(B289="","",WEEKNUM(B289,2))</f>
        <v/>
      </c>
      <c r="E289" s="69"/>
      <c r="F289" s="69"/>
      <c r="G289" s="70"/>
      <c r="H289" s="70"/>
      <c r="I289" s="69"/>
      <c r="J289" s="69"/>
      <c r="K289" s="69"/>
      <c r="L289" s="71"/>
      <c r="M289" s="69"/>
      <c r="N289" s="69"/>
      <c r="O289" s="69"/>
      <c r="P289" s="71"/>
      <c r="Q289" s="69"/>
      <c r="R289" s="69"/>
      <c r="S289" s="69"/>
      <c r="T289" s="69"/>
      <c r="U289" s="69"/>
      <c r="V289" s="69"/>
      <c r="W289" s="69"/>
      <c r="X289" s="66" t="str">
        <f aca="false">IF(B289="","",COUNTIF(Q289:W289,"Yes"))</f>
        <v/>
      </c>
      <c r="Y289" s="68" t="str">
        <f aca="false">IF(B289="","",IF(X289&gt;=Settings!$C$16,"A+",IF(X289&gt;=Settings!$C$17,"A",IF(X289&gt;=Settings!$C$18,"B","C"))))</f>
        <v/>
      </c>
      <c r="Z289" s="72"/>
      <c r="AA289" s="72"/>
      <c r="AB289" s="72"/>
      <c r="AC289" s="72"/>
      <c r="AD289" s="72"/>
      <c r="AE289" s="72"/>
      <c r="AF289" s="73"/>
      <c r="AG289" s="74"/>
      <c r="AH289" s="75"/>
      <c r="AI289" s="76" t="str">
        <f aca="false">IF(B289="","",ROUND(IF(AG289="",Settings!$C$5,AG289)*AW289,2))</f>
        <v/>
      </c>
      <c r="AJ289" s="77" t="str">
        <f aca="false">IF(OR(B289="",AB289="",AC289="",AD289=""),"",IFERROR(ROUND(ABS(AD289-AB289)/ABS(AB289-AC289),2),""))</f>
        <v/>
      </c>
      <c r="AK289" s="78" t="str">
        <f aca="false">IF(OR(B289="",AB289="",AC289="",AE289=""),"",IFERROR(ROUND(IF(J289="Short",AB289-AE289,AE289-AB289)/ABS(AB289-AC289),2),""))</f>
        <v/>
      </c>
      <c r="AL289" s="68" t="str">
        <f aca="false">IF(AK289="","",IF(ABS(AK289)&lt;=Settings!$C$6,"BE",IF(AK289&gt;0,"Win","Loss")))</f>
        <v/>
      </c>
      <c r="AM289" s="79" t="str">
        <f aca="false">IF(OR(AK289="",AI289=""),"",ROUND(AK289*AI289-N(AH289),2))</f>
        <v/>
      </c>
      <c r="AN289" s="76" t="str">
        <f aca="false">IF(AM289="","",ROUND(BK289+SUMIFS(AM$6:AM289,BJ$6:BJ289,BJ289),2))</f>
        <v/>
      </c>
      <c r="AO289" s="78" t="str">
        <f aca="false">IF(AK289="","",ROUND(SUMIFS(AK$6:AK289,BJ$6:BJ289,BJ289),2))</f>
        <v/>
      </c>
      <c r="AP289" s="80" t="str">
        <f aca="false">IF(OR(AK289="",BL289=""),"",IFERROR(ROUND(IF(J289="Short",AB289-AE289,AE289-AB289)/BL289,1),""))</f>
        <v/>
      </c>
      <c r="AQ289" s="66" t="str">
        <f aca="false">IF(OR(G289="",H289=""),"",ROUND(MOD(H289-G289,1)*1440,0))</f>
        <v/>
      </c>
      <c r="AR289" s="68" t="str">
        <f aca="false">IF(AQ289="","",IF(AQ289&lt;15,"Under 15m",IF(AQ289&lt;60,"15-60m",IF(AQ289&lt;240,"1-4 hours","4+ hours"))))</f>
        <v/>
      </c>
      <c r="AS289" s="66" t="str">
        <f aca="false">IF(G289="","",HOUR(G289))</f>
        <v/>
      </c>
      <c r="AT289" s="80" t="str">
        <f aca="false">IF(OR(Z289="",AB289="",BL289=""),"",IFERROR(ROUND(IF(J289="Short",Z289-AB289,AB289-Z289)/BL289,1),""))</f>
        <v/>
      </c>
      <c r="AU289" s="68" t="str">
        <f aca="false">IF(OR(AA289="",AC289=""),"",IF(AA289=AC289,"No","Yes"))</f>
        <v/>
      </c>
      <c r="AV289" s="81" t="str">
        <f aca="false">IF(OR(B289="",BL289="",BM289="",AB289="",AC289=""),"",IFERROR(ROUND(AI289/(ABS(AB289-AC289)/BL289*BM289),2),""))</f>
        <v/>
      </c>
      <c r="AW289" s="76" t="str">
        <f aca="false">IF(B289="","",ROUND(BK289+SUMIFS(AM$5:AM288,BJ$5:BJ288,BJ289),2))</f>
        <v/>
      </c>
      <c r="AX289" s="66" t="str">
        <f aca="false">IF(B289="","",COUNTIFS(B$6:B289,B289,BJ$6:BJ289,BJ289))</f>
        <v/>
      </c>
      <c r="AY289" s="79" t="str">
        <f aca="false">IF(B289="","",ROUND(SUMIFS(AM$5:AM288,B$5:B288,B289,BJ$5:BJ288,BJ289),2))</f>
        <v/>
      </c>
      <c r="AZ289" s="79" t="str">
        <f aca="false">IF(AM289="","",ROUND(AY289+AM289,2))</f>
        <v/>
      </c>
      <c r="BA289" s="79" t="str">
        <f aca="false">IF(B289="","",ROUND(SUMIFS(AM$5:AM288,B$5:B288,"&gt;="&amp;(B289-WEEKDAY(B289,2)+1),B$5:B288,"&lt;="&amp;B289,BJ$5:BJ288,BJ289),2))</f>
        <v/>
      </c>
      <c r="BB289" s="68" t="str">
        <f aca="false">IF(B289="","",IF(AND(AF289&lt;&gt;"",AV289&lt;&gt;"",N(AF289)&gt;N(AV289)*(1+Settings!$C$13)),"Oversized",IF(AX289&gt;Settings!$C$10,"Overtraded",IF(AY289&lt;=-Settings!$C$11*(AW289-AY289),"Daily loss hit",IF(BA289&lt;=-Settings!$C$12*(AW289-BA289),"Weekly loss hit","OK")))))</f>
        <v/>
      </c>
      <c r="BC289" s="69"/>
      <c r="BD289" s="69"/>
      <c r="BE289" s="69"/>
      <c r="BF289" s="73"/>
      <c r="BG289" s="73"/>
      <c r="BH289" s="71"/>
      <c r="BI289" s="71"/>
      <c r="BJ289" s="68" t="str">
        <f aca="false">IF(B289="","",IF(E289="",Settings!$F$5,E289))</f>
        <v/>
      </c>
      <c r="BK289" s="76" t="str">
        <f aca="false">IF(B289="","",IFERROR(INDEX(Settings!$G$5:$G$10,MATCH(BJ289,Settings!$F$5:$F$10,0)),Settings!$G$5))</f>
        <v/>
      </c>
      <c r="BL289" s="82" t="str">
        <f aca="false">IF(I289="","",IFERROR(1/(1/INDEX(Lists!$C$6:$C$17,MATCH(I289,Lists!$B$6:$B$17,0))),""))</f>
        <v/>
      </c>
      <c r="BM289" s="81" t="str">
        <f aca="false">IF(I289="","",IFERROR(1/(1/INDEX(Lists!$D$6:$D$17,MATCH(I289,Lists!$B$6:$B$17,0))),""))</f>
        <v/>
      </c>
      <c r="BN289" s="76" t="str">
        <f aca="false">IF(AN289="","",MAX(BK289,_xlfn.MAXIFS(AN$6:AN289,BJ$6:BJ289,BJ289)))</f>
        <v/>
      </c>
      <c r="BO289" s="83" t="str">
        <f aca="false">IF(AN289="","",(AN289-BN289)/BN289)</f>
        <v/>
      </c>
      <c r="BP289" s="66" t="n">
        <f aca="false">IF(OR(B289="",AL289=""),0,IF(OR(Settings!$C$28="All Accounts",BJ289=Settings!$C$28),1,0))</f>
        <v>0</v>
      </c>
      <c r="BQ289" s="66" t="str">
        <f aca="false">IF(BP289=1,SUM(BP$6:BP289),"")</f>
        <v/>
      </c>
      <c r="BR289" s="76" t="str">
        <f aca="false">IF(BP289=1,ROUND(Settings!$C$29+SUMIFS(AM$6:AM289,BP$6:BP289,1),2),"")</f>
        <v/>
      </c>
      <c r="BS289" s="76" t="str">
        <f aca="false">IF(BP289=1,MAX(Settings!$C$29,MAX(BR$6:BR289)),"")</f>
        <v/>
      </c>
      <c r="BT289" s="83" t="str">
        <f aca="false">IF(BP289=1,(BR289-BS289)/BS289,"")</f>
        <v/>
      </c>
      <c r="BU289" s="66" t="str">
        <f aca="false">IF(BP289=1,IF(AL289="Win",1+IF(BQ289=1,0,INDEX(BU$5:BU288,MATCH(BQ289-1,BQ$5:BQ288,0))),0),"")</f>
        <v/>
      </c>
      <c r="BV289" s="66" t="str">
        <f aca="false">IF(BP289=1,IF(AL289="Loss",1+IF(BQ289=1,0,INDEX(BV$5:BV288,MATCH(BQ289-1,BQ$5:BQ288,0))),0),"")</f>
        <v/>
      </c>
    </row>
    <row r="290" customFormat="false" ht="15" hidden="false" customHeight="false" outlineLevel="0" collapsed="false">
      <c r="A290" s="66" t="str">
        <f aca="false">IF(B290="","",ROW()-5)</f>
        <v/>
      </c>
      <c r="B290" s="67"/>
      <c r="C290" s="68" t="str">
        <f aca="false">IF(B290="","",CHOOSE(WEEKDAY(B290,2),"Mon","Tue","Wed","Thu","Fri","Sat","Sun"))</f>
        <v/>
      </c>
      <c r="D290" s="66" t="str">
        <f aca="false">IF(B290="","",WEEKNUM(B290,2))</f>
        <v/>
      </c>
      <c r="E290" s="69"/>
      <c r="F290" s="69"/>
      <c r="G290" s="70"/>
      <c r="H290" s="70"/>
      <c r="I290" s="69"/>
      <c r="J290" s="69"/>
      <c r="K290" s="69"/>
      <c r="L290" s="71"/>
      <c r="M290" s="69"/>
      <c r="N290" s="69"/>
      <c r="O290" s="69"/>
      <c r="P290" s="71"/>
      <c r="Q290" s="69"/>
      <c r="R290" s="69"/>
      <c r="S290" s="69"/>
      <c r="T290" s="69"/>
      <c r="U290" s="69"/>
      <c r="V290" s="69"/>
      <c r="W290" s="69"/>
      <c r="X290" s="66" t="str">
        <f aca="false">IF(B290="","",COUNTIF(Q290:W290,"Yes"))</f>
        <v/>
      </c>
      <c r="Y290" s="68" t="str">
        <f aca="false">IF(B290="","",IF(X290&gt;=Settings!$C$16,"A+",IF(X290&gt;=Settings!$C$17,"A",IF(X290&gt;=Settings!$C$18,"B","C"))))</f>
        <v/>
      </c>
      <c r="Z290" s="72"/>
      <c r="AA290" s="72"/>
      <c r="AB290" s="72"/>
      <c r="AC290" s="72"/>
      <c r="AD290" s="72"/>
      <c r="AE290" s="72"/>
      <c r="AF290" s="73"/>
      <c r="AG290" s="74"/>
      <c r="AH290" s="75"/>
      <c r="AI290" s="76" t="str">
        <f aca="false">IF(B290="","",ROUND(IF(AG290="",Settings!$C$5,AG290)*AW290,2))</f>
        <v/>
      </c>
      <c r="AJ290" s="77" t="str">
        <f aca="false">IF(OR(B290="",AB290="",AC290="",AD290=""),"",IFERROR(ROUND(ABS(AD290-AB290)/ABS(AB290-AC290),2),""))</f>
        <v/>
      </c>
      <c r="AK290" s="78" t="str">
        <f aca="false">IF(OR(B290="",AB290="",AC290="",AE290=""),"",IFERROR(ROUND(IF(J290="Short",AB290-AE290,AE290-AB290)/ABS(AB290-AC290),2),""))</f>
        <v/>
      </c>
      <c r="AL290" s="68" t="str">
        <f aca="false">IF(AK290="","",IF(ABS(AK290)&lt;=Settings!$C$6,"BE",IF(AK290&gt;0,"Win","Loss")))</f>
        <v/>
      </c>
      <c r="AM290" s="79" t="str">
        <f aca="false">IF(OR(AK290="",AI290=""),"",ROUND(AK290*AI290-N(AH290),2))</f>
        <v/>
      </c>
      <c r="AN290" s="76" t="str">
        <f aca="false">IF(AM290="","",ROUND(BK290+SUMIFS(AM$6:AM290,BJ$6:BJ290,BJ290),2))</f>
        <v/>
      </c>
      <c r="AO290" s="78" t="str">
        <f aca="false">IF(AK290="","",ROUND(SUMIFS(AK$6:AK290,BJ$6:BJ290,BJ290),2))</f>
        <v/>
      </c>
      <c r="AP290" s="80" t="str">
        <f aca="false">IF(OR(AK290="",BL290=""),"",IFERROR(ROUND(IF(J290="Short",AB290-AE290,AE290-AB290)/BL290,1),""))</f>
        <v/>
      </c>
      <c r="AQ290" s="66" t="str">
        <f aca="false">IF(OR(G290="",H290=""),"",ROUND(MOD(H290-G290,1)*1440,0))</f>
        <v/>
      </c>
      <c r="AR290" s="68" t="str">
        <f aca="false">IF(AQ290="","",IF(AQ290&lt;15,"Under 15m",IF(AQ290&lt;60,"15-60m",IF(AQ290&lt;240,"1-4 hours","4+ hours"))))</f>
        <v/>
      </c>
      <c r="AS290" s="66" t="str">
        <f aca="false">IF(G290="","",HOUR(G290))</f>
        <v/>
      </c>
      <c r="AT290" s="80" t="str">
        <f aca="false">IF(OR(Z290="",AB290="",BL290=""),"",IFERROR(ROUND(IF(J290="Short",Z290-AB290,AB290-Z290)/BL290,1),""))</f>
        <v/>
      </c>
      <c r="AU290" s="68" t="str">
        <f aca="false">IF(OR(AA290="",AC290=""),"",IF(AA290=AC290,"No","Yes"))</f>
        <v/>
      </c>
      <c r="AV290" s="81" t="str">
        <f aca="false">IF(OR(B290="",BL290="",BM290="",AB290="",AC290=""),"",IFERROR(ROUND(AI290/(ABS(AB290-AC290)/BL290*BM290),2),""))</f>
        <v/>
      </c>
      <c r="AW290" s="76" t="str">
        <f aca="false">IF(B290="","",ROUND(BK290+SUMIFS(AM$5:AM289,BJ$5:BJ289,BJ290),2))</f>
        <v/>
      </c>
      <c r="AX290" s="66" t="str">
        <f aca="false">IF(B290="","",COUNTIFS(B$6:B290,B290,BJ$6:BJ290,BJ290))</f>
        <v/>
      </c>
      <c r="AY290" s="79" t="str">
        <f aca="false">IF(B290="","",ROUND(SUMIFS(AM$5:AM289,B$5:B289,B290,BJ$5:BJ289,BJ290),2))</f>
        <v/>
      </c>
      <c r="AZ290" s="79" t="str">
        <f aca="false">IF(AM290="","",ROUND(AY290+AM290,2))</f>
        <v/>
      </c>
      <c r="BA290" s="79" t="str">
        <f aca="false">IF(B290="","",ROUND(SUMIFS(AM$5:AM289,B$5:B289,"&gt;="&amp;(B290-WEEKDAY(B290,2)+1),B$5:B289,"&lt;="&amp;B290,BJ$5:BJ289,BJ290),2))</f>
        <v/>
      </c>
      <c r="BB290" s="68" t="str">
        <f aca="false">IF(B290="","",IF(AND(AF290&lt;&gt;"",AV290&lt;&gt;"",N(AF290)&gt;N(AV290)*(1+Settings!$C$13)),"Oversized",IF(AX290&gt;Settings!$C$10,"Overtraded",IF(AY290&lt;=-Settings!$C$11*(AW290-AY290),"Daily loss hit",IF(BA290&lt;=-Settings!$C$12*(AW290-BA290),"Weekly loss hit","OK")))))</f>
        <v/>
      </c>
      <c r="BC290" s="69"/>
      <c r="BD290" s="69"/>
      <c r="BE290" s="69"/>
      <c r="BF290" s="73"/>
      <c r="BG290" s="73"/>
      <c r="BH290" s="71"/>
      <c r="BI290" s="71"/>
      <c r="BJ290" s="68" t="str">
        <f aca="false">IF(B290="","",IF(E290="",Settings!$F$5,E290))</f>
        <v/>
      </c>
      <c r="BK290" s="76" t="str">
        <f aca="false">IF(B290="","",IFERROR(INDEX(Settings!$G$5:$G$10,MATCH(BJ290,Settings!$F$5:$F$10,0)),Settings!$G$5))</f>
        <v/>
      </c>
      <c r="BL290" s="82" t="str">
        <f aca="false">IF(I290="","",IFERROR(1/(1/INDEX(Lists!$C$6:$C$17,MATCH(I290,Lists!$B$6:$B$17,0))),""))</f>
        <v/>
      </c>
      <c r="BM290" s="81" t="str">
        <f aca="false">IF(I290="","",IFERROR(1/(1/INDEX(Lists!$D$6:$D$17,MATCH(I290,Lists!$B$6:$B$17,0))),""))</f>
        <v/>
      </c>
      <c r="BN290" s="76" t="str">
        <f aca="false">IF(AN290="","",MAX(BK290,_xlfn.MAXIFS(AN$6:AN290,BJ$6:BJ290,BJ290)))</f>
        <v/>
      </c>
      <c r="BO290" s="83" t="str">
        <f aca="false">IF(AN290="","",(AN290-BN290)/BN290)</f>
        <v/>
      </c>
      <c r="BP290" s="66" t="n">
        <f aca="false">IF(OR(B290="",AL290=""),0,IF(OR(Settings!$C$28="All Accounts",BJ290=Settings!$C$28),1,0))</f>
        <v>0</v>
      </c>
      <c r="BQ290" s="66" t="str">
        <f aca="false">IF(BP290=1,SUM(BP$6:BP290),"")</f>
        <v/>
      </c>
      <c r="BR290" s="76" t="str">
        <f aca="false">IF(BP290=1,ROUND(Settings!$C$29+SUMIFS(AM$6:AM290,BP$6:BP290,1),2),"")</f>
        <v/>
      </c>
      <c r="BS290" s="76" t="str">
        <f aca="false">IF(BP290=1,MAX(Settings!$C$29,MAX(BR$6:BR290)),"")</f>
        <v/>
      </c>
      <c r="BT290" s="83" t="str">
        <f aca="false">IF(BP290=1,(BR290-BS290)/BS290,"")</f>
        <v/>
      </c>
      <c r="BU290" s="66" t="str">
        <f aca="false">IF(BP290=1,IF(AL290="Win",1+IF(BQ290=1,0,INDEX(BU$5:BU289,MATCH(BQ290-1,BQ$5:BQ289,0))),0),"")</f>
        <v/>
      </c>
      <c r="BV290" s="66" t="str">
        <f aca="false">IF(BP290=1,IF(AL290="Loss",1+IF(BQ290=1,0,INDEX(BV$5:BV289,MATCH(BQ290-1,BQ$5:BQ289,0))),0),"")</f>
        <v/>
      </c>
    </row>
    <row r="291" customFormat="false" ht="15" hidden="false" customHeight="false" outlineLevel="0" collapsed="false">
      <c r="A291" s="66" t="str">
        <f aca="false">IF(B291="","",ROW()-5)</f>
        <v/>
      </c>
      <c r="B291" s="67"/>
      <c r="C291" s="68" t="str">
        <f aca="false">IF(B291="","",CHOOSE(WEEKDAY(B291,2),"Mon","Tue","Wed","Thu","Fri","Sat","Sun"))</f>
        <v/>
      </c>
      <c r="D291" s="66" t="str">
        <f aca="false">IF(B291="","",WEEKNUM(B291,2))</f>
        <v/>
      </c>
      <c r="E291" s="69"/>
      <c r="F291" s="69"/>
      <c r="G291" s="70"/>
      <c r="H291" s="70"/>
      <c r="I291" s="69"/>
      <c r="J291" s="69"/>
      <c r="K291" s="69"/>
      <c r="L291" s="71"/>
      <c r="M291" s="69"/>
      <c r="N291" s="69"/>
      <c r="O291" s="69"/>
      <c r="P291" s="71"/>
      <c r="Q291" s="69"/>
      <c r="R291" s="69"/>
      <c r="S291" s="69"/>
      <c r="T291" s="69"/>
      <c r="U291" s="69"/>
      <c r="V291" s="69"/>
      <c r="W291" s="69"/>
      <c r="X291" s="66" t="str">
        <f aca="false">IF(B291="","",COUNTIF(Q291:W291,"Yes"))</f>
        <v/>
      </c>
      <c r="Y291" s="68" t="str">
        <f aca="false">IF(B291="","",IF(X291&gt;=Settings!$C$16,"A+",IF(X291&gt;=Settings!$C$17,"A",IF(X291&gt;=Settings!$C$18,"B","C"))))</f>
        <v/>
      </c>
      <c r="Z291" s="72"/>
      <c r="AA291" s="72"/>
      <c r="AB291" s="72"/>
      <c r="AC291" s="72"/>
      <c r="AD291" s="72"/>
      <c r="AE291" s="72"/>
      <c r="AF291" s="73"/>
      <c r="AG291" s="74"/>
      <c r="AH291" s="75"/>
      <c r="AI291" s="76" t="str">
        <f aca="false">IF(B291="","",ROUND(IF(AG291="",Settings!$C$5,AG291)*AW291,2))</f>
        <v/>
      </c>
      <c r="AJ291" s="77" t="str">
        <f aca="false">IF(OR(B291="",AB291="",AC291="",AD291=""),"",IFERROR(ROUND(ABS(AD291-AB291)/ABS(AB291-AC291),2),""))</f>
        <v/>
      </c>
      <c r="AK291" s="78" t="str">
        <f aca="false">IF(OR(B291="",AB291="",AC291="",AE291=""),"",IFERROR(ROUND(IF(J291="Short",AB291-AE291,AE291-AB291)/ABS(AB291-AC291),2),""))</f>
        <v/>
      </c>
      <c r="AL291" s="68" t="str">
        <f aca="false">IF(AK291="","",IF(ABS(AK291)&lt;=Settings!$C$6,"BE",IF(AK291&gt;0,"Win","Loss")))</f>
        <v/>
      </c>
      <c r="AM291" s="79" t="str">
        <f aca="false">IF(OR(AK291="",AI291=""),"",ROUND(AK291*AI291-N(AH291),2))</f>
        <v/>
      </c>
      <c r="AN291" s="76" t="str">
        <f aca="false">IF(AM291="","",ROUND(BK291+SUMIFS(AM$6:AM291,BJ$6:BJ291,BJ291),2))</f>
        <v/>
      </c>
      <c r="AO291" s="78" t="str">
        <f aca="false">IF(AK291="","",ROUND(SUMIFS(AK$6:AK291,BJ$6:BJ291,BJ291),2))</f>
        <v/>
      </c>
      <c r="AP291" s="80" t="str">
        <f aca="false">IF(OR(AK291="",BL291=""),"",IFERROR(ROUND(IF(J291="Short",AB291-AE291,AE291-AB291)/BL291,1),""))</f>
        <v/>
      </c>
      <c r="AQ291" s="66" t="str">
        <f aca="false">IF(OR(G291="",H291=""),"",ROUND(MOD(H291-G291,1)*1440,0))</f>
        <v/>
      </c>
      <c r="AR291" s="68" t="str">
        <f aca="false">IF(AQ291="","",IF(AQ291&lt;15,"Under 15m",IF(AQ291&lt;60,"15-60m",IF(AQ291&lt;240,"1-4 hours","4+ hours"))))</f>
        <v/>
      </c>
      <c r="AS291" s="66" t="str">
        <f aca="false">IF(G291="","",HOUR(G291))</f>
        <v/>
      </c>
      <c r="AT291" s="80" t="str">
        <f aca="false">IF(OR(Z291="",AB291="",BL291=""),"",IFERROR(ROUND(IF(J291="Short",Z291-AB291,AB291-Z291)/BL291,1),""))</f>
        <v/>
      </c>
      <c r="AU291" s="68" t="str">
        <f aca="false">IF(OR(AA291="",AC291=""),"",IF(AA291=AC291,"No","Yes"))</f>
        <v/>
      </c>
      <c r="AV291" s="81" t="str">
        <f aca="false">IF(OR(B291="",BL291="",BM291="",AB291="",AC291=""),"",IFERROR(ROUND(AI291/(ABS(AB291-AC291)/BL291*BM291),2),""))</f>
        <v/>
      </c>
      <c r="AW291" s="76" t="str">
        <f aca="false">IF(B291="","",ROUND(BK291+SUMIFS(AM$5:AM290,BJ$5:BJ290,BJ291),2))</f>
        <v/>
      </c>
      <c r="AX291" s="66" t="str">
        <f aca="false">IF(B291="","",COUNTIFS(B$6:B291,B291,BJ$6:BJ291,BJ291))</f>
        <v/>
      </c>
      <c r="AY291" s="79" t="str">
        <f aca="false">IF(B291="","",ROUND(SUMIFS(AM$5:AM290,B$5:B290,B291,BJ$5:BJ290,BJ291),2))</f>
        <v/>
      </c>
      <c r="AZ291" s="79" t="str">
        <f aca="false">IF(AM291="","",ROUND(AY291+AM291,2))</f>
        <v/>
      </c>
      <c r="BA291" s="79" t="str">
        <f aca="false">IF(B291="","",ROUND(SUMIFS(AM$5:AM290,B$5:B290,"&gt;="&amp;(B291-WEEKDAY(B291,2)+1),B$5:B290,"&lt;="&amp;B291,BJ$5:BJ290,BJ291),2))</f>
        <v/>
      </c>
      <c r="BB291" s="68" t="str">
        <f aca="false">IF(B291="","",IF(AND(AF291&lt;&gt;"",AV291&lt;&gt;"",N(AF291)&gt;N(AV291)*(1+Settings!$C$13)),"Oversized",IF(AX291&gt;Settings!$C$10,"Overtraded",IF(AY291&lt;=-Settings!$C$11*(AW291-AY291),"Daily loss hit",IF(BA291&lt;=-Settings!$C$12*(AW291-BA291),"Weekly loss hit","OK")))))</f>
        <v/>
      </c>
      <c r="BC291" s="69"/>
      <c r="BD291" s="69"/>
      <c r="BE291" s="69"/>
      <c r="BF291" s="73"/>
      <c r="BG291" s="73"/>
      <c r="BH291" s="71"/>
      <c r="BI291" s="71"/>
      <c r="BJ291" s="68" t="str">
        <f aca="false">IF(B291="","",IF(E291="",Settings!$F$5,E291))</f>
        <v/>
      </c>
      <c r="BK291" s="76" t="str">
        <f aca="false">IF(B291="","",IFERROR(INDEX(Settings!$G$5:$G$10,MATCH(BJ291,Settings!$F$5:$F$10,0)),Settings!$G$5))</f>
        <v/>
      </c>
      <c r="BL291" s="82" t="str">
        <f aca="false">IF(I291="","",IFERROR(1/(1/INDEX(Lists!$C$6:$C$17,MATCH(I291,Lists!$B$6:$B$17,0))),""))</f>
        <v/>
      </c>
      <c r="BM291" s="81" t="str">
        <f aca="false">IF(I291="","",IFERROR(1/(1/INDEX(Lists!$D$6:$D$17,MATCH(I291,Lists!$B$6:$B$17,0))),""))</f>
        <v/>
      </c>
      <c r="BN291" s="76" t="str">
        <f aca="false">IF(AN291="","",MAX(BK291,_xlfn.MAXIFS(AN$6:AN291,BJ$6:BJ291,BJ291)))</f>
        <v/>
      </c>
      <c r="BO291" s="83" t="str">
        <f aca="false">IF(AN291="","",(AN291-BN291)/BN291)</f>
        <v/>
      </c>
      <c r="BP291" s="66" t="n">
        <f aca="false">IF(OR(B291="",AL291=""),0,IF(OR(Settings!$C$28="All Accounts",BJ291=Settings!$C$28),1,0))</f>
        <v>0</v>
      </c>
      <c r="BQ291" s="66" t="str">
        <f aca="false">IF(BP291=1,SUM(BP$6:BP291),"")</f>
        <v/>
      </c>
      <c r="BR291" s="76" t="str">
        <f aca="false">IF(BP291=1,ROUND(Settings!$C$29+SUMIFS(AM$6:AM291,BP$6:BP291,1),2),"")</f>
        <v/>
      </c>
      <c r="BS291" s="76" t="str">
        <f aca="false">IF(BP291=1,MAX(Settings!$C$29,MAX(BR$6:BR291)),"")</f>
        <v/>
      </c>
      <c r="BT291" s="83" t="str">
        <f aca="false">IF(BP291=1,(BR291-BS291)/BS291,"")</f>
        <v/>
      </c>
      <c r="BU291" s="66" t="str">
        <f aca="false">IF(BP291=1,IF(AL291="Win",1+IF(BQ291=1,0,INDEX(BU$5:BU290,MATCH(BQ291-1,BQ$5:BQ290,0))),0),"")</f>
        <v/>
      </c>
      <c r="BV291" s="66" t="str">
        <f aca="false">IF(BP291=1,IF(AL291="Loss",1+IF(BQ291=1,0,INDEX(BV$5:BV290,MATCH(BQ291-1,BQ$5:BQ290,0))),0),"")</f>
        <v/>
      </c>
    </row>
    <row r="292" customFormat="false" ht="15" hidden="false" customHeight="false" outlineLevel="0" collapsed="false">
      <c r="A292" s="66" t="str">
        <f aca="false">IF(B292="","",ROW()-5)</f>
        <v/>
      </c>
      <c r="B292" s="67"/>
      <c r="C292" s="68" t="str">
        <f aca="false">IF(B292="","",CHOOSE(WEEKDAY(B292,2),"Mon","Tue","Wed","Thu","Fri","Sat","Sun"))</f>
        <v/>
      </c>
      <c r="D292" s="66" t="str">
        <f aca="false">IF(B292="","",WEEKNUM(B292,2))</f>
        <v/>
      </c>
      <c r="E292" s="69"/>
      <c r="F292" s="69"/>
      <c r="G292" s="70"/>
      <c r="H292" s="70"/>
      <c r="I292" s="69"/>
      <c r="J292" s="69"/>
      <c r="K292" s="69"/>
      <c r="L292" s="71"/>
      <c r="M292" s="69"/>
      <c r="N292" s="69"/>
      <c r="O292" s="69"/>
      <c r="P292" s="71"/>
      <c r="Q292" s="69"/>
      <c r="R292" s="69"/>
      <c r="S292" s="69"/>
      <c r="T292" s="69"/>
      <c r="U292" s="69"/>
      <c r="V292" s="69"/>
      <c r="W292" s="69"/>
      <c r="X292" s="66" t="str">
        <f aca="false">IF(B292="","",COUNTIF(Q292:W292,"Yes"))</f>
        <v/>
      </c>
      <c r="Y292" s="68" t="str">
        <f aca="false">IF(B292="","",IF(X292&gt;=Settings!$C$16,"A+",IF(X292&gt;=Settings!$C$17,"A",IF(X292&gt;=Settings!$C$18,"B","C"))))</f>
        <v/>
      </c>
      <c r="Z292" s="72"/>
      <c r="AA292" s="72"/>
      <c r="AB292" s="72"/>
      <c r="AC292" s="72"/>
      <c r="AD292" s="72"/>
      <c r="AE292" s="72"/>
      <c r="AF292" s="73"/>
      <c r="AG292" s="74"/>
      <c r="AH292" s="75"/>
      <c r="AI292" s="76" t="str">
        <f aca="false">IF(B292="","",ROUND(IF(AG292="",Settings!$C$5,AG292)*AW292,2))</f>
        <v/>
      </c>
      <c r="AJ292" s="77" t="str">
        <f aca="false">IF(OR(B292="",AB292="",AC292="",AD292=""),"",IFERROR(ROUND(ABS(AD292-AB292)/ABS(AB292-AC292),2),""))</f>
        <v/>
      </c>
      <c r="AK292" s="78" t="str">
        <f aca="false">IF(OR(B292="",AB292="",AC292="",AE292=""),"",IFERROR(ROUND(IF(J292="Short",AB292-AE292,AE292-AB292)/ABS(AB292-AC292),2),""))</f>
        <v/>
      </c>
      <c r="AL292" s="68" t="str">
        <f aca="false">IF(AK292="","",IF(ABS(AK292)&lt;=Settings!$C$6,"BE",IF(AK292&gt;0,"Win","Loss")))</f>
        <v/>
      </c>
      <c r="AM292" s="79" t="str">
        <f aca="false">IF(OR(AK292="",AI292=""),"",ROUND(AK292*AI292-N(AH292),2))</f>
        <v/>
      </c>
      <c r="AN292" s="76" t="str">
        <f aca="false">IF(AM292="","",ROUND(BK292+SUMIFS(AM$6:AM292,BJ$6:BJ292,BJ292),2))</f>
        <v/>
      </c>
      <c r="AO292" s="78" t="str">
        <f aca="false">IF(AK292="","",ROUND(SUMIFS(AK$6:AK292,BJ$6:BJ292,BJ292),2))</f>
        <v/>
      </c>
      <c r="AP292" s="80" t="str">
        <f aca="false">IF(OR(AK292="",BL292=""),"",IFERROR(ROUND(IF(J292="Short",AB292-AE292,AE292-AB292)/BL292,1),""))</f>
        <v/>
      </c>
      <c r="AQ292" s="66" t="str">
        <f aca="false">IF(OR(G292="",H292=""),"",ROUND(MOD(H292-G292,1)*1440,0))</f>
        <v/>
      </c>
      <c r="AR292" s="68" t="str">
        <f aca="false">IF(AQ292="","",IF(AQ292&lt;15,"Under 15m",IF(AQ292&lt;60,"15-60m",IF(AQ292&lt;240,"1-4 hours","4+ hours"))))</f>
        <v/>
      </c>
      <c r="AS292" s="66" t="str">
        <f aca="false">IF(G292="","",HOUR(G292))</f>
        <v/>
      </c>
      <c r="AT292" s="80" t="str">
        <f aca="false">IF(OR(Z292="",AB292="",BL292=""),"",IFERROR(ROUND(IF(J292="Short",Z292-AB292,AB292-Z292)/BL292,1),""))</f>
        <v/>
      </c>
      <c r="AU292" s="68" t="str">
        <f aca="false">IF(OR(AA292="",AC292=""),"",IF(AA292=AC292,"No","Yes"))</f>
        <v/>
      </c>
      <c r="AV292" s="81" t="str">
        <f aca="false">IF(OR(B292="",BL292="",BM292="",AB292="",AC292=""),"",IFERROR(ROUND(AI292/(ABS(AB292-AC292)/BL292*BM292),2),""))</f>
        <v/>
      </c>
      <c r="AW292" s="76" t="str">
        <f aca="false">IF(B292="","",ROUND(BK292+SUMIFS(AM$5:AM291,BJ$5:BJ291,BJ292),2))</f>
        <v/>
      </c>
      <c r="AX292" s="66" t="str">
        <f aca="false">IF(B292="","",COUNTIFS(B$6:B292,B292,BJ$6:BJ292,BJ292))</f>
        <v/>
      </c>
      <c r="AY292" s="79" t="str">
        <f aca="false">IF(B292="","",ROUND(SUMIFS(AM$5:AM291,B$5:B291,B292,BJ$5:BJ291,BJ292),2))</f>
        <v/>
      </c>
      <c r="AZ292" s="79" t="str">
        <f aca="false">IF(AM292="","",ROUND(AY292+AM292,2))</f>
        <v/>
      </c>
      <c r="BA292" s="79" t="str">
        <f aca="false">IF(B292="","",ROUND(SUMIFS(AM$5:AM291,B$5:B291,"&gt;="&amp;(B292-WEEKDAY(B292,2)+1),B$5:B291,"&lt;="&amp;B292,BJ$5:BJ291,BJ292),2))</f>
        <v/>
      </c>
      <c r="BB292" s="68" t="str">
        <f aca="false">IF(B292="","",IF(AND(AF292&lt;&gt;"",AV292&lt;&gt;"",N(AF292)&gt;N(AV292)*(1+Settings!$C$13)),"Oversized",IF(AX292&gt;Settings!$C$10,"Overtraded",IF(AY292&lt;=-Settings!$C$11*(AW292-AY292),"Daily loss hit",IF(BA292&lt;=-Settings!$C$12*(AW292-BA292),"Weekly loss hit","OK")))))</f>
        <v/>
      </c>
      <c r="BC292" s="69"/>
      <c r="BD292" s="69"/>
      <c r="BE292" s="69"/>
      <c r="BF292" s="73"/>
      <c r="BG292" s="73"/>
      <c r="BH292" s="71"/>
      <c r="BI292" s="71"/>
      <c r="BJ292" s="68" t="str">
        <f aca="false">IF(B292="","",IF(E292="",Settings!$F$5,E292))</f>
        <v/>
      </c>
      <c r="BK292" s="76" t="str">
        <f aca="false">IF(B292="","",IFERROR(INDEX(Settings!$G$5:$G$10,MATCH(BJ292,Settings!$F$5:$F$10,0)),Settings!$G$5))</f>
        <v/>
      </c>
      <c r="BL292" s="82" t="str">
        <f aca="false">IF(I292="","",IFERROR(1/(1/INDEX(Lists!$C$6:$C$17,MATCH(I292,Lists!$B$6:$B$17,0))),""))</f>
        <v/>
      </c>
      <c r="BM292" s="81" t="str">
        <f aca="false">IF(I292="","",IFERROR(1/(1/INDEX(Lists!$D$6:$D$17,MATCH(I292,Lists!$B$6:$B$17,0))),""))</f>
        <v/>
      </c>
      <c r="BN292" s="76" t="str">
        <f aca="false">IF(AN292="","",MAX(BK292,_xlfn.MAXIFS(AN$6:AN292,BJ$6:BJ292,BJ292)))</f>
        <v/>
      </c>
      <c r="BO292" s="83" t="str">
        <f aca="false">IF(AN292="","",(AN292-BN292)/BN292)</f>
        <v/>
      </c>
      <c r="BP292" s="66" t="n">
        <f aca="false">IF(OR(B292="",AL292=""),0,IF(OR(Settings!$C$28="All Accounts",BJ292=Settings!$C$28),1,0))</f>
        <v>0</v>
      </c>
      <c r="BQ292" s="66" t="str">
        <f aca="false">IF(BP292=1,SUM(BP$6:BP292),"")</f>
        <v/>
      </c>
      <c r="BR292" s="76" t="str">
        <f aca="false">IF(BP292=1,ROUND(Settings!$C$29+SUMIFS(AM$6:AM292,BP$6:BP292,1),2),"")</f>
        <v/>
      </c>
      <c r="BS292" s="76" t="str">
        <f aca="false">IF(BP292=1,MAX(Settings!$C$29,MAX(BR$6:BR292)),"")</f>
        <v/>
      </c>
      <c r="BT292" s="83" t="str">
        <f aca="false">IF(BP292=1,(BR292-BS292)/BS292,"")</f>
        <v/>
      </c>
      <c r="BU292" s="66" t="str">
        <f aca="false">IF(BP292=1,IF(AL292="Win",1+IF(BQ292=1,0,INDEX(BU$5:BU291,MATCH(BQ292-1,BQ$5:BQ291,0))),0),"")</f>
        <v/>
      </c>
      <c r="BV292" s="66" t="str">
        <f aca="false">IF(BP292=1,IF(AL292="Loss",1+IF(BQ292=1,0,INDEX(BV$5:BV291,MATCH(BQ292-1,BQ$5:BQ291,0))),0),"")</f>
        <v/>
      </c>
    </row>
    <row r="293" customFormat="false" ht="15" hidden="false" customHeight="false" outlineLevel="0" collapsed="false">
      <c r="A293" s="66" t="str">
        <f aca="false">IF(B293="","",ROW()-5)</f>
        <v/>
      </c>
      <c r="B293" s="67"/>
      <c r="C293" s="68" t="str">
        <f aca="false">IF(B293="","",CHOOSE(WEEKDAY(B293,2),"Mon","Tue","Wed","Thu","Fri","Sat","Sun"))</f>
        <v/>
      </c>
      <c r="D293" s="66" t="str">
        <f aca="false">IF(B293="","",WEEKNUM(B293,2))</f>
        <v/>
      </c>
      <c r="E293" s="69"/>
      <c r="F293" s="69"/>
      <c r="G293" s="70"/>
      <c r="H293" s="70"/>
      <c r="I293" s="69"/>
      <c r="J293" s="69"/>
      <c r="K293" s="69"/>
      <c r="L293" s="71"/>
      <c r="M293" s="69"/>
      <c r="N293" s="69"/>
      <c r="O293" s="69"/>
      <c r="P293" s="71"/>
      <c r="Q293" s="69"/>
      <c r="R293" s="69"/>
      <c r="S293" s="69"/>
      <c r="T293" s="69"/>
      <c r="U293" s="69"/>
      <c r="V293" s="69"/>
      <c r="W293" s="69"/>
      <c r="X293" s="66" t="str">
        <f aca="false">IF(B293="","",COUNTIF(Q293:W293,"Yes"))</f>
        <v/>
      </c>
      <c r="Y293" s="68" t="str">
        <f aca="false">IF(B293="","",IF(X293&gt;=Settings!$C$16,"A+",IF(X293&gt;=Settings!$C$17,"A",IF(X293&gt;=Settings!$C$18,"B","C"))))</f>
        <v/>
      </c>
      <c r="Z293" s="72"/>
      <c r="AA293" s="72"/>
      <c r="AB293" s="72"/>
      <c r="AC293" s="72"/>
      <c r="AD293" s="72"/>
      <c r="AE293" s="72"/>
      <c r="AF293" s="73"/>
      <c r="AG293" s="74"/>
      <c r="AH293" s="75"/>
      <c r="AI293" s="76" t="str">
        <f aca="false">IF(B293="","",ROUND(IF(AG293="",Settings!$C$5,AG293)*AW293,2))</f>
        <v/>
      </c>
      <c r="AJ293" s="77" t="str">
        <f aca="false">IF(OR(B293="",AB293="",AC293="",AD293=""),"",IFERROR(ROUND(ABS(AD293-AB293)/ABS(AB293-AC293),2),""))</f>
        <v/>
      </c>
      <c r="AK293" s="78" t="str">
        <f aca="false">IF(OR(B293="",AB293="",AC293="",AE293=""),"",IFERROR(ROUND(IF(J293="Short",AB293-AE293,AE293-AB293)/ABS(AB293-AC293),2),""))</f>
        <v/>
      </c>
      <c r="AL293" s="68" t="str">
        <f aca="false">IF(AK293="","",IF(ABS(AK293)&lt;=Settings!$C$6,"BE",IF(AK293&gt;0,"Win","Loss")))</f>
        <v/>
      </c>
      <c r="AM293" s="79" t="str">
        <f aca="false">IF(OR(AK293="",AI293=""),"",ROUND(AK293*AI293-N(AH293),2))</f>
        <v/>
      </c>
      <c r="AN293" s="76" t="str">
        <f aca="false">IF(AM293="","",ROUND(BK293+SUMIFS(AM$6:AM293,BJ$6:BJ293,BJ293),2))</f>
        <v/>
      </c>
      <c r="AO293" s="78" t="str">
        <f aca="false">IF(AK293="","",ROUND(SUMIFS(AK$6:AK293,BJ$6:BJ293,BJ293),2))</f>
        <v/>
      </c>
      <c r="AP293" s="80" t="str">
        <f aca="false">IF(OR(AK293="",BL293=""),"",IFERROR(ROUND(IF(J293="Short",AB293-AE293,AE293-AB293)/BL293,1),""))</f>
        <v/>
      </c>
      <c r="AQ293" s="66" t="str">
        <f aca="false">IF(OR(G293="",H293=""),"",ROUND(MOD(H293-G293,1)*1440,0))</f>
        <v/>
      </c>
      <c r="AR293" s="68" t="str">
        <f aca="false">IF(AQ293="","",IF(AQ293&lt;15,"Under 15m",IF(AQ293&lt;60,"15-60m",IF(AQ293&lt;240,"1-4 hours","4+ hours"))))</f>
        <v/>
      </c>
      <c r="AS293" s="66" t="str">
        <f aca="false">IF(G293="","",HOUR(G293))</f>
        <v/>
      </c>
      <c r="AT293" s="80" t="str">
        <f aca="false">IF(OR(Z293="",AB293="",BL293=""),"",IFERROR(ROUND(IF(J293="Short",Z293-AB293,AB293-Z293)/BL293,1),""))</f>
        <v/>
      </c>
      <c r="AU293" s="68" t="str">
        <f aca="false">IF(OR(AA293="",AC293=""),"",IF(AA293=AC293,"No","Yes"))</f>
        <v/>
      </c>
      <c r="AV293" s="81" t="str">
        <f aca="false">IF(OR(B293="",BL293="",BM293="",AB293="",AC293=""),"",IFERROR(ROUND(AI293/(ABS(AB293-AC293)/BL293*BM293),2),""))</f>
        <v/>
      </c>
      <c r="AW293" s="76" t="str">
        <f aca="false">IF(B293="","",ROUND(BK293+SUMIFS(AM$5:AM292,BJ$5:BJ292,BJ293),2))</f>
        <v/>
      </c>
      <c r="AX293" s="66" t="str">
        <f aca="false">IF(B293="","",COUNTIFS(B$6:B293,B293,BJ$6:BJ293,BJ293))</f>
        <v/>
      </c>
      <c r="AY293" s="79" t="str">
        <f aca="false">IF(B293="","",ROUND(SUMIFS(AM$5:AM292,B$5:B292,B293,BJ$5:BJ292,BJ293),2))</f>
        <v/>
      </c>
      <c r="AZ293" s="79" t="str">
        <f aca="false">IF(AM293="","",ROUND(AY293+AM293,2))</f>
        <v/>
      </c>
      <c r="BA293" s="79" t="str">
        <f aca="false">IF(B293="","",ROUND(SUMIFS(AM$5:AM292,B$5:B292,"&gt;="&amp;(B293-WEEKDAY(B293,2)+1),B$5:B292,"&lt;="&amp;B293,BJ$5:BJ292,BJ293),2))</f>
        <v/>
      </c>
      <c r="BB293" s="68" t="str">
        <f aca="false">IF(B293="","",IF(AND(AF293&lt;&gt;"",AV293&lt;&gt;"",N(AF293)&gt;N(AV293)*(1+Settings!$C$13)),"Oversized",IF(AX293&gt;Settings!$C$10,"Overtraded",IF(AY293&lt;=-Settings!$C$11*(AW293-AY293),"Daily loss hit",IF(BA293&lt;=-Settings!$C$12*(AW293-BA293),"Weekly loss hit","OK")))))</f>
        <v/>
      </c>
      <c r="BC293" s="69"/>
      <c r="BD293" s="69"/>
      <c r="BE293" s="69"/>
      <c r="BF293" s="73"/>
      <c r="BG293" s="73"/>
      <c r="BH293" s="71"/>
      <c r="BI293" s="71"/>
      <c r="BJ293" s="68" t="str">
        <f aca="false">IF(B293="","",IF(E293="",Settings!$F$5,E293))</f>
        <v/>
      </c>
      <c r="BK293" s="76" t="str">
        <f aca="false">IF(B293="","",IFERROR(INDEX(Settings!$G$5:$G$10,MATCH(BJ293,Settings!$F$5:$F$10,0)),Settings!$G$5))</f>
        <v/>
      </c>
      <c r="BL293" s="82" t="str">
        <f aca="false">IF(I293="","",IFERROR(1/(1/INDEX(Lists!$C$6:$C$17,MATCH(I293,Lists!$B$6:$B$17,0))),""))</f>
        <v/>
      </c>
      <c r="BM293" s="81" t="str">
        <f aca="false">IF(I293="","",IFERROR(1/(1/INDEX(Lists!$D$6:$D$17,MATCH(I293,Lists!$B$6:$B$17,0))),""))</f>
        <v/>
      </c>
      <c r="BN293" s="76" t="str">
        <f aca="false">IF(AN293="","",MAX(BK293,_xlfn.MAXIFS(AN$6:AN293,BJ$6:BJ293,BJ293)))</f>
        <v/>
      </c>
      <c r="BO293" s="83" t="str">
        <f aca="false">IF(AN293="","",(AN293-BN293)/BN293)</f>
        <v/>
      </c>
      <c r="BP293" s="66" t="n">
        <f aca="false">IF(OR(B293="",AL293=""),0,IF(OR(Settings!$C$28="All Accounts",BJ293=Settings!$C$28),1,0))</f>
        <v>0</v>
      </c>
      <c r="BQ293" s="66" t="str">
        <f aca="false">IF(BP293=1,SUM(BP$6:BP293),"")</f>
        <v/>
      </c>
      <c r="BR293" s="76" t="str">
        <f aca="false">IF(BP293=1,ROUND(Settings!$C$29+SUMIFS(AM$6:AM293,BP$6:BP293,1),2),"")</f>
        <v/>
      </c>
      <c r="BS293" s="76" t="str">
        <f aca="false">IF(BP293=1,MAX(Settings!$C$29,MAX(BR$6:BR293)),"")</f>
        <v/>
      </c>
      <c r="BT293" s="83" t="str">
        <f aca="false">IF(BP293=1,(BR293-BS293)/BS293,"")</f>
        <v/>
      </c>
      <c r="BU293" s="66" t="str">
        <f aca="false">IF(BP293=1,IF(AL293="Win",1+IF(BQ293=1,0,INDEX(BU$5:BU292,MATCH(BQ293-1,BQ$5:BQ292,0))),0),"")</f>
        <v/>
      </c>
      <c r="BV293" s="66" t="str">
        <f aca="false">IF(BP293=1,IF(AL293="Loss",1+IF(BQ293=1,0,INDEX(BV$5:BV292,MATCH(BQ293-1,BQ$5:BQ292,0))),0),"")</f>
        <v/>
      </c>
    </row>
    <row r="294" customFormat="false" ht="15" hidden="false" customHeight="false" outlineLevel="0" collapsed="false">
      <c r="A294" s="66" t="str">
        <f aca="false">IF(B294="","",ROW()-5)</f>
        <v/>
      </c>
      <c r="B294" s="67"/>
      <c r="C294" s="68" t="str">
        <f aca="false">IF(B294="","",CHOOSE(WEEKDAY(B294,2),"Mon","Tue","Wed","Thu","Fri","Sat","Sun"))</f>
        <v/>
      </c>
      <c r="D294" s="66" t="str">
        <f aca="false">IF(B294="","",WEEKNUM(B294,2))</f>
        <v/>
      </c>
      <c r="E294" s="69"/>
      <c r="F294" s="69"/>
      <c r="G294" s="70"/>
      <c r="H294" s="70"/>
      <c r="I294" s="69"/>
      <c r="J294" s="69"/>
      <c r="K294" s="69"/>
      <c r="L294" s="71"/>
      <c r="M294" s="69"/>
      <c r="N294" s="69"/>
      <c r="O294" s="69"/>
      <c r="P294" s="71"/>
      <c r="Q294" s="69"/>
      <c r="R294" s="69"/>
      <c r="S294" s="69"/>
      <c r="T294" s="69"/>
      <c r="U294" s="69"/>
      <c r="V294" s="69"/>
      <c r="W294" s="69"/>
      <c r="X294" s="66" t="str">
        <f aca="false">IF(B294="","",COUNTIF(Q294:W294,"Yes"))</f>
        <v/>
      </c>
      <c r="Y294" s="68" t="str">
        <f aca="false">IF(B294="","",IF(X294&gt;=Settings!$C$16,"A+",IF(X294&gt;=Settings!$C$17,"A",IF(X294&gt;=Settings!$C$18,"B","C"))))</f>
        <v/>
      </c>
      <c r="Z294" s="72"/>
      <c r="AA294" s="72"/>
      <c r="AB294" s="72"/>
      <c r="AC294" s="72"/>
      <c r="AD294" s="72"/>
      <c r="AE294" s="72"/>
      <c r="AF294" s="73"/>
      <c r="AG294" s="74"/>
      <c r="AH294" s="75"/>
      <c r="AI294" s="76" t="str">
        <f aca="false">IF(B294="","",ROUND(IF(AG294="",Settings!$C$5,AG294)*AW294,2))</f>
        <v/>
      </c>
      <c r="AJ294" s="77" t="str">
        <f aca="false">IF(OR(B294="",AB294="",AC294="",AD294=""),"",IFERROR(ROUND(ABS(AD294-AB294)/ABS(AB294-AC294),2),""))</f>
        <v/>
      </c>
      <c r="AK294" s="78" t="str">
        <f aca="false">IF(OR(B294="",AB294="",AC294="",AE294=""),"",IFERROR(ROUND(IF(J294="Short",AB294-AE294,AE294-AB294)/ABS(AB294-AC294),2),""))</f>
        <v/>
      </c>
      <c r="AL294" s="68" t="str">
        <f aca="false">IF(AK294="","",IF(ABS(AK294)&lt;=Settings!$C$6,"BE",IF(AK294&gt;0,"Win","Loss")))</f>
        <v/>
      </c>
      <c r="AM294" s="79" t="str">
        <f aca="false">IF(OR(AK294="",AI294=""),"",ROUND(AK294*AI294-N(AH294),2))</f>
        <v/>
      </c>
      <c r="AN294" s="76" t="str">
        <f aca="false">IF(AM294="","",ROUND(BK294+SUMIFS(AM$6:AM294,BJ$6:BJ294,BJ294),2))</f>
        <v/>
      </c>
      <c r="AO294" s="78" t="str">
        <f aca="false">IF(AK294="","",ROUND(SUMIFS(AK$6:AK294,BJ$6:BJ294,BJ294),2))</f>
        <v/>
      </c>
      <c r="AP294" s="80" t="str">
        <f aca="false">IF(OR(AK294="",BL294=""),"",IFERROR(ROUND(IF(J294="Short",AB294-AE294,AE294-AB294)/BL294,1),""))</f>
        <v/>
      </c>
      <c r="AQ294" s="66" t="str">
        <f aca="false">IF(OR(G294="",H294=""),"",ROUND(MOD(H294-G294,1)*1440,0))</f>
        <v/>
      </c>
      <c r="AR294" s="68" t="str">
        <f aca="false">IF(AQ294="","",IF(AQ294&lt;15,"Under 15m",IF(AQ294&lt;60,"15-60m",IF(AQ294&lt;240,"1-4 hours","4+ hours"))))</f>
        <v/>
      </c>
      <c r="AS294" s="66" t="str">
        <f aca="false">IF(G294="","",HOUR(G294))</f>
        <v/>
      </c>
      <c r="AT294" s="80" t="str">
        <f aca="false">IF(OR(Z294="",AB294="",BL294=""),"",IFERROR(ROUND(IF(J294="Short",Z294-AB294,AB294-Z294)/BL294,1),""))</f>
        <v/>
      </c>
      <c r="AU294" s="68" t="str">
        <f aca="false">IF(OR(AA294="",AC294=""),"",IF(AA294=AC294,"No","Yes"))</f>
        <v/>
      </c>
      <c r="AV294" s="81" t="str">
        <f aca="false">IF(OR(B294="",BL294="",BM294="",AB294="",AC294=""),"",IFERROR(ROUND(AI294/(ABS(AB294-AC294)/BL294*BM294),2),""))</f>
        <v/>
      </c>
      <c r="AW294" s="76" t="str">
        <f aca="false">IF(B294="","",ROUND(BK294+SUMIFS(AM$5:AM293,BJ$5:BJ293,BJ294),2))</f>
        <v/>
      </c>
      <c r="AX294" s="66" t="str">
        <f aca="false">IF(B294="","",COUNTIFS(B$6:B294,B294,BJ$6:BJ294,BJ294))</f>
        <v/>
      </c>
      <c r="AY294" s="79" t="str">
        <f aca="false">IF(B294="","",ROUND(SUMIFS(AM$5:AM293,B$5:B293,B294,BJ$5:BJ293,BJ294),2))</f>
        <v/>
      </c>
      <c r="AZ294" s="79" t="str">
        <f aca="false">IF(AM294="","",ROUND(AY294+AM294,2))</f>
        <v/>
      </c>
      <c r="BA294" s="79" t="str">
        <f aca="false">IF(B294="","",ROUND(SUMIFS(AM$5:AM293,B$5:B293,"&gt;="&amp;(B294-WEEKDAY(B294,2)+1),B$5:B293,"&lt;="&amp;B294,BJ$5:BJ293,BJ294),2))</f>
        <v/>
      </c>
      <c r="BB294" s="68" t="str">
        <f aca="false">IF(B294="","",IF(AND(AF294&lt;&gt;"",AV294&lt;&gt;"",N(AF294)&gt;N(AV294)*(1+Settings!$C$13)),"Oversized",IF(AX294&gt;Settings!$C$10,"Overtraded",IF(AY294&lt;=-Settings!$C$11*(AW294-AY294),"Daily loss hit",IF(BA294&lt;=-Settings!$C$12*(AW294-BA294),"Weekly loss hit","OK")))))</f>
        <v/>
      </c>
      <c r="BC294" s="69"/>
      <c r="BD294" s="69"/>
      <c r="BE294" s="69"/>
      <c r="BF294" s="73"/>
      <c r="BG294" s="73"/>
      <c r="BH294" s="71"/>
      <c r="BI294" s="71"/>
      <c r="BJ294" s="68" t="str">
        <f aca="false">IF(B294="","",IF(E294="",Settings!$F$5,E294))</f>
        <v/>
      </c>
      <c r="BK294" s="76" t="str">
        <f aca="false">IF(B294="","",IFERROR(INDEX(Settings!$G$5:$G$10,MATCH(BJ294,Settings!$F$5:$F$10,0)),Settings!$G$5))</f>
        <v/>
      </c>
      <c r="BL294" s="82" t="str">
        <f aca="false">IF(I294="","",IFERROR(1/(1/INDEX(Lists!$C$6:$C$17,MATCH(I294,Lists!$B$6:$B$17,0))),""))</f>
        <v/>
      </c>
      <c r="BM294" s="81" t="str">
        <f aca="false">IF(I294="","",IFERROR(1/(1/INDEX(Lists!$D$6:$D$17,MATCH(I294,Lists!$B$6:$B$17,0))),""))</f>
        <v/>
      </c>
      <c r="BN294" s="76" t="str">
        <f aca="false">IF(AN294="","",MAX(BK294,_xlfn.MAXIFS(AN$6:AN294,BJ$6:BJ294,BJ294)))</f>
        <v/>
      </c>
      <c r="BO294" s="83" t="str">
        <f aca="false">IF(AN294="","",(AN294-BN294)/BN294)</f>
        <v/>
      </c>
      <c r="BP294" s="66" t="n">
        <f aca="false">IF(OR(B294="",AL294=""),0,IF(OR(Settings!$C$28="All Accounts",BJ294=Settings!$C$28),1,0))</f>
        <v>0</v>
      </c>
      <c r="BQ294" s="66" t="str">
        <f aca="false">IF(BP294=1,SUM(BP$6:BP294),"")</f>
        <v/>
      </c>
      <c r="BR294" s="76" t="str">
        <f aca="false">IF(BP294=1,ROUND(Settings!$C$29+SUMIFS(AM$6:AM294,BP$6:BP294,1),2),"")</f>
        <v/>
      </c>
      <c r="BS294" s="76" t="str">
        <f aca="false">IF(BP294=1,MAX(Settings!$C$29,MAX(BR$6:BR294)),"")</f>
        <v/>
      </c>
      <c r="BT294" s="83" t="str">
        <f aca="false">IF(BP294=1,(BR294-BS294)/BS294,"")</f>
        <v/>
      </c>
      <c r="BU294" s="66" t="str">
        <f aca="false">IF(BP294=1,IF(AL294="Win",1+IF(BQ294=1,0,INDEX(BU$5:BU293,MATCH(BQ294-1,BQ$5:BQ293,0))),0),"")</f>
        <v/>
      </c>
      <c r="BV294" s="66" t="str">
        <f aca="false">IF(BP294=1,IF(AL294="Loss",1+IF(BQ294=1,0,INDEX(BV$5:BV293,MATCH(BQ294-1,BQ$5:BQ293,0))),0),"")</f>
        <v/>
      </c>
    </row>
    <row r="295" customFormat="false" ht="15" hidden="false" customHeight="false" outlineLevel="0" collapsed="false">
      <c r="A295" s="66" t="str">
        <f aca="false">IF(B295="","",ROW()-5)</f>
        <v/>
      </c>
      <c r="B295" s="67"/>
      <c r="C295" s="68" t="str">
        <f aca="false">IF(B295="","",CHOOSE(WEEKDAY(B295,2),"Mon","Tue","Wed","Thu","Fri","Sat","Sun"))</f>
        <v/>
      </c>
      <c r="D295" s="66" t="str">
        <f aca="false">IF(B295="","",WEEKNUM(B295,2))</f>
        <v/>
      </c>
      <c r="E295" s="69"/>
      <c r="F295" s="69"/>
      <c r="G295" s="70"/>
      <c r="H295" s="70"/>
      <c r="I295" s="69"/>
      <c r="J295" s="69"/>
      <c r="K295" s="69"/>
      <c r="L295" s="71"/>
      <c r="M295" s="69"/>
      <c r="N295" s="69"/>
      <c r="O295" s="69"/>
      <c r="P295" s="71"/>
      <c r="Q295" s="69"/>
      <c r="R295" s="69"/>
      <c r="S295" s="69"/>
      <c r="T295" s="69"/>
      <c r="U295" s="69"/>
      <c r="V295" s="69"/>
      <c r="W295" s="69"/>
      <c r="X295" s="66" t="str">
        <f aca="false">IF(B295="","",COUNTIF(Q295:W295,"Yes"))</f>
        <v/>
      </c>
      <c r="Y295" s="68" t="str">
        <f aca="false">IF(B295="","",IF(X295&gt;=Settings!$C$16,"A+",IF(X295&gt;=Settings!$C$17,"A",IF(X295&gt;=Settings!$C$18,"B","C"))))</f>
        <v/>
      </c>
      <c r="Z295" s="72"/>
      <c r="AA295" s="72"/>
      <c r="AB295" s="72"/>
      <c r="AC295" s="72"/>
      <c r="AD295" s="72"/>
      <c r="AE295" s="72"/>
      <c r="AF295" s="73"/>
      <c r="AG295" s="74"/>
      <c r="AH295" s="75"/>
      <c r="AI295" s="76" t="str">
        <f aca="false">IF(B295="","",ROUND(IF(AG295="",Settings!$C$5,AG295)*AW295,2))</f>
        <v/>
      </c>
      <c r="AJ295" s="77" t="str">
        <f aca="false">IF(OR(B295="",AB295="",AC295="",AD295=""),"",IFERROR(ROUND(ABS(AD295-AB295)/ABS(AB295-AC295),2),""))</f>
        <v/>
      </c>
      <c r="AK295" s="78" t="str">
        <f aca="false">IF(OR(B295="",AB295="",AC295="",AE295=""),"",IFERROR(ROUND(IF(J295="Short",AB295-AE295,AE295-AB295)/ABS(AB295-AC295),2),""))</f>
        <v/>
      </c>
      <c r="AL295" s="68" t="str">
        <f aca="false">IF(AK295="","",IF(ABS(AK295)&lt;=Settings!$C$6,"BE",IF(AK295&gt;0,"Win","Loss")))</f>
        <v/>
      </c>
      <c r="AM295" s="79" t="str">
        <f aca="false">IF(OR(AK295="",AI295=""),"",ROUND(AK295*AI295-N(AH295),2))</f>
        <v/>
      </c>
      <c r="AN295" s="76" t="str">
        <f aca="false">IF(AM295="","",ROUND(BK295+SUMIFS(AM$6:AM295,BJ$6:BJ295,BJ295),2))</f>
        <v/>
      </c>
      <c r="AO295" s="78" t="str">
        <f aca="false">IF(AK295="","",ROUND(SUMIFS(AK$6:AK295,BJ$6:BJ295,BJ295),2))</f>
        <v/>
      </c>
      <c r="AP295" s="80" t="str">
        <f aca="false">IF(OR(AK295="",BL295=""),"",IFERROR(ROUND(IF(J295="Short",AB295-AE295,AE295-AB295)/BL295,1),""))</f>
        <v/>
      </c>
      <c r="AQ295" s="66" t="str">
        <f aca="false">IF(OR(G295="",H295=""),"",ROUND(MOD(H295-G295,1)*1440,0))</f>
        <v/>
      </c>
      <c r="AR295" s="68" t="str">
        <f aca="false">IF(AQ295="","",IF(AQ295&lt;15,"Under 15m",IF(AQ295&lt;60,"15-60m",IF(AQ295&lt;240,"1-4 hours","4+ hours"))))</f>
        <v/>
      </c>
      <c r="AS295" s="66" t="str">
        <f aca="false">IF(G295="","",HOUR(G295))</f>
        <v/>
      </c>
      <c r="AT295" s="80" t="str">
        <f aca="false">IF(OR(Z295="",AB295="",BL295=""),"",IFERROR(ROUND(IF(J295="Short",Z295-AB295,AB295-Z295)/BL295,1),""))</f>
        <v/>
      </c>
      <c r="AU295" s="68" t="str">
        <f aca="false">IF(OR(AA295="",AC295=""),"",IF(AA295=AC295,"No","Yes"))</f>
        <v/>
      </c>
      <c r="AV295" s="81" t="str">
        <f aca="false">IF(OR(B295="",BL295="",BM295="",AB295="",AC295=""),"",IFERROR(ROUND(AI295/(ABS(AB295-AC295)/BL295*BM295),2),""))</f>
        <v/>
      </c>
      <c r="AW295" s="76" t="str">
        <f aca="false">IF(B295="","",ROUND(BK295+SUMIFS(AM$5:AM294,BJ$5:BJ294,BJ295),2))</f>
        <v/>
      </c>
      <c r="AX295" s="66" t="str">
        <f aca="false">IF(B295="","",COUNTIFS(B$6:B295,B295,BJ$6:BJ295,BJ295))</f>
        <v/>
      </c>
      <c r="AY295" s="79" t="str">
        <f aca="false">IF(B295="","",ROUND(SUMIFS(AM$5:AM294,B$5:B294,B295,BJ$5:BJ294,BJ295),2))</f>
        <v/>
      </c>
      <c r="AZ295" s="79" t="str">
        <f aca="false">IF(AM295="","",ROUND(AY295+AM295,2))</f>
        <v/>
      </c>
      <c r="BA295" s="79" t="str">
        <f aca="false">IF(B295="","",ROUND(SUMIFS(AM$5:AM294,B$5:B294,"&gt;="&amp;(B295-WEEKDAY(B295,2)+1),B$5:B294,"&lt;="&amp;B295,BJ$5:BJ294,BJ295),2))</f>
        <v/>
      </c>
      <c r="BB295" s="68" t="str">
        <f aca="false">IF(B295="","",IF(AND(AF295&lt;&gt;"",AV295&lt;&gt;"",N(AF295)&gt;N(AV295)*(1+Settings!$C$13)),"Oversized",IF(AX295&gt;Settings!$C$10,"Overtraded",IF(AY295&lt;=-Settings!$C$11*(AW295-AY295),"Daily loss hit",IF(BA295&lt;=-Settings!$C$12*(AW295-BA295),"Weekly loss hit","OK")))))</f>
        <v/>
      </c>
      <c r="BC295" s="69"/>
      <c r="BD295" s="69"/>
      <c r="BE295" s="69"/>
      <c r="BF295" s="73"/>
      <c r="BG295" s="73"/>
      <c r="BH295" s="71"/>
      <c r="BI295" s="71"/>
      <c r="BJ295" s="68" t="str">
        <f aca="false">IF(B295="","",IF(E295="",Settings!$F$5,E295))</f>
        <v/>
      </c>
      <c r="BK295" s="76" t="str">
        <f aca="false">IF(B295="","",IFERROR(INDEX(Settings!$G$5:$G$10,MATCH(BJ295,Settings!$F$5:$F$10,0)),Settings!$G$5))</f>
        <v/>
      </c>
      <c r="BL295" s="82" t="str">
        <f aca="false">IF(I295="","",IFERROR(1/(1/INDEX(Lists!$C$6:$C$17,MATCH(I295,Lists!$B$6:$B$17,0))),""))</f>
        <v/>
      </c>
      <c r="BM295" s="81" t="str">
        <f aca="false">IF(I295="","",IFERROR(1/(1/INDEX(Lists!$D$6:$D$17,MATCH(I295,Lists!$B$6:$B$17,0))),""))</f>
        <v/>
      </c>
      <c r="BN295" s="76" t="str">
        <f aca="false">IF(AN295="","",MAX(BK295,_xlfn.MAXIFS(AN$6:AN295,BJ$6:BJ295,BJ295)))</f>
        <v/>
      </c>
      <c r="BO295" s="83" t="str">
        <f aca="false">IF(AN295="","",(AN295-BN295)/BN295)</f>
        <v/>
      </c>
      <c r="BP295" s="66" t="n">
        <f aca="false">IF(OR(B295="",AL295=""),0,IF(OR(Settings!$C$28="All Accounts",BJ295=Settings!$C$28),1,0))</f>
        <v>0</v>
      </c>
      <c r="BQ295" s="66" t="str">
        <f aca="false">IF(BP295=1,SUM(BP$6:BP295),"")</f>
        <v/>
      </c>
      <c r="BR295" s="76" t="str">
        <f aca="false">IF(BP295=1,ROUND(Settings!$C$29+SUMIFS(AM$6:AM295,BP$6:BP295,1),2),"")</f>
        <v/>
      </c>
      <c r="BS295" s="76" t="str">
        <f aca="false">IF(BP295=1,MAX(Settings!$C$29,MAX(BR$6:BR295)),"")</f>
        <v/>
      </c>
      <c r="BT295" s="83" t="str">
        <f aca="false">IF(BP295=1,(BR295-BS295)/BS295,"")</f>
        <v/>
      </c>
      <c r="BU295" s="66" t="str">
        <f aca="false">IF(BP295=1,IF(AL295="Win",1+IF(BQ295=1,0,INDEX(BU$5:BU294,MATCH(BQ295-1,BQ$5:BQ294,0))),0),"")</f>
        <v/>
      </c>
      <c r="BV295" s="66" t="str">
        <f aca="false">IF(BP295=1,IF(AL295="Loss",1+IF(BQ295=1,0,INDEX(BV$5:BV294,MATCH(BQ295-1,BQ$5:BQ294,0))),0),"")</f>
        <v/>
      </c>
    </row>
    <row r="296" customFormat="false" ht="15" hidden="false" customHeight="false" outlineLevel="0" collapsed="false">
      <c r="A296" s="66" t="str">
        <f aca="false">IF(B296="","",ROW()-5)</f>
        <v/>
      </c>
      <c r="B296" s="67"/>
      <c r="C296" s="68" t="str">
        <f aca="false">IF(B296="","",CHOOSE(WEEKDAY(B296,2),"Mon","Tue","Wed","Thu","Fri","Sat","Sun"))</f>
        <v/>
      </c>
      <c r="D296" s="66" t="str">
        <f aca="false">IF(B296="","",WEEKNUM(B296,2))</f>
        <v/>
      </c>
      <c r="E296" s="69"/>
      <c r="F296" s="69"/>
      <c r="G296" s="70"/>
      <c r="H296" s="70"/>
      <c r="I296" s="69"/>
      <c r="J296" s="69"/>
      <c r="K296" s="69"/>
      <c r="L296" s="71"/>
      <c r="M296" s="69"/>
      <c r="N296" s="69"/>
      <c r="O296" s="69"/>
      <c r="P296" s="71"/>
      <c r="Q296" s="69"/>
      <c r="R296" s="69"/>
      <c r="S296" s="69"/>
      <c r="T296" s="69"/>
      <c r="U296" s="69"/>
      <c r="V296" s="69"/>
      <c r="W296" s="69"/>
      <c r="X296" s="66" t="str">
        <f aca="false">IF(B296="","",COUNTIF(Q296:W296,"Yes"))</f>
        <v/>
      </c>
      <c r="Y296" s="68" t="str">
        <f aca="false">IF(B296="","",IF(X296&gt;=Settings!$C$16,"A+",IF(X296&gt;=Settings!$C$17,"A",IF(X296&gt;=Settings!$C$18,"B","C"))))</f>
        <v/>
      </c>
      <c r="Z296" s="72"/>
      <c r="AA296" s="72"/>
      <c r="AB296" s="72"/>
      <c r="AC296" s="72"/>
      <c r="AD296" s="72"/>
      <c r="AE296" s="72"/>
      <c r="AF296" s="73"/>
      <c r="AG296" s="74"/>
      <c r="AH296" s="75"/>
      <c r="AI296" s="76" t="str">
        <f aca="false">IF(B296="","",ROUND(IF(AG296="",Settings!$C$5,AG296)*AW296,2))</f>
        <v/>
      </c>
      <c r="AJ296" s="77" t="str">
        <f aca="false">IF(OR(B296="",AB296="",AC296="",AD296=""),"",IFERROR(ROUND(ABS(AD296-AB296)/ABS(AB296-AC296),2),""))</f>
        <v/>
      </c>
      <c r="AK296" s="78" t="str">
        <f aca="false">IF(OR(B296="",AB296="",AC296="",AE296=""),"",IFERROR(ROUND(IF(J296="Short",AB296-AE296,AE296-AB296)/ABS(AB296-AC296),2),""))</f>
        <v/>
      </c>
      <c r="AL296" s="68" t="str">
        <f aca="false">IF(AK296="","",IF(ABS(AK296)&lt;=Settings!$C$6,"BE",IF(AK296&gt;0,"Win","Loss")))</f>
        <v/>
      </c>
      <c r="AM296" s="79" t="str">
        <f aca="false">IF(OR(AK296="",AI296=""),"",ROUND(AK296*AI296-N(AH296),2))</f>
        <v/>
      </c>
      <c r="AN296" s="76" t="str">
        <f aca="false">IF(AM296="","",ROUND(BK296+SUMIFS(AM$6:AM296,BJ$6:BJ296,BJ296),2))</f>
        <v/>
      </c>
      <c r="AO296" s="78" t="str">
        <f aca="false">IF(AK296="","",ROUND(SUMIFS(AK$6:AK296,BJ$6:BJ296,BJ296),2))</f>
        <v/>
      </c>
      <c r="AP296" s="80" t="str">
        <f aca="false">IF(OR(AK296="",BL296=""),"",IFERROR(ROUND(IF(J296="Short",AB296-AE296,AE296-AB296)/BL296,1),""))</f>
        <v/>
      </c>
      <c r="AQ296" s="66" t="str">
        <f aca="false">IF(OR(G296="",H296=""),"",ROUND(MOD(H296-G296,1)*1440,0))</f>
        <v/>
      </c>
      <c r="AR296" s="68" t="str">
        <f aca="false">IF(AQ296="","",IF(AQ296&lt;15,"Under 15m",IF(AQ296&lt;60,"15-60m",IF(AQ296&lt;240,"1-4 hours","4+ hours"))))</f>
        <v/>
      </c>
      <c r="AS296" s="66" t="str">
        <f aca="false">IF(G296="","",HOUR(G296))</f>
        <v/>
      </c>
      <c r="AT296" s="80" t="str">
        <f aca="false">IF(OR(Z296="",AB296="",BL296=""),"",IFERROR(ROUND(IF(J296="Short",Z296-AB296,AB296-Z296)/BL296,1),""))</f>
        <v/>
      </c>
      <c r="AU296" s="68" t="str">
        <f aca="false">IF(OR(AA296="",AC296=""),"",IF(AA296=AC296,"No","Yes"))</f>
        <v/>
      </c>
      <c r="AV296" s="81" t="str">
        <f aca="false">IF(OR(B296="",BL296="",BM296="",AB296="",AC296=""),"",IFERROR(ROUND(AI296/(ABS(AB296-AC296)/BL296*BM296),2),""))</f>
        <v/>
      </c>
      <c r="AW296" s="76" t="str">
        <f aca="false">IF(B296="","",ROUND(BK296+SUMIFS(AM$5:AM295,BJ$5:BJ295,BJ296),2))</f>
        <v/>
      </c>
      <c r="AX296" s="66" t="str">
        <f aca="false">IF(B296="","",COUNTIFS(B$6:B296,B296,BJ$6:BJ296,BJ296))</f>
        <v/>
      </c>
      <c r="AY296" s="79" t="str">
        <f aca="false">IF(B296="","",ROUND(SUMIFS(AM$5:AM295,B$5:B295,B296,BJ$5:BJ295,BJ296),2))</f>
        <v/>
      </c>
      <c r="AZ296" s="79" t="str">
        <f aca="false">IF(AM296="","",ROUND(AY296+AM296,2))</f>
        <v/>
      </c>
      <c r="BA296" s="79" t="str">
        <f aca="false">IF(B296="","",ROUND(SUMIFS(AM$5:AM295,B$5:B295,"&gt;="&amp;(B296-WEEKDAY(B296,2)+1),B$5:B295,"&lt;="&amp;B296,BJ$5:BJ295,BJ296),2))</f>
        <v/>
      </c>
      <c r="BB296" s="68" t="str">
        <f aca="false">IF(B296="","",IF(AND(AF296&lt;&gt;"",AV296&lt;&gt;"",N(AF296)&gt;N(AV296)*(1+Settings!$C$13)),"Oversized",IF(AX296&gt;Settings!$C$10,"Overtraded",IF(AY296&lt;=-Settings!$C$11*(AW296-AY296),"Daily loss hit",IF(BA296&lt;=-Settings!$C$12*(AW296-BA296),"Weekly loss hit","OK")))))</f>
        <v/>
      </c>
      <c r="BC296" s="69"/>
      <c r="BD296" s="69"/>
      <c r="BE296" s="69"/>
      <c r="BF296" s="73"/>
      <c r="BG296" s="73"/>
      <c r="BH296" s="71"/>
      <c r="BI296" s="71"/>
      <c r="BJ296" s="68" t="str">
        <f aca="false">IF(B296="","",IF(E296="",Settings!$F$5,E296))</f>
        <v/>
      </c>
      <c r="BK296" s="76" t="str">
        <f aca="false">IF(B296="","",IFERROR(INDEX(Settings!$G$5:$G$10,MATCH(BJ296,Settings!$F$5:$F$10,0)),Settings!$G$5))</f>
        <v/>
      </c>
      <c r="BL296" s="82" t="str">
        <f aca="false">IF(I296="","",IFERROR(1/(1/INDEX(Lists!$C$6:$C$17,MATCH(I296,Lists!$B$6:$B$17,0))),""))</f>
        <v/>
      </c>
      <c r="BM296" s="81" t="str">
        <f aca="false">IF(I296="","",IFERROR(1/(1/INDEX(Lists!$D$6:$D$17,MATCH(I296,Lists!$B$6:$B$17,0))),""))</f>
        <v/>
      </c>
      <c r="BN296" s="76" t="str">
        <f aca="false">IF(AN296="","",MAX(BK296,_xlfn.MAXIFS(AN$6:AN296,BJ$6:BJ296,BJ296)))</f>
        <v/>
      </c>
      <c r="BO296" s="83" t="str">
        <f aca="false">IF(AN296="","",(AN296-BN296)/BN296)</f>
        <v/>
      </c>
      <c r="BP296" s="66" t="n">
        <f aca="false">IF(OR(B296="",AL296=""),0,IF(OR(Settings!$C$28="All Accounts",BJ296=Settings!$C$28),1,0))</f>
        <v>0</v>
      </c>
      <c r="BQ296" s="66" t="str">
        <f aca="false">IF(BP296=1,SUM(BP$6:BP296),"")</f>
        <v/>
      </c>
      <c r="BR296" s="76" t="str">
        <f aca="false">IF(BP296=1,ROUND(Settings!$C$29+SUMIFS(AM$6:AM296,BP$6:BP296,1),2),"")</f>
        <v/>
      </c>
      <c r="BS296" s="76" t="str">
        <f aca="false">IF(BP296=1,MAX(Settings!$C$29,MAX(BR$6:BR296)),"")</f>
        <v/>
      </c>
      <c r="BT296" s="83" t="str">
        <f aca="false">IF(BP296=1,(BR296-BS296)/BS296,"")</f>
        <v/>
      </c>
      <c r="BU296" s="66" t="str">
        <f aca="false">IF(BP296=1,IF(AL296="Win",1+IF(BQ296=1,0,INDEX(BU$5:BU295,MATCH(BQ296-1,BQ$5:BQ295,0))),0),"")</f>
        <v/>
      </c>
      <c r="BV296" s="66" t="str">
        <f aca="false">IF(BP296=1,IF(AL296="Loss",1+IF(BQ296=1,0,INDEX(BV$5:BV295,MATCH(BQ296-1,BQ$5:BQ295,0))),0),"")</f>
        <v/>
      </c>
    </row>
    <row r="297" customFormat="false" ht="15" hidden="false" customHeight="false" outlineLevel="0" collapsed="false">
      <c r="A297" s="66" t="str">
        <f aca="false">IF(B297="","",ROW()-5)</f>
        <v/>
      </c>
      <c r="B297" s="67"/>
      <c r="C297" s="68" t="str">
        <f aca="false">IF(B297="","",CHOOSE(WEEKDAY(B297,2),"Mon","Tue","Wed","Thu","Fri","Sat","Sun"))</f>
        <v/>
      </c>
      <c r="D297" s="66" t="str">
        <f aca="false">IF(B297="","",WEEKNUM(B297,2))</f>
        <v/>
      </c>
      <c r="E297" s="69"/>
      <c r="F297" s="69"/>
      <c r="G297" s="70"/>
      <c r="H297" s="70"/>
      <c r="I297" s="69"/>
      <c r="J297" s="69"/>
      <c r="K297" s="69"/>
      <c r="L297" s="71"/>
      <c r="M297" s="69"/>
      <c r="N297" s="69"/>
      <c r="O297" s="69"/>
      <c r="P297" s="71"/>
      <c r="Q297" s="69"/>
      <c r="R297" s="69"/>
      <c r="S297" s="69"/>
      <c r="T297" s="69"/>
      <c r="U297" s="69"/>
      <c r="V297" s="69"/>
      <c r="W297" s="69"/>
      <c r="X297" s="66" t="str">
        <f aca="false">IF(B297="","",COUNTIF(Q297:W297,"Yes"))</f>
        <v/>
      </c>
      <c r="Y297" s="68" t="str">
        <f aca="false">IF(B297="","",IF(X297&gt;=Settings!$C$16,"A+",IF(X297&gt;=Settings!$C$17,"A",IF(X297&gt;=Settings!$C$18,"B","C"))))</f>
        <v/>
      </c>
      <c r="Z297" s="72"/>
      <c r="AA297" s="72"/>
      <c r="AB297" s="72"/>
      <c r="AC297" s="72"/>
      <c r="AD297" s="72"/>
      <c r="AE297" s="72"/>
      <c r="AF297" s="73"/>
      <c r="AG297" s="74"/>
      <c r="AH297" s="75"/>
      <c r="AI297" s="76" t="str">
        <f aca="false">IF(B297="","",ROUND(IF(AG297="",Settings!$C$5,AG297)*AW297,2))</f>
        <v/>
      </c>
      <c r="AJ297" s="77" t="str">
        <f aca="false">IF(OR(B297="",AB297="",AC297="",AD297=""),"",IFERROR(ROUND(ABS(AD297-AB297)/ABS(AB297-AC297),2),""))</f>
        <v/>
      </c>
      <c r="AK297" s="78" t="str">
        <f aca="false">IF(OR(B297="",AB297="",AC297="",AE297=""),"",IFERROR(ROUND(IF(J297="Short",AB297-AE297,AE297-AB297)/ABS(AB297-AC297),2),""))</f>
        <v/>
      </c>
      <c r="AL297" s="68" t="str">
        <f aca="false">IF(AK297="","",IF(ABS(AK297)&lt;=Settings!$C$6,"BE",IF(AK297&gt;0,"Win","Loss")))</f>
        <v/>
      </c>
      <c r="AM297" s="79" t="str">
        <f aca="false">IF(OR(AK297="",AI297=""),"",ROUND(AK297*AI297-N(AH297),2))</f>
        <v/>
      </c>
      <c r="AN297" s="76" t="str">
        <f aca="false">IF(AM297="","",ROUND(BK297+SUMIFS(AM$6:AM297,BJ$6:BJ297,BJ297),2))</f>
        <v/>
      </c>
      <c r="AO297" s="78" t="str">
        <f aca="false">IF(AK297="","",ROUND(SUMIFS(AK$6:AK297,BJ$6:BJ297,BJ297),2))</f>
        <v/>
      </c>
      <c r="AP297" s="80" t="str">
        <f aca="false">IF(OR(AK297="",BL297=""),"",IFERROR(ROUND(IF(J297="Short",AB297-AE297,AE297-AB297)/BL297,1),""))</f>
        <v/>
      </c>
      <c r="AQ297" s="66" t="str">
        <f aca="false">IF(OR(G297="",H297=""),"",ROUND(MOD(H297-G297,1)*1440,0))</f>
        <v/>
      </c>
      <c r="AR297" s="68" t="str">
        <f aca="false">IF(AQ297="","",IF(AQ297&lt;15,"Under 15m",IF(AQ297&lt;60,"15-60m",IF(AQ297&lt;240,"1-4 hours","4+ hours"))))</f>
        <v/>
      </c>
      <c r="AS297" s="66" t="str">
        <f aca="false">IF(G297="","",HOUR(G297))</f>
        <v/>
      </c>
      <c r="AT297" s="80" t="str">
        <f aca="false">IF(OR(Z297="",AB297="",BL297=""),"",IFERROR(ROUND(IF(J297="Short",Z297-AB297,AB297-Z297)/BL297,1),""))</f>
        <v/>
      </c>
      <c r="AU297" s="68" t="str">
        <f aca="false">IF(OR(AA297="",AC297=""),"",IF(AA297=AC297,"No","Yes"))</f>
        <v/>
      </c>
      <c r="AV297" s="81" t="str">
        <f aca="false">IF(OR(B297="",BL297="",BM297="",AB297="",AC297=""),"",IFERROR(ROUND(AI297/(ABS(AB297-AC297)/BL297*BM297),2),""))</f>
        <v/>
      </c>
      <c r="AW297" s="76" t="str">
        <f aca="false">IF(B297="","",ROUND(BK297+SUMIFS(AM$5:AM296,BJ$5:BJ296,BJ297),2))</f>
        <v/>
      </c>
      <c r="AX297" s="66" t="str">
        <f aca="false">IF(B297="","",COUNTIFS(B$6:B297,B297,BJ$6:BJ297,BJ297))</f>
        <v/>
      </c>
      <c r="AY297" s="79" t="str">
        <f aca="false">IF(B297="","",ROUND(SUMIFS(AM$5:AM296,B$5:B296,B297,BJ$5:BJ296,BJ297),2))</f>
        <v/>
      </c>
      <c r="AZ297" s="79" t="str">
        <f aca="false">IF(AM297="","",ROUND(AY297+AM297,2))</f>
        <v/>
      </c>
      <c r="BA297" s="79" t="str">
        <f aca="false">IF(B297="","",ROUND(SUMIFS(AM$5:AM296,B$5:B296,"&gt;="&amp;(B297-WEEKDAY(B297,2)+1),B$5:B296,"&lt;="&amp;B297,BJ$5:BJ296,BJ297),2))</f>
        <v/>
      </c>
      <c r="BB297" s="68" t="str">
        <f aca="false">IF(B297="","",IF(AND(AF297&lt;&gt;"",AV297&lt;&gt;"",N(AF297)&gt;N(AV297)*(1+Settings!$C$13)),"Oversized",IF(AX297&gt;Settings!$C$10,"Overtraded",IF(AY297&lt;=-Settings!$C$11*(AW297-AY297),"Daily loss hit",IF(BA297&lt;=-Settings!$C$12*(AW297-BA297),"Weekly loss hit","OK")))))</f>
        <v/>
      </c>
      <c r="BC297" s="69"/>
      <c r="BD297" s="69"/>
      <c r="BE297" s="69"/>
      <c r="BF297" s="73"/>
      <c r="BG297" s="73"/>
      <c r="BH297" s="71"/>
      <c r="BI297" s="71"/>
      <c r="BJ297" s="68" t="str">
        <f aca="false">IF(B297="","",IF(E297="",Settings!$F$5,E297))</f>
        <v/>
      </c>
      <c r="BK297" s="76" t="str">
        <f aca="false">IF(B297="","",IFERROR(INDEX(Settings!$G$5:$G$10,MATCH(BJ297,Settings!$F$5:$F$10,0)),Settings!$G$5))</f>
        <v/>
      </c>
      <c r="BL297" s="82" t="str">
        <f aca="false">IF(I297="","",IFERROR(1/(1/INDEX(Lists!$C$6:$C$17,MATCH(I297,Lists!$B$6:$B$17,0))),""))</f>
        <v/>
      </c>
      <c r="BM297" s="81" t="str">
        <f aca="false">IF(I297="","",IFERROR(1/(1/INDEX(Lists!$D$6:$D$17,MATCH(I297,Lists!$B$6:$B$17,0))),""))</f>
        <v/>
      </c>
      <c r="BN297" s="76" t="str">
        <f aca="false">IF(AN297="","",MAX(BK297,_xlfn.MAXIFS(AN$6:AN297,BJ$6:BJ297,BJ297)))</f>
        <v/>
      </c>
      <c r="BO297" s="83" t="str">
        <f aca="false">IF(AN297="","",(AN297-BN297)/BN297)</f>
        <v/>
      </c>
      <c r="BP297" s="66" t="n">
        <f aca="false">IF(OR(B297="",AL297=""),0,IF(OR(Settings!$C$28="All Accounts",BJ297=Settings!$C$28),1,0))</f>
        <v>0</v>
      </c>
      <c r="BQ297" s="66" t="str">
        <f aca="false">IF(BP297=1,SUM(BP$6:BP297),"")</f>
        <v/>
      </c>
      <c r="BR297" s="76" t="str">
        <f aca="false">IF(BP297=1,ROUND(Settings!$C$29+SUMIFS(AM$6:AM297,BP$6:BP297,1),2),"")</f>
        <v/>
      </c>
      <c r="BS297" s="76" t="str">
        <f aca="false">IF(BP297=1,MAX(Settings!$C$29,MAX(BR$6:BR297)),"")</f>
        <v/>
      </c>
      <c r="BT297" s="83" t="str">
        <f aca="false">IF(BP297=1,(BR297-BS297)/BS297,"")</f>
        <v/>
      </c>
      <c r="BU297" s="66" t="str">
        <f aca="false">IF(BP297=1,IF(AL297="Win",1+IF(BQ297=1,0,INDEX(BU$5:BU296,MATCH(BQ297-1,BQ$5:BQ296,0))),0),"")</f>
        <v/>
      </c>
      <c r="BV297" s="66" t="str">
        <f aca="false">IF(BP297=1,IF(AL297="Loss",1+IF(BQ297=1,0,INDEX(BV$5:BV296,MATCH(BQ297-1,BQ$5:BQ296,0))),0),"")</f>
        <v/>
      </c>
    </row>
    <row r="298" customFormat="false" ht="15" hidden="false" customHeight="false" outlineLevel="0" collapsed="false">
      <c r="A298" s="66" t="str">
        <f aca="false">IF(B298="","",ROW()-5)</f>
        <v/>
      </c>
      <c r="B298" s="67"/>
      <c r="C298" s="68" t="str">
        <f aca="false">IF(B298="","",CHOOSE(WEEKDAY(B298,2),"Mon","Tue","Wed","Thu","Fri","Sat","Sun"))</f>
        <v/>
      </c>
      <c r="D298" s="66" t="str">
        <f aca="false">IF(B298="","",WEEKNUM(B298,2))</f>
        <v/>
      </c>
      <c r="E298" s="69"/>
      <c r="F298" s="69"/>
      <c r="G298" s="70"/>
      <c r="H298" s="70"/>
      <c r="I298" s="69"/>
      <c r="J298" s="69"/>
      <c r="K298" s="69"/>
      <c r="L298" s="71"/>
      <c r="M298" s="69"/>
      <c r="N298" s="69"/>
      <c r="O298" s="69"/>
      <c r="P298" s="71"/>
      <c r="Q298" s="69"/>
      <c r="R298" s="69"/>
      <c r="S298" s="69"/>
      <c r="T298" s="69"/>
      <c r="U298" s="69"/>
      <c r="V298" s="69"/>
      <c r="W298" s="69"/>
      <c r="X298" s="66" t="str">
        <f aca="false">IF(B298="","",COUNTIF(Q298:W298,"Yes"))</f>
        <v/>
      </c>
      <c r="Y298" s="68" t="str">
        <f aca="false">IF(B298="","",IF(X298&gt;=Settings!$C$16,"A+",IF(X298&gt;=Settings!$C$17,"A",IF(X298&gt;=Settings!$C$18,"B","C"))))</f>
        <v/>
      </c>
      <c r="Z298" s="72"/>
      <c r="AA298" s="72"/>
      <c r="AB298" s="72"/>
      <c r="AC298" s="72"/>
      <c r="AD298" s="72"/>
      <c r="AE298" s="72"/>
      <c r="AF298" s="73"/>
      <c r="AG298" s="74"/>
      <c r="AH298" s="75"/>
      <c r="AI298" s="76" t="str">
        <f aca="false">IF(B298="","",ROUND(IF(AG298="",Settings!$C$5,AG298)*AW298,2))</f>
        <v/>
      </c>
      <c r="AJ298" s="77" t="str">
        <f aca="false">IF(OR(B298="",AB298="",AC298="",AD298=""),"",IFERROR(ROUND(ABS(AD298-AB298)/ABS(AB298-AC298),2),""))</f>
        <v/>
      </c>
      <c r="AK298" s="78" t="str">
        <f aca="false">IF(OR(B298="",AB298="",AC298="",AE298=""),"",IFERROR(ROUND(IF(J298="Short",AB298-AE298,AE298-AB298)/ABS(AB298-AC298),2),""))</f>
        <v/>
      </c>
      <c r="AL298" s="68" t="str">
        <f aca="false">IF(AK298="","",IF(ABS(AK298)&lt;=Settings!$C$6,"BE",IF(AK298&gt;0,"Win","Loss")))</f>
        <v/>
      </c>
      <c r="AM298" s="79" t="str">
        <f aca="false">IF(OR(AK298="",AI298=""),"",ROUND(AK298*AI298-N(AH298),2))</f>
        <v/>
      </c>
      <c r="AN298" s="76" t="str">
        <f aca="false">IF(AM298="","",ROUND(BK298+SUMIFS(AM$6:AM298,BJ$6:BJ298,BJ298),2))</f>
        <v/>
      </c>
      <c r="AO298" s="78" t="str">
        <f aca="false">IF(AK298="","",ROUND(SUMIFS(AK$6:AK298,BJ$6:BJ298,BJ298),2))</f>
        <v/>
      </c>
      <c r="AP298" s="80" t="str">
        <f aca="false">IF(OR(AK298="",BL298=""),"",IFERROR(ROUND(IF(J298="Short",AB298-AE298,AE298-AB298)/BL298,1),""))</f>
        <v/>
      </c>
      <c r="AQ298" s="66" t="str">
        <f aca="false">IF(OR(G298="",H298=""),"",ROUND(MOD(H298-G298,1)*1440,0))</f>
        <v/>
      </c>
      <c r="AR298" s="68" t="str">
        <f aca="false">IF(AQ298="","",IF(AQ298&lt;15,"Under 15m",IF(AQ298&lt;60,"15-60m",IF(AQ298&lt;240,"1-4 hours","4+ hours"))))</f>
        <v/>
      </c>
      <c r="AS298" s="66" t="str">
        <f aca="false">IF(G298="","",HOUR(G298))</f>
        <v/>
      </c>
      <c r="AT298" s="80" t="str">
        <f aca="false">IF(OR(Z298="",AB298="",BL298=""),"",IFERROR(ROUND(IF(J298="Short",Z298-AB298,AB298-Z298)/BL298,1),""))</f>
        <v/>
      </c>
      <c r="AU298" s="68" t="str">
        <f aca="false">IF(OR(AA298="",AC298=""),"",IF(AA298=AC298,"No","Yes"))</f>
        <v/>
      </c>
      <c r="AV298" s="81" t="str">
        <f aca="false">IF(OR(B298="",BL298="",BM298="",AB298="",AC298=""),"",IFERROR(ROUND(AI298/(ABS(AB298-AC298)/BL298*BM298),2),""))</f>
        <v/>
      </c>
      <c r="AW298" s="76" t="str">
        <f aca="false">IF(B298="","",ROUND(BK298+SUMIFS(AM$5:AM297,BJ$5:BJ297,BJ298),2))</f>
        <v/>
      </c>
      <c r="AX298" s="66" t="str">
        <f aca="false">IF(B298="","",COUNTIFS(B$6:B298,B298,BJ$6:BJ298,BJ298))</f>
        <v/>
      </c>
      <c r="AY298" s="79" t="str">
        <f aca="false">IF(B298="","",ROUND(SUMIFS(AM$5:AM297,B$5:B297,B298,BJ$5:BJ297,BJ298),2))</f>
        <v/>
      </c>
      <c r="AZ298" s="79" t="str">
        <f aca="false">IF(AM298="","",ROUND(AY298+AM298,2))</f>
        <v/>
      </c>
      <c r="BA298" s="79" t="str">
        <f aca="false">IF(B298="","",ROUND(SUMIFS(AM$5:AM297,B$5:B297,"&gt;="&amp;(B298-WEEKDAY(B298,2)+1),B$5:B297,"&lt;="&amp;B298,BJ$5:BJ297,BJ298),2))</f>
        <v/>
      </c>
      <c r="BB298" s="68" t="str">
        <f aca="false">IF(B298="","",IF(AND(AF298&lt;&gt;"",AV298&lt;&gt;"",N(AF298)&gt;N(AV298)*(1+Settings!$C$13)),"Oversized",IF(AX298&gt;Settings!$C$10,"Overtraded",IF(AY298&lt;=-Settings!$C$11*(AW298-AY298),"Daily loss hit",IF(BA298&lt;=-Settings!$C$12*(AW298-BA298),"Weekly loss hit","OK")))))</f>
        <v/>
      </c>
      <c r="BC298" s="69"/>
      <c r="BD298" s="69"/>
      <c r="BE298" s="69"/>
      <c r="BF298" s="73"/>
      <c r="BG298" s="73"/>
      <c r="BH298" s="71"/>
      <c r="BI298" s="71"/>
      <c r="BJ298" s="68" t="str">
        <f aca="false">IF(B298="","",IF(E298="",Settings!$F$5,E298))</f>
        <v/>
      </c>
      <c r="BK298" s="76" t="str">
        <f aca="false">IF(B298="","",IFERROR(INDEX(Settings!$G$5:$G$10,MATCH(BJ298,Settings!$F$5:$F$10,0)),Settings!$G$5))</f>
        <v/>
      </c>
      <c r="BL298" s="82" t="str">
        <f aca="false">IF(I298="","",IFERROR(1/(1/INDEX(Lists!$C$6:$C$17,MATCH(I298,Lists!$B$6:$B$17,0))),""))</f>
        <v/>
      </c>
      <c r="BM298" s="81" t="str">
        <f aca="false">IF(I298="","",IFERROR(1/(1/INDEX(Lists!$D$6:$D$17,MATCH(I298,Lists!$B$6:$B$17,0))),""))</f>
        <v/>
      </c>
      <c r="BN298" s="76" t="str">
        <f aca="false">IF(AN298="","",MAX(BK298,_xlfn.MAXIFS(AN$6:AN298,BJ$6:BJ298,BJ298)))</f>
        <v/>
      </c>
      <c r="BO298" s="83" t="str">
        <f aca="false">IF(AN298="","",(AN298-BN298)/BN298)</f>
        <v/>
      </c>
      <c r="BP298" s="66" t="n">
        <f aca="false">IF(OR(B298="",AL298=""),0,IF(OR(Settings!$C$28="All Accounts",BJ298=Settings!$C$28),1,0))</f>
        <v>0</v>
      </c>
      <c r="BQ298" s="66" t="str">
        <f aca="false">IF(BP298=1,SUM(BP$6:BP298),"")</f>
        <v/>
      </c>
      <c r="BR298" s="76" t="str">
        <f aca="false">IF(BP298=1,ROUND(Settings!$C$29+SUMIFS(AM$6:AM298,BP$6:BP298,1),2),"")</f>
        <v/>
      </c>
      <c r="BS298" s="76" t="str">
        <f aca="false">IF(BP298=1,MAX(Settings!$C$29,MAX(BR$6:BR298)),"")</f>
        <v/>
      </c>
      <c r="BT298" s="83" t="str">
        <f aca="false">IF(BP298=1,(BR298-BS298)/BS298,"")</f>
        <v/>
      </c>
      <c r="BU298" s="66" t="str">
        <f aca="false">IF(BP298=1,IF(AL298="Win",1+IF(BQ298=1,0,INDEX(BU$5:BU297,MATCH(BQ298-1,BQ$5:BQ297,0))),0),"")</f>
        <v/>
      </c>
      <c r="BV298" s="66" t="str">
        <f aca="false">IF(BP298=1,IF(AL298="Loss",1+IF(BQ298=1,0,INDEX(BV$5:BV297,MATCH(BQ298-1,BQ$5:BQ297,0))),0),"")</f>
        <v/>
      </c>
    </row>
    <row r="299" customFormat="false" ht="15" hidden="false" customHeight="false" outlineLevel="0" collapsed="false">
      <c r="A299" s="66" t="str">
        <f aca="false">IF(B299="","",ROW()-5)</f>
        <v/>
      </c>
      <c r="B299" s="67"/>
      <c r="C299" s="68" t="str">
        <f aca="false">IF(B299="","",CHOOSE(WEEKDAY(B299,2),"Mon","Tue","Wed","Thu","Fri","Sat","Sun"))</f>
        <v/>
      </c>
      <c r="D299" s="66" t="str">
        <f aca="false">IF(B299="","",WEEKNUM(B299,2))</f>
        <v/>
      </c>
      <c r="E299" s="69"/>
      <c r="F299" s="69"/>
      <c r="G299" s="70"/>
      <c r="H299" s="70"/>
      <c r="I299" s="69"/>
      <c r="J299" s="69"/>
      <c r="K299" s="69"/>
      <c r="L299" s="71"/>
      <c r="M299" s="69"/>
      <c r="N299" s="69"/>
      <c r="O299" s="69"/>
      <c r="P299" s="71"/>
      <c r="Q299" s="69"/>
      <c r="R299" s="69"/>
      <c r="S299" s="69"/>
      <c r="T299" s="69"/>
      <c r="U299" s="69"/>
      <c r="V299" s="69"/>
      <c r="W299" s="69"/>
      <c r="X299" s="66" t="str">
        <f aca="false">IF(B299="","",COUNTIF(Q299:W299,"Yes"))</f>
        <v/>
      </c>
      <c r="Y299" s="68" t="str">
        <f aca="false">IF(B299="","",IF(X299&gt;=Settings!$C$16,"A+",IF(X299&gt;=Settings!$C$17,"A",IF(X299&gt;=Settings!$C$18,"B","C"))))</f>
        <v/>
      </c>
      <c r="Z299" s="72"/>
      <c r="AA299" s="72"/>
      <c r="AB299" s="72"/>
      <c r="AC299" s="72"/>
      <c r="AD299" s="72"/>
      <c r="AE299" s="72"/>
      <c r="AF299" s="73"/>
      <c r="AG299" s="74"/>
      <c r="AH299" s="75"/>
      <c r="AI299" s="76" t="str">
        <f aca="false">IF(B299="","",ROUND(IF(AG299="",Settings!$C$5,AG299)*AW299,2))</f>
        <v/>
      </c>
      <c r="AJ299" s="77" t="str">
        <f aca="false">IF(OR(B299="",AB299="",AC299="",AD299=""),"",IFERROR(ROUND(ABS(AD299-AB299)/ABS(AB299-AC299),2),""))</f>
        <v/>
      </c>
      <c r="AK299" s="78" t="str">
        <f aca="false">IF(OR(B299="",AB299="",AC299="",AE299=""),"",IFERROR(ROUND(IF(J299="Short",AB299-AE299,AE299-AB299)/ABS(AB299-AC299),2),""))</f>
        <v/>
      </c>
      <c r="AL299" s="68" t="str">
        <f aca="false">IF(AK299="","",IF(ABS(AK299)&lt;=Settings!$C$6,"BE",IF(AK299&gt;0,"Win","Loss")))</f>
        <v/>
      </c>
      <c r="AM299" s="79" t="str">
        <f aca="false">IF(OR(AK299="",AI299=""),"",ROUND(AK299*AI299-N(AH299),2))</f>
        <v/>
      </c>
      <c r="AN299" s="76" t="str">
        <f aca="false">IF(AM299="","",ROUND(BK299+SUMIFS(AM$6:AM299,BJ$6:BJ299,BJ299),2))</f>
        <v/>
      </c>
      <c r="AO299" s="78" t="str">
        <f aca="false">IF(AK299="","",ROUND(SUMIFS(AK$6:AK299,BJ$6:BJ299,BJ299),2))</f>
        <v/>
      </c>
      <c r="AP299" s="80" t="str">
        <f aca="false">IF(OR(AK299="",BL299=""),"",IFERROR(ROUND(IF(J299="Short",AB299-AE299,AE299-AB299)/BL299,1),""))</f>
        <v/>
      </c>
      <c r="AQ299" s="66" t="str">
        <f aca="false">IF(OR(G299="",H299=""),"",ROUND(MOD(H299-G299,1)*1440,0))</f>
        <v/>
      </c>
      <c r="AR299" s="68" t="str">
        <f aca="false">IF(AQ299="","",IF(AQ299&lt;15,"Under 15m",IF(AQ299&lt;60,"15-60m",IF(AQ299&lt;240,"1-4 hours","4+ hours"))))</f>
        <v/>
      </c>
      <c r="AS299" s="66" t="str">
        <f aca="false">IF(G299="","",HOUR(G299))</f>
        <v/>
      </c>
      <c r="AT299" s="80" t="str">
        <f aca="false">IF(OR(Z299="",AB299="",BL299=""),"",IFERROR(ROUND(IF(J299="Short",Z299-AB299,AB299-Z299)/BL299,1),""))</f>
        <v/>
      </c>
      <c r="AU299" s="68" t="str">
        <f aca="false">IF(OR(AA299="",AC299=""),"",IF(AA299=AC299,"No","Yes"))</f>
        <v/>
      </c>
      <c r="AV299" s="81" t="str">
        <f aca="false">IF(OR(B299="",BL299="",BM299="",AB299="",AC299=""),"",IFERROR(ROUND(AI299/(ABS(AB299-AC299)/BL299*BM299),2),""))</f>
        <v/>
      </c>
      <c r="AW299" s="76" t="str">
        <f aca="false">IF(B299="","",ROUND(BK299+SUMIFS(AM$5:AM298,BJ$5:BJ298,BJ299),2))</f>
        <v/>
      </c>
      <c r="AX299" s="66" t="str">
        <f aca="false">IF(B299="","",COUNTIFS(B$6:B299,B299,BJ$6:BJ299,BJ299))</f>
        <v/>
      </c>
      <c r="AY299" s="79" t="str">
        <f aca="false">IF(B299="","",ROUND(SUMIFS(AM$5:AM298,B$5:B298,B299,BJ$5:BJ298,BJ299),2))</f>
        <v/>
      </c>
      <c r="AZ299" s="79" t="str">
        <f aca="false">IF(AM299="","",ROUND(AY299+AM299,2))</f>
        <v/>
      </c>
      <c r="BA299" s="79" t="str">
        <f aca="false">IF(B299="","",ROUND(SUMIFS(AM$5:AM298,B$5:B298,"&gt;="&amp;(B299-WEEKDAY(B299,2)+1),B$5:B298,"&lt;="&amp;B299,BJ$5:BJ298,BJ299),2))</f>
        <v/>
      </c>
      <c r="BB299" s="68" t="str">
        <f aca="false">IF(B299="","",IF(AND(AF299&lt;&gt;"",AV299&lt;&gt;"",N(AF299)&gt;N(AV299)*(1+Settings!$C$13)),"Oversized",IF(AX299&gt;Settings!$C$10,"Overtraded",IF(AY299&lt;=-Settings!$C$11*(AW299-AY299),"Daily loss hit",IF(BA299&lt;=-Settings!$C$12*(AW299-BA299),"Weekly loss hit","OK")))))</f>
        <v/>
      </c>
      <c r="BC299" s="69"/>
      <c r="BD299" s="69"/>
      <c r="BE299" s="69"/>
      <c r="BF299" s="73"/>
      <c r="BG299" s="73"/>
      <c r="BH299" s="71"/>
      <c r="BI299" s="71"/>
      <c r="BJ299" s="68" t="str">
        <f aca="false">IF(B299="","",IF(E299="",Settings!$F$5,E299))</f>
        <v/>
      </c>
      <c r="BK299" s="76" t="str">
        <f aca="false">IF(B299="","",IFERROR(INDEX(Settings!$G$5:$G$10,MATCH(BJ299,Settings!$F$5:$F$10,0)),Settings!$G$5))</f>
        <v/>
      </c>
      <c r="BL299" s="82" t="str">
        <f aca="false">IF(I299="","",IFERROR(1/(1/INDEX(Lists!$C$6:$C$17,MATCH(I299,Lists!$B$6:$B$17,0))),""))</f>
        <v/>
      </c>
      <c r="BM299" s="81" t="str">
        <f aca="false">IF(I299="","",IFERROR(1/(1/INDEX(Lists!$D$6:$D$17,MATCH(I299,Lists!$B$6:$B$17,0))),""))</f>
        <v/>
      </c>
      <c r="BN299" s="76" t="str">
        <f aca="false">IF(AN299="","",MAX(BK299,_xlfn.MAXIFS(AN$6:AN299,BJ$6:BJ299,BJ299)))</f>
        <v/>
      </c>
      <c r="BO299" s="83" t="str">
        <f aca="false">IF(AN299="","",(AN299-BN299)/BN299)</f>
        <v/>
      </c>
      <c r="BP299" s="66" t="n">
        <f aca="false">IF(OR(B299="",AL299=""),0,IF(OR(Settings!$C$28="All Accounts",BJ299=Settings!$C$28),1,0))</f>
        <v>0</v>
      </c>
      <c r="BQ299" s="66" t="str">
        <f aca="false">IF(BP299=1,SUM(BP$6:BP299),"")</f>
        <v/>
      </c>
      <c r="BR299" s="76" t="str">
        <f aca="false">IF(BP299=1,ROUND(Settings!$C$29+SUMIFS(AM$6:AM299,BP$6:BP299,1),2),"")</f>
        <v/>
      </c>
      <c r="BS299" s="76" t="str">
        <f aca="false">IF(BP299=1,MAX(Settings!$C$29,MAX(BR$6:BR299)),"")</f>
        <v/>
      </c>
      <c r="BT299" s="83" t="str">
        <f aca="false">IF(BP299=1,(BR299-BS299)/BS299,"")</f>
        <v/>
      </c>
      <c r="BU299" s="66" t="str">
        <f aca="false">IF(BP299=1,IF(AL299="Win",1+IF(BQ299=1,0,INDEX(BU$5:BU298,MATCH(BQ299-1,BQ$5:BQ298,0))),0),"")</f>
        <v/>
      </c>
      <c r="BV299" s="66" t="str">
        <f aca="false">IF(BP299=1,IF(AL299="Loss",1+IF(BQ299=1,0,INDEX(BV$5:BV298,MATCH(BQ299-1,BQ$5:BQ298,0))),0),"")</f>
        <v/>
      </c>
    </row>
    <row r="300" customFormat="false" ht="15" hidden="false" customHeight="false" outlineLevel="0" collapsed="false">
      <c r="A300" s="66" t="str">
        <f aca="false">IF(B300="","",ROW()-5)</f>
        <v/>
      </c>
      <c r="B300" s="67"/>
      <c r="C300" s="68" t="str">
        <f aca="false">IF(B300="","",CHOOSE(WEEKDAY(B300,2),"Mon","Tue","Wed","Thu","Fri","Sat","Sun"))</f>
        <v/>
      </c>
      <c r="D300" s="66" t="str">
        <f aca="false">IF(B300="","",WEEKNUM(B300,2))</f>
        <v/>
      </c>
      <c r="E300" s="69"/>
      <c r="F300" s="69"/>
      <c r="G300" s="70"/>
      <c r="H300" s="70"/>
      <c r="I300" s="69"/>
      <c r="J300" s="69"/>
      <c r="K300" s="69"/>
      <c r="L300" s="71"/>
      <c r="M300" s="69"/>
      <c r="N300" s="69"/>
      <c r="O300" s="69"/>
      <c r="P300" s="71"/>
      <c r="Q300" s="69"/>
      <c r="R300" s="69"/>
      <c r="S300" s="69"/>
      <c r="T300" s="69"/>
      <c r="U300" s="69"/>
      <c r="V300" s="69"/>
      <c r="W300" s="69"/>
      <c r="X300" s="66" t="str">
        <f aca="false">IF(B300="","",COUNTIF(Q300:W300,"Yes"))</f>
        <v/>
      </c>
      <c r="Y300" s="68" t="str">
        <f aca="false">IF(B300="","",IF(X300&gt;=Settings!$C$16,"A+",IF(X300&gt;=Settings!$C$17,"A",IF(X300&gt;=Settings!$C$18,"B","C"))))</f>
        <v/>
      </c>
      <c r="Z300" s="72"/>
      <c r="AA300" s="72"/>
      <c r="AB300" s="72"/>
      <c r="AC300" s="72"/>
      <c r="AD300" s="72"/>
      <c r="AE300" s="72"/>
      <c r="AF300" s="73"/>
      <c r="AG300" s="74"/>
      <c r="AH300" s="75"/>
      <c r="AI300" s="76" t="str">
        <f aca="false">IF(B300="","",ROUND(IF(AG300="",Settings!$C$5,AG300)*AW300,2))</f>
        <v/>
      </c>
      <c r="AJ300" s="77" t="str">
        <f aca="false">IF(OR(B300="",AB300="",AC300="",AD300=""),"",IFERROR(ROUND(ABS(AD300-AB300)/ABS(AB300-AC300),2),""))</f>
        <v/>
      </c>
      <c r="AK300" s="78" t="str">
        <f aca="false">IF(OR(B300="",AB300="",AC300="",AE300=""),"",IFERROR(ROUND(IF(J300="Short",AB300-AE300,AE300-AB300)/ABS(AB300-AC300),2),""))</f>
        <v/>
      </c>
      <c r="AL300" s="68" t="str">
        <f aca="false">IF(AK300="","",IF(ABS(AK300)&lt;=Settings!$C$6,"BE",IF(AK300&gt;0,"Win","Loss")))</f>
        <v/>
      </c>
      <c r="AM300" s="79" t="str">
        <f aca="false">IF(OR(AK300="",AI300=""),"",ROUND(AK300*AI300-N(AH300),2))</f>
        <v/>
      </c>
      <c r="AN300" s="76" t="str">
        <f aca="false">IF(AM300="","",ROUND(BK300+SUMIFS(AM$6:AM300,BJ$6:BJ300,BJ300),2))</f>
        <v/>
      </c>
      <c r="AO300" s="78" t="str">
        <f aca="false">IF(AK300="","",ROUND(SUMIFS(AK$6:AK300,BJ$6:BJ300,BJ300),2))</f>
        <v/>
      </c>
      <c r="AP300" s="80" t="str">
        <f aca="false">IF(OR(AK300="",BL300=""),"",IFERROR(ROUND(IF(J300="Short",AB300-AE300,AE300-AB300)/BL300,1),""))</f>
        <v/>
      </c>
      <c r="AQ300" s="66" t="str">
        <f aca="false">IF(OR(G300="",H300=""),"",ROUND(MOD(H300-G300,1)*1440,0))</f>
        <v/>
      </c>
      <c r="AR300" s="68" t="str">
        <f aca="false">IF(AQ300="","",IF(AQ300&lt;15,"Under 15m",IF(AQ300&lt;60,"15-60m",IF(AQ300&lt;240,"1-4 hours","4+ hours"))))</f>
        <v/>
      </c>
      <c r="AS300" s="66" t="str">
        <f aca="false">IF(G300="","",HOUR(G300))</f>
        <v/>
      </c>
      <c r="AT300" s="80" t="str">
        <f aca="false">IF(OR(Z300="",AB300="",BL300=""),"",IFERROR(ROUND(IF(J300="Short",Z300-AB300,AB300-Z300)/BL300,1),""))</f>
        <v/>
      </c>
      <c r="AU300" s="68" t="str">
        <f aca="false">IF(OR(AA300="",AC300=""),"",IF(AA300=AC300,"No","Yes"))</f>
        <v/>
      </c>
      <c r="AV300" s="81" t="str">
        <f aca="false">IF(OR(B300="",BL300="",BM300="",AB300="",AC300=""),"",IFERROR(ROUND(AI300/(ABS(AB300-AC300)/BL300*BM300),2),""))</f>
        <v/>
      </c>
      <c r="AW300" s="76" t="str">
        <f aca="false">IF(B300="","",ROUND(BK300+SUMIFS(AM$5:AM299,BJ$5:BJ299,BJ300),2))</f>
        <v/>
      </c>
      <c r="AX300" s="66" t="str">
        <f aca="false">IF(B300="","",COUNTIFS(B$6:B300,B300,BJ$6:BJ300,BJ300))</f>
        <v/>
      </c>
      <c r="AY300" s="79" t="str">
        <f aca="false">IF(B300="","",ROUND(SUMIFS(AM$5:AM299,B$5:B299,B300,BJ$5:BJ299,BJ300),2))</f>
        <v/>
      </c>
      <c r="AZ300" s="79" t="str">
        <f aca="false">IF(AM300="","",ROUND(AY300+AM300,2))</f>
        <v/>
      </c>
      <c r="BA300" s="79" t="str">
        <f aca="false">IF(B300="","",ROUND(SUMIFS(AM$5:AM299,B$5:B299,"&gt;="&amp;(B300-WEEKDAY(B300,2)+1),B$5:B299,"&lt;="&amp;B300,BJ$5:BJ299,BJ300),2))</f>
        <v/>
      </c>
      <c r="BB300" s="68" t="str">
        <f aca="false">IF(B300="","",IF(AND(AF300&lt;&gt;"",AV300&lt;&gt;"",N(AF300)&gt;N(AV300)*(1+Settings!$C$13)),"Oversized",IF(AX300&gt;Settings!$C$10,"Overtraded",IF(AY300&lt;=-Settings!$C$11*(AW300-AY300),"Daily loss hit",IF(BA300&lt;=-Settings!$C$12*(AW300-BA300),"Weekly loss hit","OK")))))</f>
        <v/>
      </c>
      <c r="BC300" s="69"/>
      <c r="BD300" s="69"/>
      <c r="BE300" s="69"/>
      <c r="BF300" s="73"/>
      <c r="BG300" s="73"/>
      <c r="BH300" s="71"/>
      <c r="BI300" s="71"/>
      <c r="BJ300" s="68" t="str">
        <f aca="false">IF(B300="","",IF(E300="",Settings!$F$5,E300))</f>
        <v/>
      </c>
      <c r="BK300" s="76" t="str">
        <f aca="false">IF(B300="","",IFERROR(INDEX(Settings!$G$5:$G$10,MATCH(BJ300,Settings!$F$5:$F$10,0)),Settings!$G$5))</f>
        <v/>
      </c>
      <c r="BL300" s="82" t="str">
        <f aca="false">IF(I300="","",IFERROR(1/(1/INDEX(Lists!$C$6:$C$17,MATCH(I300,Lists!$B$6:$B$17,0))),""))</f>
        <v/>
      </c>
      <c r="BM300" s="81" t="str">
        <f aca="false">IF(I300="","",IFERROR(1/(1/INDEX(Lists!$D$6:$D$17,MATCH(I300,Lists!$B$6:$B$17,0))),""))</f>
        <v/>
      </c>
      <c r="BN300" s="76" t="str">
        <f aca="false">IF(AN300="","",MAX(BK300,_xlfn.MAXIFS(AN$6:AN300,BJ$6:BJ300,BJ300)))</f>
        <v/>
      </c>
      <c r="BO300" s="83" t="str">
        <f aca="false">IF(AN300="","",(AN300-BN300)/BN300)</f>
        <v/>
      </c>
      <c r="BP300" s="66" t="n">
        <f aca="false">IF(OR(B300="",AL300=""),0,IF(OR(Settings!$C$28="All Accounts",BJ300=Settings!$C$28),1,0))</f>
        <v>0</v>
      </c>
      <c r="BQ300" s="66" t="str">
        <f aca="false">IF(BP300=1,SUM(BP$6:BP300),"")</f>
        <v/>
      </c>
      <c r="BR300" s="76" t="str">
        <f aca="false">IF(BP300=1,ROUND(Settings!$C$29+SUMIFS(AM$6:AM300,BP$6:BP300,1),2),"")</f>
        <v/>
      </c>
      <c r="BS300" s="76" t="str">
        <f aca="false">IF(BP300=1,MAX(Settings!$C$29,MAX(BR$6:BR300)),"")</f>
        <v/>
      </c>
      <c r="BT300" s="83" t="str">
        <f aca="false">IF(BP300=1,(BR300-BS300)/BS300,"")</f>
        <v/>
      </c>
      <c r="BU300" s="66" t="str">
        <f aca="false">IF(BP300=1,IF(AL300="Win",1+IF(BQ300=1,0,INDEX(BU$5:BU299,MATCH(BQ300-1,BQ$5:BQ299,0))),0),"")</f>
        <v/>
      </c>
      <c r="BV300" s="66" t="str">
        <f aca="false">IF(BP300=1,IF(AL300="Loss",1+IF(BQ300=1,0,INDEX(BV$5:BV299,MATCH(BQ300-1,BQ$5:BQ299,0))),0),"")</f>
        <v/>
      </c>
    </row>
    <row r="301" customFormat="false" ht="15" hidden="false" customHeight="false" outlineLevel="0" collapsed="false">
      <c r="A301" s="66" t="str">
        <f aca="false">IF(B301="","",ROW()-5)</f>
        <v/>
      </c>
      <c r="B301" s="67"/>
      <c r="C301" s="68" t="str">
        <f aca="false">IF(B301="","",CHOOSE(WEEKDAY(B301,2),"Mon","Tue","Wed","Thu","Fri","Sat","Sun"))</f>
        <v/>
      </c>
      <c r="D301" s="66" t="str">
        <f aca="false">IF(B301="","",WEEKNUM(B301,2))</f>
        <v/>
      </c>
      <c r="E301" s="69"/>
      <c r="F301" s="69"/>
      <c r="G301" s="70"/>
      <c r="H301" s="70"/>
      <c r="I301" s="69"/>
      <c r="J301" s="69"/>
      <c r="K301" s="69"/>
      <c r="L301" s="71"/>
      <c r="M301" s="69"/>
      <c r="N301" s="69"/>
      <c r="O301" s="69"/>
      <c r="P301" s="71"/>
      <c r="Q301" s="69"/>
      <c r="R301" s="69"/>
      <c r="S301" s="69"/>
      <c r="T301" s="69"/>
      <c r="U301" s="69"/>
      <c r="V301" s="69"/>
      <c r="W301" s="69"/>
      <c r="X301" s="66" t="str">
        <f aca="false">IF(B301="","",COUNTIF(Q301:W301,"Yes"))</f>
        <v/>
      </c>
      <c r="Y301" s="68" t="str">
        <f aca="false">IF(B301="","",IF(X301&gt;=Settings!$C$16,"A+",IF(X301&gt;=Settings!$C$17,"A",IF(X301&gt;=Settings!$C$18,"B","C"))))</f>
        <v/>
      </c>
      <c r="Z301" s="72"/>
      <c r="AA301" s="72"/>
      <c r="AB301" s="72"/>
      <c r="AC301" s="72"/>
      <c r="AD301" s="72"/>
      <c r="AE301" s="72"/>
      <c r="AF301" s="73"/>
      <c r="AG301" s="74"/>
      <c r="AH301" s="75"/>
      <c r="AI301" s="76" t="str">
        <f aca="false">IF(B301="","",ROUND(IF(AG301="",Settings!$C$5,AG301)*AW301,2))</f>
        <v/>
      </c>
      <c r="AJ301" s="77" t="str">
        <f aca="false">IF(OR(B301="",AB301="",AC301="",AD301=""),"",IFERROR(ROUND(ABS(AD301-AB301)/ABS(AB301-AC301),2),""))</f>
        <v/>
      </c>
      <c r="AK301" s="78" t="str">
        <f aca="false">IF(OR(B301="",AB301="",AC301="",AE301=""),"",IFERROR(ROUND(IF(J301="Short",AB301-AE301,AE301-AB301)/ABS(AB301-AC301),2),""))</f>
        <v/>
      </c>
      <c r="AL301" s="68" t="str">
        <f aca="false">IF(AK301="","",IF(ABS(AK301)&lt;=Settings!$C$6,"BE",IF(AK301&gt;0,"Win","Loss")))</f>
        <v/>
      </c>
      <c r="AM301" s="79" t="str">
        <f aca="false">IF(OR(AK301="",AI301=""),"",ROUND(AK301*AI301-N(AH301),2))</f>
        <v/>
      </c>
      <c r="AN301" s="76" t="str">
        <f aca="false">IF(AM301="","",ROUND(BK301+SUMIFS(AM$6:AM301,BJ$6:BJ301,BJ301),2))</f>
        <v/>
      </c>
      <c r="AO301" s="78" t="str">
        <f aca="false">IF(AK301="","",ROUND(SUMIFS(AK$6:AK301,BJ$6:BJ301,BJ301),2))</f>
        <v/>
      </c>
      <c r="AP301" s="80" t="str">
        <f aca="false">IF(OR(AK301="",BL301=""),"",IFERROR(ROUND(IF(J301="Short",AB301-AE301,AE301-AB301)/BL301,1),""))</f>
        <v/>
      </c>
      <c r="AQ301" s="66" t="str">
        <f aca="false">IF(OR(G301="",H301=""),"",ROUND(MOD(H301-G301,1)*1440,0))</f>
        <v/>
      </c>
      <c r="AR301" s="68" t="str">
        <f aca="false">IF(AQ301="","",IF(AQ301&lt;15,"Under 15m",IF(AQ301&lt;60,"15-60m",IF(AQ301&lt;240,"1-4 hours","4+ hours"))))</f>
        <v/>
      </c>
      <c r="AS301" s="66" t="str">
        <f aca="false">IF(G301="","",HOUR(G301))</f>
        <v/>
      </c>
      <c r="AT301" s="80" t="str">
        <f aca="false">IF(OR(Z301="",AB301="",BL301=""),"",IFERROR(ROUND(IF(J301="Short",Z301-AB301,AB301-Z301)/BL301,1),""))</f>
        <v/>
      </c>
      <c r="AU301" s="68" t="str">
        <f aca="false">IF(OR(AA301="",AC301=""),"",IF(AA301=AC301,"No","Yes"))</f>
        <v/>
      </c>
      <c r="AV301" s="81" t="str">
        <f aca="false">IF(OR(B301="",BL301="",BM301="",AB301="",AC301=""),"",IFERROR(ROUND(AI301/(ABS(AB301-AC301)/BL301*BM301),2),""))</f>
        <v/>
      </c>
      <c r="AW301" s="76" t="str">
        <f aca="false">IF(B301="","",ROUND(BK301+SUMIFS(AM$5:AM300,BJ$5:BJ300,BJ301),2))</f>
        <v/>
      </c>
      <c r="AX301" s="66" t="str">
        <f aca="false">IF(B301="","",COUNTIFS(B$6:B301,B301,BJ$6:BJ301,BJ301))</f>
        <v/>
      </c>
      <c r="AY301" s="79" t="str">
        <f aca="false">IF(B301="","",ROUND(SUMIFS(AM$5:AM300,B$5:B300,B301,BJ$5:BJ300,BJ301),2))</f>
        <v/>
      </c>
      <c r="AZ301" s="79" t="str">
        <f aca="false">IF(AM301="","",ROUND(AY301+AM301,2))</f>
        <v/>
      </c>
      <c r="BA301" s="79" t="str">
        <f aca="false">IF(B301="","",ROUND(SUMIFS(AM$5:AM300,B$5:B300,"&gt;="&amp;(B301-WEEKDAY(B301,2)+1),B$5:B300,"&lt;="&amp;B301,BJ$5:BJ300,BJ301),2))</f>
        <v/>
      </c>
      <c r="BB301" s="68" t="str">
        <f aca="false">IF(B301="","",IF(AND(AF301&lt;&gt;"",AV301&lt;&gt;"",N(AF301)&gt;N(AV301)*(1+Settings!$C$13)),"Oversized",IF(AX301&gt;Settings!$C$10,"Overtraded",IF(AY301&lt;=-Settings!$C$11*(AW301-AY301),"Daily loss hit",IF(BA301&lt;=-Settings!$C$12*(AW301-BA301),"Weekly loss hit","OK")))))</f>
        <v/>
      </c>
      <c r="BC301" s="69"/>
      <c r="BD301" s="69"/>
      <c r="BE301" s="69"/>
      <c r="BF301" s="73"/>
      <c r="BG301" s="73"/>
      <c r="BH301" s="71"/>
      <c r="BI301" s="71"/>
      <c r="BJ301" s="68" t="str">
        <f aca="false">IF(B301="","",IF(E301="",Settings!$F$5,E301))</f>
        <v/>
      </c>
      <c r="BK301" s="76" t="str">
        <f aca="false">IF(B301="","",IFERROR(INDEX(Settings!$G$5:$G$10,MATCH(BJ301,Settings!$F$5:$F$10,0)),Settings!$G$5))</f>
        <v/>
      </c>
      <c r="BL301" s="82" t="str">
        <f aca="false">IF(I301="","",IFERROR(1/(1/INDEX(Lists!$C$6:$C$17,MATCH(I301,Lists!$B$6:$B$17,0))),""))</f>
        <v/>
      </c>
      <c r="BM301" s="81" t="str">
        <f aca="false">IF(I301="","",IFERROR(1/(1/INDEX(Lists!$D$6:$D$17,MATCH(I301,Lists!$B$6:$B$17,0))),""))</f>
        <v/>
      </c>
      <c r="BN301" s="76" t="str">
        <f aca="false">IF(AN301="","",MAX(BK301,_xlfn.MAXIFS(AN$6:AN301,BJ$6:BJ301,BJ301)))</f>
        <v/>
      </c>
      <c r="BO301" s="83" t="str">
        <f aca="false">IF(AN301="","",(AN301-BN301)/BN301)</f>
        <v/>
      </c>
      <c r="BP301" s="66" t="n">
        <f aca="false">IF(OR(B301="",AL301=""),0,IF(OR(Settings!$C$28="All Accounts",BJ301=Settings!$C$28),1,0))</f>
        <v>0</v>
      </c>
      <c r="BQ301" s="66" t="str">
        <f aca="false">IF(BP301=1,SUM(BP$6:BP301),"")</f>
        <v/>
      </c>
      <c r="BR301" s="76" t="str">
        <f aca="false">IF(BP301=1,ROUND(Settings!$C$29+SUMIFS(AM$6:AM301,BP$6:BP301,1),2),"")</f>
        <v/>
      </c>
      <c r="BS301" s="76" t="str">
        <f aca="false">IF(BP301=1,MAX(Settings!$C$29,MAX(BR$6:BR301)),"")</f>
        <v/>
      </c>
      <c r="BT301" s="83" t="str">
        <f aca="false">IF(BP301=1,(BR301-BS301)/BS301,"")</f>
        <v/>
      </c>
      <c r="BU301" s="66" t="str">
        <f aca="false">IF(BP301=1,IF(AL301="Win",1+IF(BQ301=1,0,INDEX(BU$5:BU300,MATCH(BQ301-1,BQ$5:BQ300,0))),0),"")</f>
        <v/>
      </c>
      <c r="BV301" s="66" t="str">
        <f aca="false">IF(BP301=1,IF(AL301="Loss",1+IF(BQ301=1,0,INDEX(BV$5:BV300,MATCH(BQ301-1,BQ$5:BQ300,0))),0),"")</f>
        <v/>
      </c>
    </row>
    <row r="302" customFormat="false" ht="15" hidden="false" customHeight="false" outlineLevel="0" collapsed="false">
      <c r="A302" s="66" t="str">
        <f aca="false">IF(B302="","",ROW()-5)</f>
        <v/>
      </c>
      <c r="B302" s="67"/>
      <c r="C302" s="68" t="str">
        <f aca="false">IF(B302="","",CHOOSE(WEEKDAY(B302,2),"Mon","Tue","Wed","Thu","Fri","Sat","Sun"))</f>
        <v/>
      </c>
      <c r="D302" s="66" t="str">
        <f aca="false">IF(B302="","",WEEKNUM(B302,2))</f>
        <v/>
      </c>
      <c r="E302" s="69"/>
      <c r="F302" s="69"/>
      <c r="G302" s="70"/>
      <c r="H302" s="70"/>
      <c r="I302" s="69"/>
      <c r="J302" s="69"/>
      <c r="K302" s="69"/>
      <c r="L302" s="71"/>
      <c r="M302" s="69"/>
      <c r="N302" s="69"/>
      <c r="O302" s="69"/>
      <c r="P302" s="71"/>
      <c r="Q302" s="69"/>
      <c r="R302" s="69"/>
      <c r="S302" s="69"/>
      <c r="T302" s="69"/>
      <c r="U302" s="69"/>
      <c r="V302" s="69"/>
      <c r="W302" s="69"/>
      <c r="X302" s="66" t="str">
        <f aca="false">IF(B302="","",COUNTIF(Q302:W302,"Yes"))</f>
        <v/>
      </c>
      <c r="Y302" s="68" t="str">
        <f aca="false">IF(B302="","",IF(X302&gt;=Settings!$C$16,"A+",IF(X302&gt;=Settings!$C$17,"A",IF(X302&gt;=Settings!$C$18,"B","C"))))</f>
        <v/>
      </c>
      <c r="Z302" s="72"/>
      <c r="AA302" s="72"/>
      <c r="AB302" s="72"/>
      <c r="AC302" s="72"/>
      <c r="AD302" s="72"/>
      <c r="AE302" s="72"/>
      <c r="AF302" s="73"/>
      <c r="AG302" s="74"/>
      <c r="AH302" s="75"/>
      <c r="AI302" s="76" t="str">
        <f aca="false">IF(B302="","",ROUND(IF(AG302="",Settings!$C$5,AG302)*AW302,2))</f>
        <v/>
      </c>
      <c r="AJ302" s="77" t="str">
        <f aca="false">IF(OR(B302="",AB302="",AC302="",AD302=""),"",IFERROR(ROUND(ABS(AD302-AB302)/ABS(AB302-AC302),2),""))</f>
        <v/>
      </c>
      <c r="AK302" s="78" t="str">
        <f aca="false">IF(OR(B302="",AB302="",AC302="",AE302=""),"",IFERROR(ROUND(IF(J302="Short",AB302-AE302,AE302-AB302)/ABS(AB302-AC302),2),""))</f>
        <v/>
      </c>
      <c r="AL302" s="68" t="str">
        <f aca="false">IF(AK302="","",IF(ABS(AK302)&lt;=Settings!$C$6,"BE",IF(AK302&gt;0,"Win","Loss")))</f>
        <v/>
      </c>
      <c r="AM302" s="79" t="str">
        <f aca="false">IF(OR(AK302="",AI302=""),"",ROUND(AK302*AI302-N(AH302),2))</f>
        <v/>
      </c>
      <c r="AN302" s="76" t="str">
        <f aca="false">IF(AM302="","",ROUND(BK302+SUMIFS(AM$6:AM302,BJ$6:BJ302,BJ302),2))</f>
        <v/>
      </c>
      <c r="AO302" s="78" t="str">
        <f aca="false">IF(AK302="","",ROUND(SUMIFS(AK$6:AK302,BJ$6:BJ302,BJ302),2))</f>
        <v/>
      </c>
      <c r="AP302" s="80" t="str">
        <f aca="false">IF(OR(AK302="",BL302=""),"",IFERROR(ROUND(IF(J302="Short",AB302-AE302,AE302-AB302)/BL302,1),""))</f>
        <v/>
      </c>
      <c r="AQ302" s="66" t="str">
        <f aca="false">IF(OR(G302="",H302=""),"",ROUND(MOD(H302-G302,1)*1440,0))</f>
        <v/>
      </c>
      <c r="AR302" s="68" t="str">
        <f aca="false">IF(AQ302="","",IF(AQ302&lt;15,"Under 15m",IF(AQ302&lt;60,"15-60m",IF(AQ302&lt;240,"1-4 hours","4+ hours"))))</f>
        <v/>
      </c>
      <c r="AS302" s="66" t="str">
        <f aca="false">IF(G302="","",HOUR(G302))</f>
        <v/>
      </c>
      <c r="AT302" s="80" t="str">
        <f aca="false">IF(OR(Z302="",AB302="",BL302=""),"",IFERROR(ROUND(IF(J302="Short",Z302-AB302,AB302-Z302)/BL302,1),""))</f>
        <v/>
      </c>
      <c r="AU302" s="68" t="str">
        <f aca="false">IF(OR(AA302="",AC302=""),"",IF(AA302=AC302,"No","Yes"))</f>
        <v/>
      </c>
      <c r="AV302" s="81" t="str">
        <f aca="false">IF(OR(B302="",BL302="",BM302="",AB302="",AC302=""),"",IFERROR(ROUND(AI302/(ABS(AB302-AC302)/BL302*BM302),2),""))</f>
        <v/>
      </c>
      <c r="AW302" s="76" t="str">
        <f aca="false">IF(B302="","",ROUND(BK302+SUMIFS(AM$5:AM301,BJ$5:BJ301,BJ302),2))</f>
        <v/>
      </c>
      <c r="AX302" s="66" t="str">
        <f aca="false">IF(B302="","",COUNTIFS(B$6:B302,B302,BJ$6:BJ302,BJ302))</f>
        <v/>
      </c>
      <c r="AY302" s="79" t="str">
        <f aca="false">IF(B302="","",ROUND(SUMIFS(AM$5:AM301,B$5:B301,B302,BJ$5:BJ301,BJ302),2))</f>
        <v/>
      </c>
      <c r="AZ302" s="79" t="str">
        <f aca="false">IF(AM302="","",ROUND(AY302+AM302,2))</f>
        <v/>
      </c>
      <c r="BA302" s="79" t="str">
        <f aca="false">IF(B302="","",ROUND(SUMIFS(AM$5:AM301,B$5:B301,"&gt;="&amp;(B302-WEEKDAY(B302,2)+1),B$5:B301,"&lt;="&amp;B302,BJ$5:BJ301,BJ302),2))</f>
        <v/>
      </c>
      <c r="BB302" s="68" t="str">
        <f aca="false">IF(B302="","",IF(AND(AF302&lt;&gt;"",AV302&lt;&gt;"",N(AF302)&gt;N(AV302)*(1+Settings!$C$13)),"Oversized",IF(AX302&gt;Settings!$C$10,"Overtraded",IF(AY302&lt;=-Settings!$C$11*(AW302-AY302),"Daily loss hit",IF(BA302&lt;=-Settings!$C$12*(AW302-BA302),"Weekly loss hit","OK")))))</f>
        <v/>
      </c>
      <c r="BC302" s="69"/>
      <c r="BD302" s="69"/>
      <c r="BE302" s="69"/>
      <c r="BF302" s="73"/>
      <c r="BG302" s="73"/>
      <c r="BH302" s="71"/>
      <c r="BI302" s="71"/>
      <c r="BJ302" s="68" t="str">
        <f aca="false">IF(B302="","",IF(E302="",Settings!$F$5,E302))</f>
        <v/>
      </c>
      <c r="BK302" s="76" t="str">
        <f aca="false">IF(B302="","",IFERROR(INDEX(Settings!$G$5:$G$10,MATCH(BJ302,Settings!$F$5:$F$10,0)),Settings!$G$5))</f>
        <v/>
      </c>
      <c r="BL302" s="82" t="str">
        <f aca="false">IF(I302="","",IFERROR(1/(1/INDEX(Lists!$C$6:$C$17,MATCH(I302,Lists!$B$6:$B$17,0))),""))</f>
        <v/>
      </c>
      <c r="BM302" s="81" t="str">
        <f aca="false">IF(I302="","",IFERROR(1/(1/INDEX(Lists!$D$6:$D$17,MATCH(I302,Lists!$B$6:$B$17,0))),""))</f>
        <v/>
      </c>
      <c r="BN302" s="76" t="str">
        <f aca="false">IF(AN302="","",MAX(BK302,_xlfn.MAXIFS(AN$6:AN302,BJ$6:BJ302,BJ302)))</f>
        <v/>
      </c>
      <c r="BO302" s="83" t="str">
        <f aca="false">IF(AN302="","",(AN302-BN302)/BN302)</f>
        <v/>
      </c>
      <c r="BP302" s="66" t="n">
        <f aca="false">IF(OR(B302="",AL302=""),0,IF(OR(Settings!$C$28="All Accounts",BJ302=Settings!$C$28),1,0))</f>
        <v>0</v>
      </c>
      <c r="BQ302" s="66" t="str">
        <f aca="false">IF(BP302=1,SUM(BP$6:BP302),"")</f>
        <v/>
      </c>
      <c r="BR302" s="76" t="str">
        <f aca="false">IF(BP302=1,ROUND(Settings!$C$29+SUMIFS(AM$6:AM302,BP$6:BP302,1),2),"")</f>
        <v/>
      </c>
      <c r="BS302" s="76" t="str">
        <f aca="false">IF(BP302=1,MAX(Settings!$C$29,MAX(BR$6:BR302)),"")</f>
        <v/>
      </c>
      <c r="BT302" s="83" t="str">
        <f aca="false">IF(BP302=1,(BR302-BS302)/BS302,"")</f>
        <v/>
      </c>
      <c r="BU302" s="66" t="str">
        <f aca="false">IF(BP302=1,IF(AL302="Win",1+IF(BQ302=1,0,INDEX(BU$5:BU301,MATCH(BQ302-1,BQ$5:BQ301,0))),0),"")</f>
        <v/>
      </c>
      <c r="BV302" s="66" t="str">
        <f aca="false">IF(BP302=1,IF(AL302="Loss",1+IF(BQ302=1,0,INDEX(BV$5:BV301,MATCH(BQ302-1,BQ$5:BQ301,0))),0),"")</f>
        <v/>
      </c>
    </row>
    <row r="303" customFormat="false" ht="15" hidden="false" customHeight="false" outlineLevel="0" collapsed="false">
      <c r="A303" s="66" t="str">
        <f aca="false">IF(B303="","",ROW()-5)</f>
        <v/>
      </c>
      <c r="B303" s="67"/>
      <c r="C303" s="68" t="str">
        <f aca="false">IF(B303="","",CHOOSE(WEEKDAY(B303,2),"Mon","Tue","Wed","Thu","Fri","Sat","Sun"))</f>
        <v/>
      </c>
      <c r="D303" s="66" t="str">
        <f aca="false">IF(B303="","",WEEKNUM(B303,2))</f>
        <v/>
      </c>
      <c r="E303" s="69"/>
      <c r="F303" s="69"/>
      <c r="G303" s="70"/>
      <c r="H303" s="70"/>
      <c r="I303" s="69"/>
      <c r="J303" s="69"/>
      <c r="K303" s="69"/>
      <c r="L303" s="71"/>
      <c r="M303" s="69"/>
      <c r="N303" s="69"/>
      <c r="O303" s="69"/>
      <c r="P303" s="71"/>
      <c r="Q303" s="69"/>
      <c r="R303" s="69"/>
      <c r="S303" s="69"/>
      <c r="T303" s="69"/>
      <c r="U303" s="69"/>
      <c r="V303" s="69"/>
      <c r="W303" s="69"/>
      <c r="X303" s="66" t="str">
        <f aca="false">IF(B303="","",COUNTIF(Q303:W303,"Yes"))</f>
        <v/>
      </c>
      <c r="Y303" s="68" t="str">
        <f aca="false">IF(B303="","",IF(X303&gt;=Settings!$C$16,"A+",IF(X303&gt;=Settings!$C$17,"A",IF(X303&gt;=Settings!$C$18,"B","C"))))</f>
        <v/>
      </c>
      <c r="Z303" s="72"/>
      <c r="AA303" s="72"/>
      <c r="AB303" s="72"/>
      <c r="AC303" s="72"/>
      <c r="AD303" s="72"/>
      <c r="AE303" s="72"/>
      <c r="AF303" s="73"/>
      <c r="AG303" s="74"/>
      <c r="AH303" s="75"/>
      <c r="AI303" s="76" t="str">
        <f aca="false">IF(B303="","",ROUND(IF(AG303="",Settings!$C$5,AG303)*AW303,2))</f>
        <v/>
      </c>
      <c r="AJ303" s="77" t="str">
        <f aca="false">IF(OR(B303="",AB303="",AC303="",AD303=""),"",IFERROR(ROUND(ABS(AD303-AB303)/ABS(AB303-AC303),2),""))</f>
        <v/>
      </c>
      <c r="AK303" s="78" t="str">
        <f aca="false">IF(OR(B303="",AB303="",AC303="",AE303=""),"",IFERROR(ROUND(IF(J303="Short",AB303-AE303,AE303-AB303)/ABS(AB303-AC303),2),""))</f>
        <v/>
      </c>
      <c r="AL303" s="68" t="str">
        <f aca="false">IF(AK303="","",IF(ABS(AK303)&lt;=Settings!$C$6,"BE",IF(AK303&gt;0,"Win","Loss")))</f>
        <v/>
      </c>
      <c r="AM303" s="79" t="str">
        <f aca="false">IF(OR(AK303="",AI303=""),"",ROUND(AK303*AI303-N(AH303),2))</f>
        <v/>
      </c>
      <c r="AN303" s="76" t="str">
        <f aca="false">IF(AM303="","",ROUND(BK303+SUMIFS(AM$6:AM303,BJ$6:BJ303,BJ303),2))</f>
        <v/>
      </c>
      <c r="AO303" s="78" t="str">
        <f aca="false">IF(AK303="","",ROUND(SUMIFS(AK$6:AK303,BJ$6:BJ303,BJ303),2))</f>
        <v/>
      </c>
      <c r="AP303" s="80" t="str">
        <f aca="false">IF(OR(AK303="",BL303=""),"",IFERROR(ROUND(IF(J303="Short",AB303-AE303,AE303-AB303)/BL303,1),""))</f>
        <v/>
      </c>
      <c r="AQ303" s="66" t="str">
        <f aca="false">IF(OR(G303="",H303=""),"",ROUND(MOD(H303-G303,1)*1440,0))</f>
        <v/>
      </c>
      <c r="AR303" s="68" t="str">
        <f aca="false">IF(AQ303="","",IF(AQ303&lt;15,"Under 15m",IF(AQ303&lt;60,"15-60m",IF(AQ303&lt;240,"1-4 hours","4+ hours"))))</f>
        <v/>
      </c>
      <c r="AS303" s="66" t="str">
        <f aca="false">IF(G303="","",HOUR(G303))</f>
        <v/>
      </c>
      <c r="AT303" s="80" t="str">
        <f aca="false">IF(OR(Z303="",AB303="",BL303=""),"",IFERROR(ROUND(IF(J303="Short",Z303-AB303,AB303-Z303)/BL303,1),""))</f>
        <v/>
      </c>
      <c r="AU303" s="68" t="str">
        <f aca="false">IF(OR(AA303="",AC303=""),"",IF(AA303=AC303,"No","Yes"))</f>
        <v/>
      </c>
      <c r="AV303" s="81" t="str">
        <f aca="false">IF(OR(B303="",BL303="",BM303="",AB303="",AC303=""),"",IFERROR(ROUND(AI303/(ABS(AB303-AC303)/BL303*BM303),2),""))</f>
        <v/>
      </c>
      <c r="AW303" s="76" t="str">
        <f aca="false">IF(B303="","",ROUND(BK303+SUMIFS(AM$5:AM302,BJ$5:BJ302,BJ303),2))</f>
        <v/>
      </c>
      <c r="AX303" s="66" t="str">
        <f aca="false">IF(B303="","",COUNTIFS(B$6:B303,B303,BJ$6:BJ303,BJ303))</f>
        <v/>
      </c>
      <c r="AY303" s="79" t="str">
        <f aca="false">IF(B303="","",ROUND(SUMIFS(AM$5:AM302,B$5:B302,B303,BJ$5:BJ302,BJ303),2))</f>
        <v/>
      </c>
      <c r="AZ303" s="79" t="str">
        <f aca="false">IF(AM303="","",ROUND(AY303+AM303,2))</f>
        <v/>
      </c>
      <c r="BA303" s="79" t="str">
        <f aca="false">IF(B303="","",ROUND(SUMIFS(AM$5:AM302,B$5:B302,"&gt;="&amp;(B303-WEEKDAY(B303,2)+1),B$5:B302,"&lt;="&amp;B303,BJ$5:BJ302,BJ303),2))</f>
        <v/>
      </c>
      <c r="BB303" s="68" t="str">
        <f aca="false">IF(B303="","",IF(AND(AF303&lt;&gt;"",AV303&lt;&gt;"",N(AF303)&gt;N(AV303)*(1+Settings!$C$13)),"Oversized",IF(AX303&gt;Settings!$C$10,"Overtraded",IF(AY303&lt;=-Settings!$C$11*(AW303-AY303),"Daily loss hit",IF(BA303&lt;=-Settings!$C$12*(AW303-BA303),"Weekly loss hit","OK")))))</f>
        <v/>
      </c>
      <c r="BC303" s="69"/>
      <c r="BD303" s="69"/>
      <c r="BE303" s="69"/>
      <c r="BF303" s="73"/>
      <c r="BG303" s="73"/>
      <c r="BH303" s="71"/>
      <c r="BI303" s="71"/>
      <c r="BJ303" s="68" t="str">
        <f aca="false">IF(B303="","",IF(E303="",Settings!$F$5,E303))</f>
        <v/>
      </c>
      <c r="BK303" s="76" t="str">
        <f aca="false">IF(B303="","",IFERROR(INDEX(Settings!$G$5:$G$10,MATCH(BJ303,Settings!$F$5:$F$10,0)),Settings!$G$5))</f>
        <v/>
      </c>
      <c r="BL303" s="82" t="str">
        <f aca="false">IF(I303="","",IFERROR(1/(1/INDEX(Lists!$C$6:$C$17,MATCH(I303,Lists!$B$6:$B$17,0))),""))</f>
        <v/>
      </c>
      <c r="BM303" s="81" t="str">
        <f aca="false">IF(I303="","",IFERROR(1/(1/INDEX(Lists!$D$6:$D$17,MATCH(I303,Lists!$B$6:$B$17,0))),""))</f>
        <v/>
      </c>
      <c r="BN303" s="76" t="str">
        <f aca="false">IF(AN303="","",MAX(BK303,_xlfn.MAXIFS(AN$6:AN303,BJ$6:BJ303,BJ303)))</f>
        <v/>
      </c>
      <c r="BO303" s="83" t="str">
        <f aca="false">IF(AN303="","",(AN303-BN303)/BN303)</f>
        <v/>
      </c>
      <c r="BP303" s="66" t="n">
        <f aca="false">IF(OR(B303="",AL303=""),0,IF(OR(Settings!$C$28="All Accounts",BJ303=Settings!$C$28),1,0))</f>
        <v>0</v>
      </c>
      <c r="BQ303" s="66" t="str">
        <f aca="false">IF(BP303=1,SUM(BP$6:BP303),"")</f>
        <v/>
      </c>
      <c r="BR303" s="76" t="str">
        <f aca="false">IF(BP303=1,ROUND(Settings!$C$29+SUMIFS(AM$6:AM303,BP$6:BP303,1),2),"")</f>
        <v/>
      </c>
      <c r="BS303" s="76" t="str">
        <f aca="false">IF(BP303=1,MAX(Settings!$C$29,MAX(BR$6:BR303)),"")</f>
        <v/>
      </c>
      <c r="BT303" s="83" t="str">
        <f aca="false">IF(BP303=1,(BR303-BS303)/BS303,"")</f>
        <v/>
      </c>
      <c r="BU303" s="66" t="str">
        <f aca="false">IF(BP303=1,IF(AL303="Win",1+IF(BQ303=1,0,INDEX(BU$5:BU302,MATCH(BQ303-1,BQ$5:BQ302,0))),0),"")</f>
        <v/>
      </c>
      <c r="BV303" s="66" t="str">
        <f aca="false">IF(BP303=1,IF(AL303="Loss",1+IF(BQ303=1,0,INDEX(BV$5:BV302,MATCH(BQ303-1,BQ$5:BQ302,0))),0),"")</f>
        <v/>
      </c>
    </row>
    <row r="304" customFormat="false" ht="15" hidden="false" customHeight="false" outlineLevel="0" collapsed="false">
      <c r="A304" s="66" t="str">
        <f aca="false">IF(B304="","",ROW()-5)</f>
        <v/>
      </c>
      <c r="B304" s="67"/>
      <c r="C304" s="68" t="str">
        <f aca="false">IF(B304="","",CHOOSE(WEEKDAY(B304,2),"Mon","Tue","Wed","Thu","Fri","Sat","Sun"))</f>
        <v/>
      </c>
      <c r="D304" s="66" t="str">
        <f aca="false">IF(B304="","",WEEKNUM(B304,2))</f>
        <v/>
      </c>
      <c r="E304" s="69"/>
      <c r="F304" s="69"/>
      <c r="G304" s="70"/>
      <c r="H304" s="70"/>
      <c r="I304" s="69"/>
      <c r="J304" s="69"/>
      <c r="K304" s="69"/>
      <c r="L304" s="71"/>
      <c r="M304" s="69"/>
      <c r="N304" s="69"/>
      <c r="O304" s="69"/>
      <c r="P304" s="71"/>
      <c r="Q304" s="69"/>
      <c r="R304" s="69"/>
      <c r="S304" s="69"/>
      <c r="T304" s="69"/>
      <c r="U304" s="69"/>
      <c r="V304" s="69"/>
      <c r="W304" s="69"/>
      <c r="X304" s="66" t="str">
        <f aca="false">IF(B304="","",COUNTIF(Q304:W304,"Yes"))</f>
        <v/>
      </c>
      <c r="Y304" s="68" t="str">
        <f aca="false">IF(B304="","",IF(X304&gt;=Settings!$C$16,"A+",IF(X304&gt;=Settings!$C$17,"A",IF(X304&gt;=Settings!$C$18,"B","C"))))</f>
        <v/>
      </c>
      <c r="Z304" s="72"/>
      <c r="AA304" s="72"/>
      <c r="AB304" s="72"/>
      <c r="AC304" s="72"/>
      <c r="AD304" s="72"/>
      <c r="AE304" s="72"/>
      <c r="AF304" s="73"/>
      <c r="AG304" s="74"/>
      <c r="AH304" s="75"/>
      <c r="AI304" s="76" t="str">
        <f aca="false">IF(B304="","",ROUND(IF(AG304="",Settings!$C$5,AG304)*AW304,2))</f>
        <v/>
      </c>
      <c r="AJ304" s="77" t="str">
        <f aca="false">IF(OR(B304="",AB304="",AC304="",AD304=""),"",IFERROR(ROUND(ABS(AD304-AB304)/ABS(AB304-AC304),2),""))</f>
        <v/>
      </c>
      <c r="AK304" s="78" t="str">
        <f aca="false">IF(OR(B304="",AB304="",AC304="",AE304=""),"",IFERROR(ROUND(IF(J304="Short",AB304-AE304,AE304-AB304)/ABS(AB304-AC304),2),""))</f>
        <v/>
      </c>
      <c r="AL304" s="68" t="str">
        <f aca="false">IF(AK304="","",IF(ABS(AK304)&lt;=Settings!$C$6,"BE",IF(AK304&gt;0,"Win","Loss")))</f>
        <v/>
      </c>
      <c r="AM304" s="79" t="str">
        <f aca="false">IF(OR(AK304="",AI304=""),"",ROUND(AK304*AI304-N(AH304),2))</f>
        <v/>
      </c>
      <c r="AN304" s="76" t="str">
        <f aca="false">IF(AM304="","",ROUND(BK304+SUMIFS(AM$6:AM304,BJ$6:BJ304,BJ304),2))</f>
        <v/>
      </c>
      <c r="AO304" s="78" t="str">
        <f aca="false">IF(AK304="","",ROUND(SUMIFS(AK$6:AK304,BJ$6:BJ304,BJ304),2))</f>
        <v/>
      </c>
      <c r="AP304" s="80" t="str">
        <f aca="false">IF(OR(AK304="",BL304=""),"",IFERROR(ROUND(IF(J304="Short",AB304-AE304,AE304-AB304)/BL304,1),""))</f>
        <v/>
      </c>
      <c r="AQ304" s="66" t="str">
        <f aca="false">IF(OR(G304="",H304=""),"",ROUND(MOD(H304-G304,1)*1440,0))</f>
        <v/>
      </c>
      <c r="AR304" s="68" t="str">
        <f aca="false">IF(AQ304="","",IF(AQ304&lt;15,"Under 15m",IF(AQ304&lt;60,"15-60m",IF(AQ304&lt;240,"1-4 hours","4+ hours"))))</f>
        <v/>
      </c>
      <c r="AS304" s="66" t="str">
        <f aca="false">IF(G304="","",HOUR(G304))</f>
        <v/>
      </c>
      <c r="AT304" s="80" t="str">
        <f aca="false">IF(OR(Z304="",AB304="",BL304=""),"",IFERROR(ROUND(IF(J304="Short",Z304-AB304,AB304-Z304)/BL304,1),""))</f>
        <v/>
      </c>
      <c r="AU304" s="68" t="str">
        <f aca="false">IF(OR(AA304="",AC304=""),"",IF(AA304=AC304,"No","Yes"))</f>
        <v/>
      </c>
      <c r="AV304" s="81" t="str">
        <f aca="false">IF(OR(B304="",BL304="",BM304="",AB304="",AC304=""),"",IFERROR(ROUND(AI304/(ABS(AB304-AC304)/BL304*BM304),2),""))</f>
        <v/>
      </c>
      <c r="AW304" s="76" t="str">
        <f aca="false">IF(B304="","",ROUND(BK304+SUMIFS(AM$5:AM303,BJ$5:BJ303,BJ304),2))</f>
        <v/>
      </c>
      <c r="AX304" s="66" t="str">
        <f aca="false">IF(B304="","",COUNTIFS(B$6:B304,B304,BJ$6:BJ304,BJ304))</f>
        <v/>
      </c>
      <c r="AY304" s="79" t="str">
        <f aca="false">IF(B304="","",ROUND(SUMIFS(AM$5:AM303,B$5:B303,B304,BJ$5:BJ303,BJ304),2))</f>
        <v/>
      </c>
      <c r="AZ304" s="79" t="str">
        <f aca="false">IF(AM304="","",ROUND(AY304+AM304,2))</f>
        <v/>
      </c>
      <c r="BA304" s="79" t="str">
        <f aca="false">IF(B304="","",ROUND(SUMIFS(AM$5:AM303,B$5:B303,"&gt;="&amp;(B304-WEEKDAY(B304,2)+1),B$5:B303,"&lt;="&amp;B304,BJ$5:BJ303,BJ304),2))</f>
        <v/>
      </c>
      <c r="BB304" s="68" t="str">
        <f aca="false">IF(B304="","",IF(AND(AF304&lt;&gt;"",AV304&lt;&gt;"",N(AF304)&gt;N(AV304)*(1+Settings!$C$13)),"Oversized",IF(AX304&gt;Settings!$C$10,"Overtraded",IF(AY304&lt;=-Settings!$C$11*(AW304-AY304),"Daily loss hit",IF(BA304&lt;=-Settings!$C$12*(AW304-BA304),"Weekly loss hit","OK")))))</f>
        <v/>
      </c>
      <c r="BC304" s="69"/>
      <c r="BD304" s="69"/>
      <c r="BE304" s="69"/>
      <c r="BF304" s="73"/>
      <c r="BG304" s="73"/>
      <c r="BH304" s="71"/>
      <c r="BI304" s="71"/>
      <c r="BJ304" s="68" t="str">
        <f aca="false">IF(B304="","",IF(E304="",Settings!$F$5,E304))</f>
        <v/>
      </c>
      <c r="BK304" s="76" t="str">
        <f aca="false">IF(B304="","",IFERROR(INDEX(Settings!$G$5:$G$10,MATCH(BJ304,Settings!$F$5:$F$10,0)),Settings!$G$5))</f>
        <v/>
      </c>
      <c r="BL304" s="82" t="str">
        <f aca="false">IF(I304="","",IFERROR(1/(1/INDEX(Lists!$C$6:$C$17,MATCH(I304,Lists!$B$6:$B$17,0))),""))</f>
        <v/>
      </c>
      <c r="BM304" s="81" t="str">
        <f aca="false">IF(I304="","",IFERROR(1/(1/INDEX(Lists!$D$6:$D$17,MATCH(I304,Lists!$B$6:$B$17,0))),""))</f>
        <v/>
      </c>
      <c r="BN304" s="76" t="str">
        <f aca="false">IF(AN304="","",MAX(BK304,_xlfn.MAXIFS(AN$6:AN304,BJ$6:BJ304,BJ304)))</f>
        <v/>
      </c>
      <c r="BO304" s="83" t="str">
        <f aca="false">IF(AN304="","",(AN304-BN304)/BN304)</f>
        <v/>
      </c>
      <c r="BP304" s="66" t="n">
        <f aca="false">IF(OR(B304="",AL304=""),0,IF(OR(Settings!$C$28="All Accounts",BJ304=Settings!$C$28),1,0))</f>
        <v>0</v>
      </c>
      <c r="BQ304" s="66" t="str">
        <f aca="false">IF(BP304=1,SUM(BP$6:BP304),"")</f>
        <v/>
      </c>
      <c r="BR304" s="76" t="str">
        <f aca="false">IF(BP304=1,ROUND(Settings!$C$29+SUMIFS(AM$6:AM304,BP$6:BP304,1),2),"")</f>
        <v/>
      </c>
      <c r="BS304" s="76" t="str">
        <f aca="false">IF(BP304=1,MAX(Settings!$C$29,MAX(BR$6:BR304)),"")</f>
        <v/>
      </c>
      <c r="BT304" s="83" t="str">
        <f aca="false">IF(BP304=1,(BR304-BS304)/BS304,"")</f>
        <v/>
      </c>
      <c r="BU304" s="66" t="str">
        <f aca="false">IF(BP304=1,IF(AL304="Win",1+IF(BQ304=1,0,INDEX(BU$5:BU303,MATCH(BQ304-1,BQ$5:BQ303,0))),0),"")</f>
        <v/>
      </c>
      <c r="BV304" s="66" t="str">
        <f aca="false">IF(BP304=1,IF(AL304="Loss",1+IF(BQ304=1,0,INDEX(BV$5:BV303,MATCH(BQ304-1,BQ$5:BQ303,0))),0),"")</f>
        <v/>
      </c>
    </row>
    <row r="305" customFormat="false" ht="15" hidden="false" customHeight="false" outlineLevel="0" collapsed="false">
      <c r="A305" s="66" t="str">
        <f aca="false">IF(B305="","",ROW()-5)</f>
        <v/>
      </c>
      <c r="B305" s="67"/>
      <c r="C305" s="68" t="str">
        <f aca="false">IF(B305="","",CHOOSE(WEEKDAY(B305,2),"Mon","Tue","Wed","Thu","Fri","Sat","Sun"))</f>
        <v/>
      </c>
      <c r="D305" s="66" t="str">
        <f aca="false">IF(B305="","",WEEKNUM(B305,2))</f>
        <v/>
      </c>
      <c r="E305" s="69"/>
      <c r="F305" s="69"/>
      <c r="G305" s="70"/>
      <c r="H305" s="70"/>
      <c r="I305" s="69"/>
      <c r="J305" s="69"/>
      <c r="K305" s="69"/>
      <c r="L305" s="71"/>
      <c r="M305" s="69"/>
      <c r="N305" s="69"/>
      <c r="O305" s="69"/>
      <c r="P305" s="71"/>
      <c r="Q305" s="69"/>
      <c r="R305" s="69"/>
      <c r="S305" s="69"/>
      <c r="T305" s="69"/>
      <c r="U305" s="69"/>
      <c r="V305" s="69"/>
      <c r="W305" s="69"/>
      <c r="X305" s="66" t="str">
        <f aca="false">IF(B305="","",COUNTIF(Q305:W305,"Yes"))</f>
        <v/>
      </c>
      <c r="Y305" s="68" t="str">
        <f aca="false">IF(B305="","",IF(X305&gt;=Settings!$C$16,"A+",IF(X305&gt;=Settings!$C$17,"A",IF(X305&gt;=Settings!$C$18,"B","C"))))</f>
        <v/>
      </c>
      <c r="Z305" s="72"/>
      <c r="AA305" s="72"/>
      <c r="AB305" s="72"/>
      <c r="AC305" s="72"/>
      <c r="AD305" s="72"/>
      <c r="AE305" s="72"/>
      <c r="AF305" s="73"/>
      <c r="AG305" s="74"/>
      <c r="AH305" s="75"/>
      <c r="AI305" s="76" t="str">
        <f aca="false">IF(B305="","",ROUND(IF(AG305="",Settings!$C$5,AG305)*AW305,2))</f>
        <v/>
      </c>
      <c r="AJ305" s="77" t="str">
        <f aca="false">IF(OR(B305="",AB305="",AC305="",AD305=""),"",IFERROR(ROUND(ABS(AD305-AB305)/ABS(AB305-AC305),2),""))</f>
        <v/>
      </c>
      <c r="AK305" s="78" t="str">
        <f aca="false">IF(OR(B305="",AB305="",AC305="",AE305=""),"",IFERROR(ROUND(IF(J305="Short",AB305-AE305,AE305-AB305)/ABS(AB305-AC305),2),""))</f>
        <v/>
      </c>
      <c r="AL305" s="68" t="str">
        <f aca="false">IF(AK305="","",IF(ABS(AK305)&lt;=Settings!$C$6,"BE",IF(AK305&gt;0,"Win","Loss")))</f>
        <v/>
      </c>
      <c r="AM305" s="79" t="str">
        <f aca="false">IF(OR(AK305="",AI305=""),"",ROUND(AK305*AI305-N(AH305),2))</f>
        <v/>
      </c>
      <c r="AN305" s="76" t="str">
        <f aca="false">IF(AM305="","",ROUND(BK305+SUMIFS(AM$6:AM305,BJ$6:BJ305,BJ305),2))</f>
        <v/>
      </c>
      <c r="AO305" s="78" t="str">
        <f aca="false">IF(AK305="","",ROUND(SUMIFS(AK$6:AK305,BJ$6:BJ305,BJ305),2))</f>
        <v/>
      </c>
      <c r="AP305" s="80" t="str">
        <f aca="false">IF(OR(AK305="",BL305=""),"",IFERROR(ROUND(IF(J305="Short",AB305-AE305,AE305-AB305)/BL305,1),""))</f>
        <v/>
      </c>
      <c r="AQ305" s="66" t="str">
        <f aca="false">IF(OR(G305="",H305=""),"",ROUND(MOD(H305-G305,1)*1440,0))</f>
        <v/>
      </c>
      <c r="AR305" s="68" t="str">
        <f aca="false">IF(AQ305="","",IF(AQ305&lt;15,"Under 15m",IF(AQ305&lt;60,"15-60m",IF(AQ305&lt;240,"1-4 hours","4+ hours"))))</f>
        <v/>
      </c>
      <c r="AS305" s="66" t="str">
        <f aca="false">IF(G305="","",HOUR(G305))</f>
        <v/>
      </c>
      <c r="AT305" s="80" t="str">
        <f aca="false">IF(OR(Z305="",AB305="",BL305=""),"",IFERROR(ROUND(IF(J305="Short",Z305-AB305,AB305-Z305)/BL305,1),""))</f>
        <v/>
      </c>
      <c r="AU305" s="68" t="str">
        <f aca="false">IF(OR(AA305="",AC305=""),"",IF(AA305=AC305,"No","Yes"))</f>
        <v/>
      </c>
      <c r="AV305" s="81" t="str">
        <f aca="false">IF(OR(B305="",BL305="",BM305="",AB305="",AC305=""),"",IFERROR(ROUND(AI305/(ABS(AB305-AC305)/BL305*BM305),2),""))</f>
        <v/>
      </c>
      <c r="AW305" s="76" t="str">
        <f aca="false">IF(B305="","",ROUND(BK305+SUMIFS(AM$5:AM304,BJ$5:BJ304,BJ305),2))</f>
        <v/>
      </c>
      <c r="AX305" s="66" t="str">
        <f aca="false">IF(B305="","",COUNTIFS(B$6:B305,B305,BJ$6:BJ305,BJ305))</f>
        <v/>
      </c>
      <c r="AY305" s="79" t="str">
        <f aca="false">IF(B305="","",ROUND(SUMIFS(AM$5:AM304,B$5:B304,B305,BJ$5:BJ304,BJ305),2))</f>
        <v/>
      </c>
      <c r="AZ305" s="79" t="str">
        <f aca="false">IF(AM305="","",ROUND(AY305+AM305,2))</f>
        <v/>
      </c>
      <c r="BA305" s="79" t="str">
        <f aca="false">IF(B305="","",ROUND(SUMIFS(AM$5:AM304,B$5:B304,"&gt;="&amp;(B305-WEEKDAY(B305,2)+1),B$5:B304,"&lt;="&amp;B305,BJ$5:BJ304,BJ305),2))</f>
        <v/>
      </c>
      <c r="BB305" s="68" t="str">
        <f aca="false">IF(B305="","",IF(AND(AF305&lt;&gt;"",AV305&lt;&gt;"",N(AF305)&gt;N(AV305)*(1+Settings!$C$13)),"Oversized",IF(AX305&gt;Settings!$C$10,"Overtraded",IF(AY305&lt;=-Settings!$C$11*(AW305-AY305),"Daily loss hit",IF(BA305&lt;=-Settings!$C$12*(AW305-BA305),"Weekly loss hit","OK")))))</f>
        <v/>
      </c>
      <c r="BC305" s="69"/>
      <c r="BD305" s="69"/>
      <c r="BE305" s="69"/>
      <c r="BF305" s="73"/>
      <c r="BG305" s="73"/>
      <c r="BH305" s="71"/>
      <c r="BI305" s="71"/>
      <c r="BJ305" s="68" t="str">
        <f aca="false">IF(B305="","",IF(E305="",Settings!$F$5,E305))</f>
        <v/>
      </c>
      <c r="BK305" s="76" t="str">
        <f aca="false">IF(B305="","",IFERROR(INDEX(Settings!$G$5:$G$10,MATCH(BJ305,Settings!$F$5:$F$10,0)),Settings!$G$5))</f>
        <v/>
      </c>
      <c r="BL305" s="82" t="str">
        <f aca="false">IF(I305="","",IFERROR(1/(1/INDEX(Lists!$C$6:$C$17,MATCH(I305,Lists!$B$6:$B$17,0))),""))</f>
        <v/>
      </c>
      <c r="BM305" s="81" t="str">
        <f aca="false">IF(I305="","",IFERROR(1/(1/INDEX(Lists!$D$6:$D$17,MATCH(I305,Lists!$B$6:$B$17,0))),""))</f>
        <v/>
      </c>
      <c r="BN305" s="76" t="str">
        <f aca="false">IF(AN305="","",MAX(BK305,_xlfn.MAXIFS(AN$6:AN305,BJ$6:BJ305,BJ305)))</f>
        <v/>
      </c>
      <c r="BO305" s="83" t="str">
        <f aca="false">IF(AN305="","",(AN305-BN305)/BN305)</f>
        <v/>
      </c>
      <c r="BP305" s="66" t="n">
        <f aca="false">IF(OR(B305="",AL305=""),0,IF(OR(Settings!$C$28="All Accounts",BJ305=Settings!$C$28),1,0))</f>
        <v>0</v>
      </c>
      <c r="BQ305" s="66" t="str">
        <f aca="false">IF(BP305=1,SUM(BP$6:BP305),"")</f>
        <v/>
      </c>
      <c r="BR305" s="76" t="str">
        <f aca="false">IF(BP305=1,ROUND(Settings!$C$29+SUMIFS(AM$6:AM305,BP$6:BP305,1),2),"")</f>
        <v/>
      </c>
      <c r="BS305" s="76" t="str">
        <f aca="false">IF(BP305=1,MAX(Settings!$C$29,MAX(BR$6:BR305)),"")</f>
        <v/>
      </c>
      <c r="BT305" s="83" t="str">
        <f aca="false">IF(BP305=1,(BR305-BS305)/BS305,"")</f>
        <v/>
      </c>
      <c r="BU305" s="66" t="str">
        <f aca="false">IF(BP305=1,IF(AL305="Win",1+IF(BQ305=1,0,INDEX(BU$5:BU304,MATCH(BQ305-1,BQ$5:BQ304,0))),0),"")</f>
        <v/>
      </c>
      <c r="BV305" s="66" t="str">
        <f aca="false">IF(BP305=1,IF(AL305="Loss",1+IF(BQ305=1,0,INDEX(BV$5:BV304,MATCH(BQ305-1,BQ$5:BQ304,0))),0),"")</f>
        <v/>
      </c>
    </row>
    <row r="306" customFormat="false" ht="15" hidden="false" customHeight="false" outlineLevel="0" collapsed="false">
      <c r="A306" s="66" t="str">
        <f aca="false">IF(B306="","",ROW()-5)</f>
        <v/>
      </c>
      <c r="B306" s="67"/>
      <c r="C306" s="68" t="str">
        <f aca="false">IF(B306="","",CHOOSE(WEEKDAY(B306,2),"Mon","Tue","Wed","Thu","Fri","Sat","Sun"))</f>
        <v/>
      </c>
      <c r="D306" s="66" t="str">
        <f aca="false">IF(B306="","",WEEKNUM(B306,2))</f>
        <v/>
      </c>
      <c r="E306" s="69"/>
      <c r="F306" s="69"/>
      <c r="G306" s="70"/>
      <c r="H306" s="70"/>
      <c r="I306" s="69"/>
      <c r="J306" s="69"/>
      <c r="K306" s="69"/>
      <c r="L306" s="71"/>
      <c r="M306" s="69"/>
      <c r="N306" s="69"/>
      <c r="O306" s="69"/>
      <c r="P306" s="71"/>
      <c r="Q306" s="69"/>
      <c r="R306" s="69"/>
      <c r="S306" s="69"/>
      <c r="T306" s="69"/>
      <c r="U306" s="69"/>
      <c r="V306" s="69"/>
      <c r="W306" s="69"/>
      <c r="X306" s="66" t="str">
        <f aca="false">IF(B306="","",COUNTIF(Q306:W306,"Yes"))</f>
        <v/>
      </c>
      <c r="Y306" s="68" t="str">
        <f aca="false">IF(B306="","",IF(X306&gt;=Settings!$C$16,"A+",IF(X306&gt;=Settings!$C$17,"A",IF(X306&gt;=Settings!$C$18,"B","C"))))</f>
        <v/>
      </c>
      <c r="Z306" s="72"/>
      <c r="AA306" s="72"/>
      <c r="AB306" s="72"/>
      <c r="AC306" s="72"/>
      <c r="AD306" s="72"/>
      <c r="AE306" s="72"/>
      <c r="AF306" s="73"/>
      <c r="AG306" s="74"/>
      <c r="AH306" s="75"/>
      <c r="AI306" s="76" t="str">
        <f aca="false">IF(B306="","",ROUND(IF(AG306="",Settings!$C$5,AG306)*AW306,2))</f>
        <v/>
      </c>
      <c r="AJ306" s="77" t="str">
        <f aca="false">IF(OR(B306="",AB306="",AC306="",AD306=""),"",IFERROR(ROUND(ABS(AD306-AB306)/ABS(AB306-AC306),2),""))</f>
        <v/>
      </c>
      <c r="AK306" s="78" t="str">
        <f aca="false">IF(OR(B306="",AB306="",AC306="",AE306=""),"",IFERROR(ROUND(IF(J306="Short",AB306-AE306,AE306-AB306)/ABS(AB306-AC306),2),""))</f>
        <v/>
      </c>
      <c r="AL306" s="68" t="str">
        <f aca="false">IF(AK306="","",IF(ABS(AK306)&lt;=Settings!$C$6,"BE",IF(AK306&gt;0,"Win","Loss")))</f>
        <v/>
      </c>
      <c r="AM306" s="79" t="str">
        <f aca="false">IF(OR(AK306="",AI306=""),"",ROUND(AK306*AI306-N(AH306),2))</f>
        <v/>
      </c>
      <c r="AN306" s="76" t="str">
        <f aca="false">IF(AM306="","",ROUND(BK306+SUMIFS(AM$6:AM306,BJ$6:BJ306,BJ306),2))</f>
        <v/>
      </c>
      <c r="AO306" s="78" t="str">
        <f aca="false">IF(AK306="","",ROUND(SUMIFS(AK$6:AK306,BJ$6:BJ306,BJ306),2))</f>
        <v/>
      </c>
      <c r="AP306" s="80" t="str">
        <f aca="false">IF(OR(AK306="",BL306=""),"",IFERROR(ROUND(IF(J306="Short",AB306-AE306,AE306-AB306)/BL306,1),""))</f>
        <v/>
      </c>
      <c r="AQ306" s="66" t="str">
        <f aca="false">IF(OR(G306="",H306=""),"",ROUND(MOD(H306-G306,1)*1440,0))</f>
        <v/>
      </c>
      <c r="AR306" s="68" t="str">
        <f aca="false">IF(AQ306="","",IF(AQ306&lt;15,"Under 15m",IF(AQ306&lt;60,"15-60m",IF(AQ306&lt;240,"1-4 hours","4+ hours"))))</f>
        <v/>
      </c>
      <c r="AS306" s="66" t="str">
        <f aca="false">IF(G306="","",HOUR(G306))</f>
        <v/>
      </c>
      <c r="AT306" s="80" t="str">
        <f aca="false">IF(OR(Z306="",AB306="",BL306=""),"",IFERROR(ROUND(IF(J306="Short",Z306-AB306,AB306-Z306)/BL306,1),""))</f>
        <v/>
      </c>
      <c r="AU306" s="68" t="str">
        <f aca="false">IF(OR(AA306="",AC306=""),"",IF(AA306=AC306,"No","Yes"))</f>
        <v/>
      </c>
      <c r="AV306" s="81" t="str">
        <f aca="false">IF(OR(B306="",BL306="",BM306="",AB306="",AC306=""),"",IFERROR(ROUND(AI306/(ABS(AB306-AC306)/BL306*BM306),2),""))</f>
        <v/>
      </c>
      <c r="AW306" s="76" t="str">
        <f aca="false">IF(B306="","",ROUND(BK306+SUMIFS(AM$5:AM305,BJ$5:BJ305,BJ306),2))</f>
        <v/>
      </c>
      <c r="AX306" s="66" t="str">
        <f aca="false">IF(B306="","",COUNTIFS(B$6:B306,B306,BJ$6:BJ306,BJ306))</f>
        <v/>
      </c>
      <c r="AY306" s="79" t="str">
        <f aca="false">IF(B306="","",ROUND(SUMIFS(AM$5:AM305,B$5:B305,B306,BJ$5:BJ305,BJ306),2))</f>
        <v/>
      </c>
      <c r="AZ306" s="79" t="str">
        <f aca="false">IF(AM306="","",ROUND(AY306+AM306,2))</f>
        <v/>
      </c>
      <c r="BA306" s="79" t="str">
        <f aca="false">IF(B306="","",ROUND(SUMIFS(AM$5:AM305,B$5:B305,"&gt;="&amp;(B306-WEEKDAY(B306,2)+1),B$5:B305,"&lt;="&amp;B306,BJ$5:BJ305,BJ306),2))</f>
        <v/>
      </c>
      <c r="BB306" s="68" t="str">
        <f aca="false">IF(B306="","",IF(AND(AF306&lt;&gt;"",AV306&lt;&gt;"",N(AF306)&gt;N(AV306)*(1+Settings!$C$13)),"Oversized",IF(AX306&gt;Settings!$C$10,"Overtraded",IF(AY306&lt;=-Settings!$C$11*(AW306-AY306),"Daily loss hit",IF(BA306&lt;=-Settings!$C$12*(AW306-BA306),"Weekly loss hit","OK")))))</f>
        <v/>
      </c>
      <c r="BC306" s="69"/>
      <c r="BD306" s="69"/>
      <c r="BE306" s="69"/>
      <c r="BF306" s="73"/>
      <c r="BG306" s="73"/>
      <c r="BH306" s="71"/>
      <c r="BI306" s="71"/>
      <c r="BJ306" s="68" t="str">
        <f aca="false">IF(B306="","",IF(E306="",Settings!$F$5,E306))</f>
        <v/>
      </c>
      <c r="BK306" s="76" t="str">
        <f aca="false">IF(B306="","",IFERROR(INDEX(Settings!$G$5:$G$10,MATCH(BJ306,Settings!$F$5:$F$10,0)),Settings!$G$5))</f>
        <v/>
      </c>
      <c r="BL306" s="82" t="str">
        <f aca="false">IF(I306="","",IFERROR(1/(1/INDEX(Lists!$C$6:$C$17,MATCH(I306,Lists!$B$6:$B$17,0))),""))</f>
        <v/>
      </c>
      <c r="BM306" s="81" t="str">
        <f aca="false">IF(I306="","",IFERROR(1/(1/INDEX(Lists!$D$6:$D$17,MATCH(I306,Lists!$B$6:$B$17,0))),""))</f>
        <v/>
      </c>
      <c r="BN306" s="76" t="str">
        <f aca="false">IF(AN306="","",MAX(BK306,_xlfn.MAXIFS(AN$6:AN306,BJ$6:BJ306,BJ306)))</f>
        <v/>
      </c>
      <c r="BO306" s="83" t="str">
        <f aca="false">IF(AN306="","",(AN306-BN306)/BN306)</f>
        <v/>
      </c>
      <c r="BP306" s="66" t="n">
        <f aca="false">IF(OR(B306="",AL306=""),0,IF(OR(Settings!$C$28="All Accounts",BJ306=Settings!$C$28),1,0))</f>
        <v>0</v>
      </c>
      <c r="BQ306" s="66" t="str">
        <f aca="false">IF(BP306=1,SUM(BP$6:BP306),"")</f>
        <v/>
      </c>
      <c r="BR306" s="76" t="str">
        <f aca="false">IF(BP306=1,ROUND(Settings!$C$29+SUMIFS(AM$6:AM306,BP$6:BP306,1),2),"")</f>
        <v/>
      </c>
      <c r="BS306" s="76" t="str">
        <f aca="false">IF(BP306=1,MAX(Settings!$C$29,MAX(BR$6:BR306)),"")</f>
        <v/>
      </c>
      <c r="BT306" s="83" t="str">
        <f aca="false">IF(BP306=1,(BR306-BS306)/BS306,"")</f>
        <v/>
      </c>
      <c r="BU306" s="66" t="str">
        <f aca="false">IF(BP306=1,IF(AL306="Win",1+IF(BQ306=1,0,INDEX(BU$5:BU305,MATCH(BQ306-1,BQ$5:BQ305,0))),0),"")</f>
        <v/>
      </c>
      <c r="BV306" s="66" t="str">
        <f aca="false">IF(BP306=1,IF(AL306="Loss",1+IF(BQ306=1,0,INDEX(BV$5:BV305,MATCH(BQ306-1,BQ$5:BQ305,0))),0),"")</f>
        <v/>
      </c>
    </row>
    <row r="307" customFormat="false" ht="15" hidden="false" customHeight="false" outlineLevel="0" collapsed="false">
      <c r="A307" s="66" t="str">
        <f aca="false">IF(B307="","",ROW()-5)</f>
        <v/>
      </c>
      <c r="B307" s="67"/>
      <c r="C307" s="68" t="str">
        <f aca="false">IF(B307="","",CHOOSE(WEEKDAY(B307,2),"Mon","Tue","Wed","Thu","Fri","Sat","Sun"))</f>
        <v/>
      </c>
      <c r="D307" s="66" t="str">
        <f aca="false">IF(B307="","",WEEKNUM(B307,2))</f>
        <v/>
      </c>
      <c r="E307" s="69"/>
      <c r="F307" s="69"/>
      <c r="G307" s="70"/>
      <c r="H307" s="70"/>
      <c r="I307" s="69"/>
      <c r="J307" s="69"/>
      <c r="K307" s="69"/>
      <c r="L307" s="71"/>
      <c r="M307" s="69"/>
      <c r="N307" s="69"/>
      <c r="O307" s="69"/>
      <c r="P307" s="71"/>
      <c r="Q307" s="69"/>
      <c r="R307" s="69"/>
      <c r="S307" s="69"/>
      <c r="T307" s="69"/>
      <c r="U307" s="69"/>
      <c r="V307" s="69"/>
      <c r="W307" s="69"/>
      <c r="X307" s="66" t="str">
        <f aca="false">IF(B307="","",COUNTIF(Q307:W307,"Yes"))</f>
        <v/>
      </c>
      <c r="Y307" s="68" t="str">
        <f aca="false">IF(B307="","",IF(X307&gt;=Settings!$C$16,"A+",IF(X307&gt;=Settings!$C$17,"A",IF(X307&gt;=Settings!$C$18,"B","C"))))</f>
        <v/>
      </c>
      <c r="Z307" s="72"/>
      <c r="AA307" s="72"/>
      <c r="AB307" s="72"/>
      <c r="AC307" s="72"/>
      <c r="AD307" s="72"/>
      <c r="AE307" s="72"/>
      <c r="AF307" s="73"/>
      <c r="AG307" s="74"/>
      <c r="AH307" s="75"/>
      <c r="AI307" s="76" t="str">
        <f aca="false">IF(B307="","",ROUND(IF(AG307="",Settings!$C$5,AG307)*AW307,2))</f>
        <v/>
      </c>
      <c r="AJ307" s="77" t="str">
        <f aca="false">IF(OR(B307="",AB307="",AC307="",AD307=""),"",IFERROR(ROUND(ABS(AD307-AB307)/ABS(AB307-AC307),2),""))</f>
        <v/>
      </c>
      <c r="AK307" s="78" t="str">
        <f aca="false">IF(OR(B307="",AB307="",AC307="",AE307=""),"",IFERROR(ROUND(IF(J307="Short",AB307-AE307,AE307-AB307)/ABS(AB307-AC307),2),""))</f>
        <v/>
      </c>
      <c r="AL307" s="68" t="str">
        <f aca="false">IF(AK307="","",IF(ABS(AK307)&lt;=Settings!$C$6,"BE",IF(AK307&gt;0,"Win","Loss")))</f>
        <v/>
      </c>
      <c r="AM307" s="79" t="str">
        <f aca="false">IF(OR(AK307="",AI307=""),"",ROUND(AK307*AI307-N(AH307),2))</f>
        <v/>
      </c>
      <c r="AN307" s="76" t="str">
        <f aca="false">IF(AM307="","",ROUND(BK307+SUMIFS(AM$6:AM307,BJ$6:BJ307,BJ307),2))</f>
        <v/>
      </c>
      <c r="AO307" s="78" t="str">
        <f aca="false">IF(AK307="","",ROUND(SUMIFS(AK$6:AK307,BJ$6:BJ307,BJ307),2))</f>
        <v/>
      </c>
      <c r="AP307" s="80" t="str">
        <f aca="false">IF(OR(AK307="",BL307=""),"",IFERROR(ROUND(IF(J307="Short",AB307-AE307,AE307-AB307)/BL307,1),""))</f>
        <v/>
      </c>
      <c r="AQ307" s="66" t="str">
        <f aca="false">IF(OR(G307="",H307=""),"",ROUND(MOD(H307-G307,1)*1440,0))</f>
        <v/>
      </c>
      <c r="AR307" s="68" t="str">
        <f aca="false">IF(AQ307="","",IF(AQ307&lt;15,"Under 15m",IF(AQ307&lt;60,"15-60m",IF(AQ307&lt;240,"1-4 hours","4+ hours"))))</f>
        <v/>
      </c>
      <c r="AS307" s="66" t="str">
        <f aca="false">IF(G307="","",HOUR(G307))</f>
        <v/>
      </c>
      <c r="AT307" s="80" t="str">
        <f aca="false">IF(OR(Z307="",AB307="",BL307=""),"",IFERROR(ROUND(IF(J307="Short",Z307-AB307,AB307-Z307)/BL307,1),""))</f>
        <v/>
      </c>
      <c r="AU307" s="68" t="str">
        <f aca="false">IF(OR(AA307="",AC307=""),"",IF(AA307=AC307,"No","Yes"))</f>
        <v/>
      </c>
      <c r="AV307" s="81" t="str">
        <f aca="false">IF(OR(B307="",BL307="",BM307="",AB307="",AC307=""),"",IFERROR(ROUND(AI307/(ABS(AB307-AC307)/BL307*BM307),2),""))</f>
        <v/>
      </c>
      <c r="AW307" s="76" t="str">
        <f aca="false">IF(B307="","",ROUND(BK307+SUMIFS(AM$5:AM306,BJ$5:BJ306,BJ307),2))</f>
        <v/>
      </c>
      <c r="AX307" s="66" t="str">
        <f aca="false">IF(B307="","",COUNTIFS(B$6:B307,B307,BJ$6:BJ307,BJ307))</f>
        <v/>
      </c>
      <c r="AY307" s="79" t="str">
        <f aca="false">IF(B307="","",ROUND(SUMIFS(AM$5:AM306,B$5:B306,B307,BJ$5:BJ306,BJ307),2))</f>
        <v/>
      </c>
      <c r="AZ307" s="79" t="str">
        <f aca="false">IF(AM307="","",ROUND(AY307+AM307,2))</f>
        <v/>
      </c>
      <c r="BA307" s="79" t="str">
        <f aca="false">IF(B307="","",ROUND(SUMIFS(AM$5:AM306,B$5:B306,"&gt;="&amp;(B307-WEEKDAY(B307,2)+1),B$5:B306,"&lt;="&amp;B307,BJ$5:BJ306,BJ307),2))</f>
        <v/>
      </c>
      <c r="BB307" s="68" t="str">
        <f aca="false">IF(B307="","",IF(AND(AF307&lt;&gt;"",AV307&lt;&gt;"",N(AF307)&gt;N(AV307)*(1+Settings!$C$13)),"Oversized",IF(AX307&gt;Settings!$C$10,"Overtraded",IF(AY307&lt;=-Settings!$C$11*(AW307-AY307),"Daily loss hit",IF(BA307&lt;=-Settings!$C$12*(AW307-BA307),"Weekly loss hit","OK")))))</f>
        <v/>
      </c>
      <c r="BC307" s="69"/>
      <c r="BD307" s="69"/>
      <c r="BE307" s="69"/>
      <c r="BF307" s="73"/>
      <c r="BG307" s="73"/>
      <c r="BH307" s="71"/>
      <c r="BI307" s="71"/>
      <c r="BJ307" s="68" t="str">
        <f aca="false">IF(B307="","",IF(E307="",Settings!$F$5,E307))</f>
        <v/>
      </c>
      <c r="BK307" s="76" t="str">
        <f aca="false">IF(B307="","",IFERROR(INDEX(Settings!$G$5:$G$10,MATCH(BJ307,Settings!$F$5:$F$10,0)),Settings!$G$5))</f>
        <v/>
      </c>
      <c r="BL307" s="82" t="str">
        <f aca="false">IF(I307="","",IFERROR(1/(1/INDEX(Lists!$C$6:$C$17,MATCH(I307,Lists!$B$6:$B$17,0))),""))</f>
        <v/>
      </c>
      <c r="BM307" s="81" t="str">
        <f aca="false">IF(I307="","",IFERROR(1/(1/INDEX(Lists!$D$6:$D$17,MATCH(I307,Lists!$B$6:$B$17,0))),""))</f>
        <v/>
      </c>
      <c r="BN307" s="76" t="str">
        <f aca="false">IF(AN307="","",MAX(BK307,_xlfn.MAXIFS(AN$6:AN307,BJ$6:BJ307,BJ307)))</f>
        <v/>
      </c>
      <c r="BO307" s="83" t="str">
        <f aca="false">IF(AN307="","",(AN307-BN307)/BN307)</f>
        <v/>
      </c>
      <c r="BP307" s="66" t="n">
        <f aca="false">IF(OR(B307="",AL307=""),0,IF(OR(Settings!$C$28="All Accounts",BJ307=Settings!$C$28),1,0))</f>
        <v>0</v>
      </c>
      <c r="BQ307" s="66" t="str">
        <f aca="false">IF(BP307=1,SUM(BP$6:BP307),"")</f>
        <v/>
      </c>
      <c r="BR307" s="76" t="str">
        <f aca="false">IF(BP307=1,ROUND(Settings!$C$29+SUMIFS(AM$6:AM307,BP$6:BP307,1),2),"")</f>
        <v/>
      </c>
      <c r="BS307" s="76" t="str">
        <f aca="false">IF(BP307=1,MAX(Settings!$C$29,MAX(BR$6:BR307)),"")</f>
        <v/>
      </c>
      <c r="BT307" s="83" t="str">
        <f aca="false">IF(BP307=1,(BR307-BS307)/BS307,"")</f>
        <v/>
      </c>
      <c r="BU307" s="66" t="str">
        <f aca="false">IF(BP307=1,IF(AL307="Win",1+IF(BQ307=1,0,INDEX(BU$5:BU306,MATCH(BQ307-1,BQ$5:BQ306,0))),0),"")</f>
        <v/>
      </c>
      <c r="BV307" s="66" t="str">
        <f aca="false">IF(BP307=1,IF(AL307="Loss",1+IF(BQ307=1,0,INDEX(BV$5:BV306,MATCH(BQ307-1,BQ$5:BQ306,0))),0),"")</f>
        <v/>
      </c>
    </row>
    <row r="308" customFormat="false" ht="15" hidden="false" customHeight="false" outlineLevel="0" collapsed="false">
      <c r="A308" s="66" t="str">
        <f aca="false">IF(B308="","",ROW()-5)</f>
        <v/>
      </c>
      <c r="B308" s="67"/>
      <c r="C308" s="68" t="str">
        <f aca="false">IF(B308="","",CHOOSE(WEEKDAY(B308,2),"Mon","Tue","Wed","Thu","Fri","Sat","Sun"))</f>
        <v/>
      </c>
      <c r="D308" s="66" t="str">
        <f aca="false">IF(B308="","",WEEKNUM(B308,2))</f>
        <v/>
      </c>
      <c r="E308" s="69"/>
      <c r="F308" s="69"/>
      <c r="G308" s="70"/>
      <c r="H308" s="70"/>
      <c r="I308" s="69"/>
      <c r="J308" s="69"/>
      <c r="K308" s="69"/>
      <c r="L308" s="71"/>
      <c r="M308" s="69"/>
      <c r="N308" s="69"/>
      <c r="O308" s="69"/>
      <c r="P308" s="71"/>
      <c r="Q308" s="69"/>
      <c r="R308" s="69"/>
      <c r="S308" s="69"/>
      <c r="T308" s="69"/>
      <c r="U308" s="69"/>
      <c r="V308" s="69"/>
      <c r="W308" s="69"/>
      <c r="X308" s="66" t="str">
        <f aca="false">IF(B308="","",COUNTIF(Q308:W308,"Yes"))</f>
        <v/>
      </c>
      <c r="Y308" s="68" t="str">
        <f aca="false">IF(B308="","",IF(X308&gt;=Settings!$C$16,"A+",IF(X308&gt;=Settings!$C$17,"A",IF(X308&gt;=Settings!$C$18,"B","C"))))</f>
        <v/>
      </c>
      <c r="Z308" s="72"/>
      <c r="AA308" s="72"/>
      <c r="AB308" s="72"/>
      <c r="AC308" s="72"/>
      <c r="AD308" s="72"/>
      <c r="AE308" s="72"/>
      <c r="AF308" s="73"/>
      <c r="AG308" s="74"/>
      <c r="AH308" s="75"/>
      <c r="AI308" s="76" t="str">
        <f aca="false">IF(B308="","",ROUND(IF(AG308="",Settings!$C$5,AG308)*AW308,2))</f>
        <v/>
      </c>
      <c r="AJ308" s="77" t="str">
        <f aca="false">IF(OR(B308="",AB308="",AC308="",AD308=""),"",IFERROR(ROUND(ABS(AD308-AB308)/ABS(AB308-AC308),2),""))</f>
        <v/>
      </c>
      <c r="AK308" s="78" t="str">
        <f aca="false">IF(OR(B308="",AB308="",AC308="",AE308=""),"",IFERROR(ROUND(IF(J308="Short",AB308-AE308,AE308-AB308)/ABS(AB308-AC308),2),""))</f>
        <v/>
      </c>
      <c r="AL308" s="68" t="str">
        <f aca="false">IF(AK308="","",IF(ABS(AK308)&lt;=Settings!$C$6,"BE",IF(AK308&gt;0,"Win","Loss")))</f>
        <v/>
      </c>
      <c r="AM308" s="79" t="str">
        <f aca="false">IF(OR(AK308="",AI308=""),"",ROUND(AK308*AI308-N(AH308),2))</f>
        <v/>
      </c>
      <c r="AN308" s="76" t="str">
        <f aca="false">IF(AM308="","",ROUND(BK308+SUMIFS(AM$6:AM308,BJ$6:BJ308,BJ308),2))</f>
        <v/>
      </c>
      <c r="AO308" s="78" t="str">
        <f aca="false">IF(AK308="","",ROUND(SUMIFS(AK$6:AK308,BJ$6:BJ308,BJ308),2))</f>
        <v/>
      </c>
      <c r="AP308" s="80" t="str">
        <f aca="false">IF(OR(AK308="",BL308=""),"",IFERROR(ROUND(IF(J308="Short",AB308-AE308,AE308-AB308)/BL308,1),""))</f>
        <v/>
      </c>
      <c r="AQ308" s="66" t="str">
        <f aca="false">IF(OR(G308="",H308=""),"",ROUND(MOD(H308-G308,1)*1440,0))</f>
        <v/>
      </c>
      <c r="AR308" s="68" t="str">
        <f aca="false">IF(AQ308="","",IF(AQ308&lt;15,"Under 15m",IF(AQ308&lt;60,"15-60m",IF(AQ308&lt;240,"1-4 hours","4+ hours"))))</f>
        <v/>
      </c>
      <c r="AS308" s="66" t="str">
        <f aca="false">IF(G308="","",HOUR(G308))</f>
        <v/>
      </c>
      <c r="AT308" s="80" t="str">
        <f aca="false">IF(OR(Z308="",AB308="",BL308=""),"",IFERROR(ROUND(IF(J308="Short",Z308-AB308,AB308-Z308)/BL308,1),""))</f>
        <v/>
      </c>
      <c r="AU308" s="68" t="str">
        <f aca="false">IF(OR(AA308="",AC308=""),"",IF(AA308=AC308,"No","Yes"))</f>
        <v/>
      </c>
      <c r="AV308" s="81" t="str">
        <f aca="false">IF(OR(B308="",BL308="",BM308="",AB308="",AC308=""),"",IFERROR(ROUND(AI308/(ABS(AB308-AC308)/BL308*BM308),2),""))</f>
        <v/>
      </c>
      <c r="AW308" s="76" t="str">
        <f aca="false">IF(B308="","",ROUND(BK308+SUMIFS(AM$5:AM307,BJ$5:BJ307,BJ308),2))</f>
        <v/>
      </c>
      <c r="AX308" s="66" t="str">
        <f aca="false">IF(B308="","",COUNTIFS(B$6:B308,B308,BJ$6:BJ308,BJ308))</f>
        <v/>
      </c>
      <c r="AY308" s="79" t="str">
        <f aca="false">IF(B308="","",ROUND(SUMIFS(AM$5:AM307,B$5:B307,B308,BJ$5:BJ307,BJ308),2))</f>
        <v/>
      </c>
      <c r="AZ308" s="79" t="str">
        <f aca="false">IF(AM308="","",ROUND(AY308+AM308,2))</f>
        <v/>
      </c>
      <c r="BA308" s="79" t="str">
        <f aca="false">IF(B308="","",ROUND(SUMIFS(AM$5:AM307,B$5:B307,"&gt;="&amp;(B308-WEEKDAY(B308,2)+1),B$5:B307,"&lt;="&amp;B308,BJ$5:BJ307,BJ308),2))</f>
        <v/>
      </c>
      <c r="BB308" s="68" t="str">
        <f aca="false">IF(B308="","",IF(AND(AF308&lt;&gt;"",AV308&lt;&gt;"",N(AF308)&gt;N(AV308)*(1+Settings!$C$13)),"Oversized",IF(AX308&gt;Settings!$C$10,"Overtraded",IF(AY308&lt;=-Settings!$C$11*(AW308-AY308),"Daily loss hit",IF(BA308&lt;=-Settings!$C$12*(AW308-BA308),"Weekly loss hit","OK")))))</f>
        <v/>
      </c>
      <c r="BC308" s="69"/>
      <c r="BD308" s="69"/>
      <c r="BE308" s="69"/>
      <c r="BF308" s="73"/>
      <c r="BG308" s="73"/>
      <c r="BH308" s="71"/>
      <c r="BI308" s="71"/>
      <c r="BJ308" s="68" t="str">
        <f aca="false">IF(B308="","",IF(E308="",Settings!$F$5,E308))</f>
        <v/>
      </c>
      <c r="BK308" s="76" t="str">
        <f aca="false">IF(B308="","",IFERROR(INDEX(Settings!$G$5:$G$10,MATCH(BJ308,Settings!$F$5:$F$10,0)),Settings!$G$5))</f>
        <v/>
      </c>
      <c r="BL308" s="82" t="str">
        <f aca="false">IF(I308="","",IFERROR(1/(1/INDEX(Lists!$C$6:$C$17,MATCH(I308,Lists!$B$6:$B$17,0))),""))</f>
        <v/>
      </c>
      <c r="BM308" s="81" t="str">
        <f aca="false">IF(I308="","",IFERROR(1/(1/INDEX(Lists!$D$6:$D$17,MATCH(I308,Lists!$B$6:$B$17,0))),""))</f>
        <v/>
      </c>
      <c r="BN308" s="76" t="str">
        <f aca="false">IF(AN308="","",MAX(BK308,_xlfn.MAXIFS(AN$6:AN308,BJ$6:BJ308,BJ308)))</f>
        <v/>
      </c>
      <c r="BO308" s="83" t="str">
        <f aca="false">IF(AN308="","",(AN308-BN308)/BN308)</f>
        <v/>
      </c>
      <c r="BP308" s="66" t="n">
        <f aca="false">IF(OR(B308="",AL308=""),0,IF(OR(Settings!$C$28="All Accounts",BJ308=Settings!$C$28),1,0))</f>
        <v>0</v>
      </c>
      <c r="BQ308" s="66" t="str">
        <f aca="false">IF(BP308=1,SUM(BP$6:BP308),"")</f>
        <v/>
      </c>
      <c r="BR308" s="76" t="str">
        <f aca="false">IF(BP308=1,ROUND(Settings!$C$29+SUMIFS(AM$6:AM308,BP$6:BP308,1),2),"")</f>
        <v/>
      </c>
      <c r="BS308" s="76" t="str">
        <f aca="false">IF(BP308=1,MAX(Settings!$C$29,MAX(BR$6:BR308)),"")</f>
        <v/>
      </c>
      <c r="BT308" s="83" t="str">
        <f aca="false">IF(BP308=1,(BR308-BS308)/BS308,"")</f>
        <v/>
      </c>
      <c r="BU308" s="66" t="str">
        <f aca="false">IF(BP308=1,IF(AL308="Win",1+IF(BQ308=1,0,INDEX(BU$5:BU307,MATCH(BQ308-1,BQ$5:BQ307,0))),0),"")</f>
        <v/>
      </c>
      <c r="BV308" s="66" t="str">
        <f aca="false">IF(BP308=1,IF(AL308="Loss",1+IF(BQ308=1,0,INDEX(BV$5:BV307,MATCH(BQ308-1,BQ$5:BQ307,0))),0),"")</f>
        <v/>
      </c>
    </row>
    <row r="309" customFormat="false" ht="15" hidden="false" customHeight="false" outlineLevel="0" collapsed="false">
      <c r="A309" s="66" t="str">
        <f aca="false">IF(B309="","",ROW()-5)</f>
        <v/>
      </c>
      <c r="B309" s="67"/>
      <c r="C309" s="68" t="str">
        <f aca="false">IF(B309="","",CHOOSE(WEEKDAY(B309,2),"Mon","Tue","Wed","Thu","Fri","Sat","Sun"))</f>
        <v/>
      </c>
      <c r="D309" s="66" t="str">
        <f aca="false">IF(B309="","",WEEKNUM(B309,2))</f>
        <v/>
      </c>
      <c r="E309" s="69"/>
      <c r="F309" s="69"/>
      <c r="G309" s="70"/>
      <c r="H309" s="70"/>
      <c r="I309" s="69"/>
      <c r="J309" s="69"/>
      <c r="K309" s="69"/>
      <c r="L309" s="71"/>
      <c r="M309" s="69"/>
      <c r="N309" s="69"/>
      <c r="O309" s="69"/>
      <c r="P309" s="71"/>
      <c r="Q309" s="69"/>
      <c r="R309" s="69"/>
      <c r="S309" s="69"/>
      <c r="T309" s="69"/>
      <c r="U309" s="69"/>
      <c r="V309" s="69"/>
      <c r="W309" s="69"/>
      <c r="X309" s="66" t="str">
        <f aca="false">IF(B309="","",COUNTIF(Q309:W309,"Yes"))</f>
        <v/>
      </c>
      <c r="Y309" s="68" t="str">
        <f aca="false">IF(B309="","",IF(X309&gt;=Settings!$C$16,"A+",IF(X309&gt;=Settings!$C$17,"A",IF(X309&gt;=Settings!$C$18,"B","C"))))</f>
        <v/>
      </c>
      <c r="Z309" s="72"/>
      <c r="AA309" s="72"/>
      <c r="AB309" s="72"/>
      <c r="AC309" s="72"/>
      <c r="AD309" s="72"/>
      <c r="AE309" s="72"/>
      <c r="AF309" s="73"/>
      <c r="AG309" s="74"/>
      <c r="AH309" s="75"/>
      <c r="AI309" s="76" t="str">
        <f aca="false">IF(B309="","",ROUND(IF(AG309="",Settings!$C$5,AG309)*AW309,2))</f>
        <v/>
      </c>
      <c r="AJ309" s="77" t="str">
        <f aca="false">IF(OR(B309="",AB309="",AC309="",AD309=""),"",IFERROR(ROUND(ABS(AD309-AB309)/ABS(AB309-AC309),2),""))</f>
        <v/>
      </c>
      <c r="AK309" s="78" t="str">
        <f aca="false">IF(OR(B309="",AB309="",AC309="",AE309=""),"",IFERROR(ROUND(IF(J309="Short",AB309-AE309,AE309-AB309)/ABS(AB309-AC309),2),""))</f>
        <v/>
      </c>
      <c r="AL309" s="68" t="str">
        <f aca="false">IF(AK309="","",IF(ABS(AK309)&lt;=Settings!$C$6,"BE",IF(AK309&gt;0,"Win","Loss")))</f>
        <v/>
      </c>
      <c r="AM309" s="79" t="str">
        <f aca="false">IF(OR(AK309="",AI309=""),"",ROUND(AK309*AI309-N(AH309),2))</f>
        <v/>
      </c>
      <c r="AN309" s="76" t="str">
        <f aca="false">IF(AM309="","",ROUND(BK309+SUMIFS(AM$6:AM309,BJ$6:BJ309,BJ309),2))</f>
        <v/>
      </c>
      <c r="AO309" s="78" t="str">
        <f aca="false">IF(AK309="","",ROUND(SUMIFS(AK$6:AK309,BJ$6:BJ309,BJ309),2))</f>
        <v/>
      </c>
      <c r="AP309" s="80" t="str">
        <f aca="false">IF(OR(AK309="",BL309=""),"",IFERROR(ROUND(IF(J309="Short",AB309-AE309,AE309-AB309)/BL309,1),""))</f>
        <v/>
      </c>
      <c r="AQ309" s="66" t="str">
        <f aca="false">IF(OR(G309="",H309=""),"",ROUND(MOD(H309-G309,1)*1440,0))</f>
        <v/>
      </c>
      <c r="AR309" s="68" t="str">
        <f aca="false">IF(AQ309="","",IF(AQ309&lt;15,"Under 15m",IF(AQ309&lt;60,"15-60m",IF(AQ309&lt;240,"1-4 hours","4+ hours"))))</f>
        <v/>
      </c>
      <c r="AS309" s="66" t="str">
        <f aca="false">IF(G309="","",HOUR(G309))</f>
        <v/>
      </c>
      <c r="AT309" s="80" t="str">
        <f aca="false">IF(OR(Z309="",AB309="",BL309=""),"",IFERROR(ROUND(IF(J309="Short",Z309-AB309,AB309-Z309)/BL309,1),""))</f>
        <v/>
      </c>
      <c r="AU309" s="68" t="str">
        <f aca="false">IF(OR(AA309="",AC309=""),"",IF(AA309=AC309,"No","Yes"))</f>
        <v/>
      </c>
      <c r="AV309" s="81" t="str">
        <f aca="false">IF(OR(B309="",BL309="",BM309="",AB309="",AC309=""),"",IFERROR(ROUND(AI309/(ABS(AB309-AC309)/BL309*BM309),2),""))</f>
        <v/>
      </c>
      <c r="AW309" s="76" t="str">
        <f aca="false">IF(B309="","",ROUND(BK309+SUMIFS(AM$5:AM308,BJ$5:BJ308,BJ309),2))</f>
        <v/>
      </c>
      <c r="AX309" s="66" t="str">
        <f aca="false">IF(B309="","",COUNTIFS(B$6:B309,B309,BJ$6:BJ309,BJ309))</f>
        <v/>
      </c>
      <c r="AY309" s="79" t="str">
        <f aca="false">IF(B309="","",ROUND(SUMIFS(AM$5:AM308,B$5:B308,B309,BJ$5:BJ308,BJ309),2))</f>
        <v/>
      </c>
      <c r="AZ309" s="79" t="str">
        <f aca="false">IF(AM309="","",ROUND(AY309+AM309,2))</f>
        <v/>
      </c>
      <c r="BA309" s="79" t="str">
        <f aca="false">IF(B309="","",ROUND(SUMIFS(AM$5:AM308,B$5:B308,"&gt;="&amp;(B309-WEEKDAY(B309,2)+1),B$5:B308,"&lt;="&amp;B309,BJ$5:BJ308,BJ309),2))</f>
        <v/>
      </c>
      <c r="BB309" s="68" t="str">
        <f aca="false">IF(B309="","",IF(AND(AF309&lt;&gt;"",AV309&lt;&gt;"",N(AF309)&gt;N(AV309)*(1+Settings!$C$13)),"Oversized",IF(AX309&gt;Settings!$C$10,"Overtraded",IF(AY309&lt;=-Settings!$C$11*(AW309-AY309),"Daily loss hit",IF(BA309&lt;=-Settings!$C$12*(AW309-BA309),"Weekly loss hit","OK")))))</f>
        <v/>
      </c>
      <c r="BC309" s="69"/>
      <c r="BD309" s="69"/>
      <c r="BE309" s="69"/>
      <c r="BF309" s="73"/>
      <c r="BG309" s="73"/>
      <c r="BH309" s="71"/>
      <c r="BI309" s="71"/>
      <c r="BJ309" s="68" t="str">
        <f aca="false">IF(B309="","",IF(E309="",Settings!$F$5,E309))</f>
        <v/>
      </c>
      <c r="BK309" s="76" t="str">
        <f aca="false">IF(B309="","",IFERROR(INDEX(Settings!$G$5:$G$10,MATCH(BJ309,Settings!$F$5:$F$10,0)),Settings!$G$5))</f>
        <v/>
      </c>
      <c r="BL309" s="82" t="str">
        <f aca="false">IF(I309="","",IFERROR(1/(1/INDEX(Lists!$C$6:$C$17,MATCH(I309,Lists!$B$6:$B$17,0))),""))</f>
        <v/>
      </c>
      <c r="BM309" s="81" t="str">
        <f aca="false">IF(I309="","",IFERROR(1/(1/INDEX(Lists!$D$6:$D$17,MATCH(I309,Lists!$B$6:$B$17,0))),""))</f>
        <v/>
      </c>
      <c r="BN309" s="76" t="str">
        <f aca="false">IF(AN309="","",MAX(BK309,_xlfn.MAXIFS(AN$6:AN309,BJ$6:BJ309,BJ309)))</f>
        <v/>
      </c>
      <c r="BO309" s="83" t="str">
        <f aca="false">IF(AN309="","",(AN309-BN309)/BN309)</f>
        <v/>
      </c>
      <c r="BP309" s="66" t="n">
        <f aca="false">IF(OR(B309="",AL309=""),0,IF(OR(Settings!$C$28="All Accounts",BJ309=Settings!$C$28),1,0))</f>
        <v>0</v>
      </c>
      <c r="BQ309" s="66" t="str">
        <f aca="false">IF(BP309=1,SUM(BP$6:BP309),"")</f>
        <v/>
      </c>
      <c r="BR309" s="76" t="str">
        <f aca="false">IF(BP309=1,ROUND(Settings!$C$29+SUMIFS(AM$6:AM309,BP$6:BP309,1),2),"")</f>
        <v/>
      </c>
      <c r="BS309" s="76" t="str">
        <f aca="false">IF(BP309=1,MAX(Settings!$C$29,MAX(BR$6:BR309)),"")</f>
        <v/>
      </c>
      <c r="BT309" s="83" t="str">
        <f aca="false">IF(BP309=1,(BR309-BS309)/BS309,"")</f>
        <v/>
      </c>
      <c r="BU309" s="66" t="str">
        <f aca="false">IF(BP309=1,IF(AL309="Win",1+IF(BQ309=1,0,INDEX(BU$5:BU308,MATCH(BQ309-1,BQ$5:BQ308,0))),0),"")</f>
        <v/>
      </c>
      <c r="BV309" s="66" t="str">
        <f aca="false">IF(BP309=1,IF(AL309="Loss",1+IF(BQ309=1,0,INDEX(BV$5:BV308,MATCH(BQ309-1,BQ$5:BQ308,0))),0),"")</f>
        <v/>
      </c>
    </row>
    <row r="310" customFormat="false" ht="15" hidden="false" customHeight="false" outlineLevel="0" collapsed="false">
      <c r="A310" s="66" t="str">
        <f aca="false">IF(B310="","",ROW()-5)</f>
        <v/>
      </c>
      <c r="B310" s="67"/>
      <c r="C310" s="68" t="str">
        <f aca="false">IF(B310="","",CHOOSE(WEEKDAY(B310,2),"Mon","Tue","Wed","Thu","Fri","Sat","Sun"))</f>
        <v/>
      </c>
      <c r="D310" s="66" t="str">
        <f aca="false">IF(B310="","",WEEKNUM(B310,2))</f>
        <v/>
      </c>
      <c r="E310" s="69"/>
      <c r="F310" s="69"/>
      <c r="G310" s="70"/>
      <c r="H310" s="70"/>
      <c r="I310" s="69"/>
      <c r="J310" s="69"/>
      <c r="K310" s="69"/>
      <c r="L310" s="71"/>
      <c r="M310" s="69"/>
      <c r="N310" s="69"/>
      <c r="O310" s="69"/>
      <c r="P310" s="71"/>
      <c r="Q310" s="69"/>
      <c r="R310" s="69"/>
      <c r="S310" s="69"/>
      <c r="T310" s="69"/>
      <c r="U310" s="69"/>
      <c r="V310" s="69"/>
      <c r="W310" s="69"/>
      <c r="X310" s="66" t="str">
        <f aca="false">IF(B310="","",COUNTIF(Q310:W310,"Yes"))</f>
        <v/>
      </c>
      <c r="Y310" s="68" t="str">
        <f aca="false">IF(B310="","",IF(X310&gt;=Settings!$C$16,"A+",IF(X310&gt;=Settings!$C$17,"A",IF(X310&gt;=Settings!$C$18,"B","C"))))</f>
        <v/>
      </c>
      <c r="Z310" s="72"/>
      <c r="AA310" s="72"/>
      <c r="AB310" s="72"/>
      <c r="AC310" s="72"/>
      <c r="AD310" s="72"/>
      <c r="AE310" s="72"/>
      <c r="AF310" s="73"/>
      <c r="AG310" s="74"/>
      <c r="AH310" s="75"/>
      <c r="AI310" s="76" t="str">
        <f aca="false">IF(B310="","",ROUND(IF(AG310="",Settings!$C$5,AG310)*AW310,2))</f>
        <v/>
      </c>
      <c r="AJ310" s="77" t="str">
        <f aca="false">IF(OR(B310="",AB310="",AC310="",AD310=""),"",IFERROR(ROUND(ABS(AD310-AB310)/ABS(AB310-AC310),2),""))</f>
        <v/>
      </c>
      <c r="AK310" s="78" t="str">
        <f aca="false">IF(OR(B310="",AB310="",AC310="",AE310=""),"",IFERROR(ROUND(IF(J310="Short",AB310-AE310,AE310-AB310)/ABS(AB310-AC310),2),""))</f>
        <v/>
      </c>
      <c r="AL310" s="68" t="str">
        <f aca="false">IF(AK310="","",IF(ABS(AK310)&lt;=Settings!$C$6,"BE",IF(AK310&gt;0,"Win","Loss")))</f>
        <v/>
      </c>
      <c r="AM310" s="79" t="str">
        <f aca="false">IF(OR(AK310="",AI310=""),"",ROUND(AK310*AI310-N(AH310),2))</f>
        <v/>
      </c>
      <c r="AN310" s="76" t="str">
        <f aca="false">IF(AM310="","",ROUND(BK310+SUMIFS(AM$6:AM310,BJ$6:BJ310,BJ310),2))</f>
        <v/>
      </c>
      <c r="AO310" s="78" t="str">
        <f aca="false">IF(AK310="","",ROUND(SUMIFS(AK$6:AK310,BJ$6:BJ310,BJ310),2))</f>
        <v/>
      </c>
      <c r="AP310" s="80" t="str">
        <f aca="false">IF(OR(AK310="",BL310=""),"",IFERROR(ROUND(IF(J310="Short",AB310-AE310,AE310-AB310)/BL310,1),""))</f>
        <v/>
      </c>
      <c r="AQ310" s="66" t="str">
        <f aca="false">IF(OR(G310="",H310=""),"",ROUND(MOD(H310-G310,1)*1440,0))</f>
        <v/>
      </c>
      <c r="AR310" s="68" t="str">
        <f aca="false">IF(AQ310="","",IF(AQ310&lt;15,"Under 15m",IF(AQ310&lt;60,"15-60m",IF(AQ310&lt;240,"1-4 hours","4+ hours"))))</f>
        <v/>
      </c>
      <c r="AS310" s="66" t="str">
        <f aca="false">IF(G310="","",HOUR(G310))</f>
        <v/>
      </c>
      <c r="AT310" s="80" t="str">
        <f aca="false">IF(OR(Z310="",AB310="",BL310=""),"",IFERROR(ROUND(IF(J310="Short",Z310-AB310,AB310-Z310)/BL310,1),""))</f>
        <v/>
      </c>
      <c r="AU310" s="68" t="str">
        <f aca="false">IF(OR(AA310="",AC310=""),"",IF(AA310=AC310,"No","Yes"))</f>
        <v/>
      </c>
      <c r="AV310" s="81" t="str">
        <f aca="false">IF(OR(B310="",BL310="",BM310="",AB310="",AC310=""),"",IFERROR(ROUND(AI310/(ABS(AB310-AC310)/BL310*BM310),2),""))</f>
        <v/>
      </c>
      <c r="AW310" s="76" t="str">
        <f aca="false">IF(B310="","",ROUND(BK310+SUMIFS(AM$5:AM309,BJ$5:BJ309,BJ310),2))</f>
        <v/>
      </c>
      <c r="AX310" s="66" t="str">
        <f aca="false">IF(B310="","",COUNTIFS(B$6:B310,B310,BJ$6:BJ310,BJ310))</f>
        <v/>
      </c>
      <c r="AY310" s="79" t="str">
        <f aca="false">IF(B310="","",ROUND(SUMIFS(AM$5:AM309,B$5:B309,B310,BJ$5:BJ309,BJ310),2))</f>
        <v/>
      </c>
      <c r="AZ310" s="79" t="str">
        <f aca="false">IF(AM310="","",ROUND(AY310+AM310,2))</f>
        <v/>
      </c>
      <c r="BA310" s="79" t="str">
        <f aca="false">IF(B310="","",ROUND(SUMIFS(AM$5:AM309,B$5:B309,"&gt;="&amp;(B310-WEEKDAY(B310,2)+1),B$5:B309,"&lt;="&amp;B310,BJ$5:BJ309,BJ310),2))</f>
        <v/>
      </c>
      <c r="BB310" s="68" t="str">
        <f aca="false">IF(B310="","",IF(AND(AF310&lt;&gt;"",AV310&lt;&gt;"",N(AF310)&gt;N(AV310)*(1+Settings!$C$13)),"Oversized",IF(AX310&gt;Settings!$C$10,"Overtraded",IF(AY310&lt;=-Settings!$C$11*(AW310-AY310),"Daily loss hit",IF(BA310&lt;=-Settings!$C$12*(AW310-BA310),"Weekly loss hit","OK")))))</f>
        <v/>
      </c>
      <c r="BC310" s="69"/>
      <c r="BD310" s="69"/>
      <c r="BE310" s="69"/>
      <c r="BF310" s="73"/>
      <c r="BG310" s="73"/>
      <c r="BH310" s="71"/>
      <c r="BI310" s="71"/>
      <c r="BJ310" s="68" t="str">
        <f aca="false">IF(B310="","",IF(E310="",Settings!$F$5,E310))</f>
        <v/>
      </c>
      <c r="BK310" s="76" t="str">
        <f aca="false">IF(B310="","",IFERROR(INDEX(Settings!$G$5:$G$10,MATCH(BJ310,Settings!$F$5:$F$10,0)),Settings!$G$5))</f>
        <v/>
      </c>
      <c r="BL310" s="82" t="str">
        <f aca="false">IF(I310="","",IFERROR(1/(1/INDEX(Lists!$C$6:$C$17,MATCH(I310,Lists!$B$6:$B$17,0))),""))</f>
        <v/>
      </c>
      <c r="BM310" s="81" t="str">
        <f aca="false">IF(I310="","",IFERROR(1/(1/INDEX(Lists!$D$6:$D$17,MATCH(I310,Lists!$B$6:$B$17,0))),""))</f>
        <v/>
      </c>
      <c r="BN310" s="76" t="str">
        <f aca="false">IF(AN310="","",MAX(BK310,_xlfn.MAXIFS(AN$6:AN310,BJ$6:BJ310,BJ310)))</f>
        <v/>
      </c>
      <c r="BO310" s="83" t="str">
        <f aca="false">IF(AN310="","",(AN310-BN310)/BN310)</f>
        <v/>
      </c>
      <c r="BP310" s="66" t="n">
        <f aca="false">IF(OR(B310="",AL310=""),0,IF(OR(Settings!$C$28="All Accounts",BJ310=Settings!$C$28),1,0))</f>
        <v>0</v>
      </c>
      <c r="BQ310" s="66" t="str">
        <f aca="false">IF(BP310=1,SUM(BP$6:BP310),"")</f>
        <v/>
      </c>
      <c r="BR310" s="76" t="str">
        <f aca="false">IF(BP310=1,ROUND(Settings!$C$29+SUMIFS(AM$6:AM310,BP$6:BP310,1),2),"")</f>
        <v/>
      </c>
      <c r="BS310" s="76" t="str">
        <f aca="false">IF(BP310=1,MAX(Settings!$C$29,MAX(BR$6:BR310)),"")</f>
        <v/>
      </c>
      <c r="BT310" s="83" t="str">
        <f aca="false">IF(BP310=1,(BR310-BS310)/BS310,"")</f>
        <v/>
      </c>
      <c r="BU310" s="66" t="str">
        <f aca="false">IF(BP310=1,IF(AL310="Win",1+IF(BQ310=1,0,INDEX(BU$5:BU309,MATCH(BQ310-1,BQ$5:BQ309,0))),0),"")</f>
        <v/>
      </c>
      <c r="BV310" s="66" t="str">
        <f aca="false">IF(BP310=1,IF(AL310="Loss",1+IF(BQ310=1,0,INDEX(BV$5:BV309,MATCH(BQ310-1,BQ$5:BQ309,0))),0),"")</f>
        <v/>
      </c>
    </row>
    <row r="311" customFormat="false" ht="15" hidden="false" customHeight="false" outlineLevel="0" collapsed="false">
      <c r="A311" s="66" t="str">
        <f aca="false">IF(B311="","",ROW()-5)</f>
        <v/>
      </c>
      <c r="B311" s="67"/>
      <c r="C311" s="68" t="str">
        <f aca="false">IF(B311="","",CHOOSE(WEEKDAY(B311,2),"Mon","Tue","Wed","Thu","Fri","Sat","Sun"))</f>
        <v/>
      </c>
      <c r="D311" s="66" t="str">
        <f aca="false">IF(B311="","",WEEKNUM(B311,2))</f>
        <v/>
      </c>
      <c r="E311" s="69"/>
      <c r="F311" s="69"/>
      <c r="G311" s="70"/>
      <c r="H311" s="70"/>
      <c r="I311" s="69"/>
      <c r="J311" s="69"/>
      <c r="K311" s="69"/>
      <c r="L311" s="71"/>
      <c r="M311" s="69"/>
      <c r="N311" s="69"/>
      <c r="O311" s="69"/>
      <c r="P311" s="71"/>
      <c r="Q311" s="69"/>
      <c r="R311" s="69"/>
      <c r="S311" s="69"/>
      <c r="T311" s="69"/>
      <c r="U311" s="69"/>
      <c r="V311" s="69"/>
      <c r="W311" s="69"/>
      <c r="X311" s="66" t="str">
        <f aca="false">IF(B311="","",COUNTIF(Q311:W311,"Yes"))</f>
        <v/>
      </c>
      <c r="Y311" s="68" t="str">
        <f aca="false">IF(B311="","",IF(X311&gt;=Settings!$C$16,"A+",IF(X311&gt;=Settings!$C$17,"A",IF(X311&gt;=Settings!$C$18,"B","C"))))</f>
        <v/>
      </c>
      <c r="Z311" s="72"/>
      <c r="AA311" s="72"/>
      <c r="AB311" s="72"/>
      <c r="AC311" s="72"/>
      <c r="AD311" s="72"/>
      <c r="AE311" s="72"/>
      <c r="AF311" s="73"/>
      <c r="AG311" s="74"/>
      <c r="AH311" s="75"/>
      <c r="AI311" s="76" t="str">
        <f aca="false">IF(B311="","",ROUND(IF(AG311="",Settings!$C$5,AG311)*AW311,2))</f>
        <v/>
      </c>
      <c r="AJ311" s="77" t="str">
        <f aca="false">IF(OR(B311="",AB311="",AC311="",AD311=""),"",IFERROR(ROUND(ABS(AD311-AB311)/ABS(AB311-AC311),2),""))</f>
        <v/>
      </c>
      <c r="AK311" s="78" t="str">
        <f aca="false">IF(OR(B311="",AB311="",AC311="",AE311=""),"",IFERROR(ROUND(IF(J311="Short",AB311-AE311,AE311-AB311)/ABS(AB311-AC311),2),""))</f>
        <v/>
      </c>
      <c r="AL311" s="68" t="str">
        <f aca="false">IF(AK311="","",IF(ABS(AK311)&lt;=Settings!$C$6,"BE",IF(AK311&gt;0,"Win","Loss")))</f>
        <v/>
      </c>
      <c r="AM311" s="79" t="str">
        <f aca="false">IF(OR(AK311="",AI311=""),"",ROUND(AK311*AI311-N(AH311),2))</f>
        <v/>
      </c>
      <c r="AN311" s="76" t="str">
        <f aca="false">IF(AM311="","",ROUND(BK311+SUMIFS(AM$6:AM311,BJ$6:BJ311,BJ311),2))</f>
        <v/>
      </c>
      <c r="AO311" s="78" t="str">
        <f aca="false">IF(AK311="","",ROUND(SUMIFS(AK$6:AK311,BJ$6:BJ311,BJ311),2))</f>
        <v/>
      </c>
      <c r="AP311" s="80" t="str">
        <f aca="false">IF(OR(AK311="",BL311=""),"",IFERROR(ROUND(IF(J311="Short",AB311-AE311,AE311-AB311)/BL311,1),""))</f>
        <v/>
      </c>
      <c r="AQ311" s="66" t="str">
        <f aca="false">IF(OR(G311="",H311=""),"",ROUND(MOD(H311-G311,1)*1440,0))</f>
        <v/>
      </c>
      <c r="AR311" s="68" t="str">
        <f aca="false">IF(AQ311="","",IF(AQ311&lt;15,"Under 15m",IF(AQ311&lt;60,"15-60m",IF(AQ311&lt;240,"1-4 hours","4+ hours"))))</f>
        <v/>
      </c>
      <c r="AS311" s="66" t="str">
        <f aca="false">IF(G311="","",HOUR(G311))</f>
        <v/>
      </c>
      <c r="AT311" s="80" t="str">
        <f aca="false">IF(OR(Z311="",AB311="",BL311=""),"",IFERROR(ROUND(IF(J311="Short",Z311-AB311,AB311-Z311)/BL311,1),""))</f>
        <v/>
      </c>
      <c r="AU311" s="68" t="str">
        <f aca="false">IF(OR(AA311="",AC311=""),"",IF(AA311=AC311,"No","Yes"))</f>
        <v/>
      </c>
      <c r="AV311" s="81" t="str">
        <f aca="false">IF(OR(B311="",BL311="",BM311="",AB311="",AC311=""),"",IFERROR(ROUND(AI311/(ABS(AB311-AC311)/BL311*BM311),2),""))</f>
        <v/>
      </c>
      <c r="AW311" s="76" t="str">
        <f aca="false">IF(B311="","",ROUND(BK311+SUMIFS(AM$5:AM310,BJ$5:BJ310,BJ311),2))</f>
        <v/>
      </c>
      <c r="AX311" s="66" t="str">
        <f aca="false">IF(B311="","",COUNTIFS(B$6:B311,B311,BJ$6:BJ311,BJ311))</f>
        <v/>
      </c>
      <c r="AY311" s="79" t="str">
        <f aca="false">IF(B311="","",ROUND(SUMIFS(AM$5:AM310,B$5:B310,B311,BJ$5:BJ310,BJ311),2))</f>
        <v/>
      </c>
      <c r="AZ311" s="79" t="str">
        <f aca="false">IF(AM311="","",ROUND(AY311+AM311,2))</f>
        <v/>
      </c>
      <c r="BA311" s="79" t="str">
        <f aca="false">IF(B311="","",ROUND(SUMIFS(AM$5:AM310,B$5:B310,"&gt;="&amp;(B311-WEEKDAY(B311,2)+1),B$5:B310,"&lt;="&amp;B311,BJ$5:BJ310,BJ311),2))</f>
        <v/>
      </c>
      <c r="BB311" s="68" t="str">
        <f aca="false">IF(B311="","",IF(AND(AF311&lt;&gt;"",AV311&lt;&gt;"",N(AF311)&gt;N(AV311)*(1+Settings!$C$13)),"Oversized",IF(AX311&gt;Settings!$C$10,"Overtraded",IF(AY311&lt;=-Settings!$C$11*(AW311-AY311),"Daily loss hit",IF(BA311&lt;=-Settings!$C$12*(AW311-BA311),"Weekly loss hit","OK")))))</f>
        <v/>
      </c>
      <c r="BC311" s="69"/>
      <c r="BD311" s="69"/>
      <c r="BE311" s="69"/>
      <c r="BF311" s="73"/>
      <c r="BG311" s="73"/>
      <c r="BH311" s="71"/>
      <c r="BI311" s="71"/>
      <c r="BJ311" s="68" t="str">
        <f aca="false">IF(B311="","",IF(E311="",Settings!$F$5,E311))</f>
        <v/>
      </c>
      <c r="BK311" s="76" t="str">
        <f aca="false">IF(B311="","",IFERROR(INDEX(Settings!$G$5:$G$10,MATCH(BJ311,Settings!$F$5:$F$10,0)),Settings!$G$5))</f>
        <v/>
      </c>
      <c r="BL311" s="82" t="str">
        <f aca="false">IF(I311="","",IFERROR(1/(1/INDEX(Lists!$C$6:$C$17,MATCH(I311,Lists!$B$6:$B$17,0))),""))</f>
        <v/>
      </c>
      <c r="BM311" s="81" t="str">
        <f aca="false">IF(I311="","",IFERROR(1/(1/INDEX(Lists!$D$6:$D$17,MATCH(I311,Lists!$B$6:$B$17,0))),""))</f>
        <v/>
      </c>
      <c r="BN311" s="76" t="str">
        <f aca="false">IF(AN311="","",MAX(BK311,_xlfn.MAXIFS(AN$6:AN311,BJ$6:BJ311,BJ311)))</f>
        <v/>
      </c>
      <c r="BO311" s="83" t="str">
        <f aca="false">IF(AN311="","",(AN311-BN311)/BN311)</f>
        <v/>
      </c>
      <c r="BP311" s="66" t="n">
        <f aca="false">IF(OR(B311="",AL311=""),0,IF(OR(Settings!$C$28="All Accounts",BJ311=Settings!$C$28),1,0))</f>
        <v>0</v>
      </c>
      <c r="BQ311" s="66" t="str">
        <f aca="false">IF(BP311=1,SUM(BP$6:BP311),"")</f>
        <v/>
      </c>
      <c r="BR311" s="76" t="str">
        <f aca="false">IF(BP311=1,ROUND(Settings!$C$29+SUMIFS(AM$6:AM311,BP$6:BP311,1),2),"")</f>
        <v/>
      </c>
      <c r="BS311" s="76" t="str">
        <f aca="false">IF(BP311=1,MAX(Settings!$C$29,MAX(BR$6:BR311)),"")</f>
        <v/>
      </c>
      <c r="BT311" s="83" t="str">
        <f aca="false">IF(BP311=1,(BR311-BS311)/BS311,"")</f>
        <v/>
      </c>
      <c r="BU311" s="66" t="str">
        <f aca="false">IF(BP311=1,IF(AL311="Win",1+IF(BQ311=1,0,INDEX(BU$5:BU310,MATCH(BQ311-1,BQ$5:BQ310,0))),0),"")</f>
        <v/>
      </c>
      <c r="BV311" s="66" t="str">
        <f aca="false">IF(BP311=1,IF(AL311="Loss",1+IF(BQ311=1,0,INDEX(BV$5:BV310,MATCH(BQ311-1,BQ$5:BQ310,0))),0),"")</f>
        <v/>
      </c>
    </row>
    <row r="312" customFormat="false" ht="15" hidden="false" customHeight="false" outlineLevel="0" collapsed="false">
      <c r="A312" s="66" t="str">
        <f aca="false">IF(B312="","",ROW()-5)</f>
        <v/>
      </c>
      <c r="B312" s="67"/>
      <c r="C312" s="68" t="str">
        <f aca="false">IF(B312="","",CHOOSE(WEEKDAY(B312,2),"Mon","Tue","Wed","Thu","Fri","Sat","Sun"))</f>
        <v/>
      </c>
      <c r="D312" s="66" t="str">
        <f aca="false">IF(B312="","",WEEKNUM(B312,2))</f>
        <v/>
      </c>
      <c r="E312" s="69"/>
      <c r="F312" s="69"/>
      <c r="G312" s="70"/>
      <c r="H312" s="70"/>
      <c r="I312" s="69"/>
      <c r="J312" s="69"/>
      <c r="K312" s="69"/>
      <c r="L312" s="71"/>
      <c r="M312" s="69"/>
      <c r="N312" s="69"/>
      <c r="O312" s="69"/>
      <c r="P312" s="71"/>
      <c r="Q312" s="69"/>
      <c r="R312" s="69"/>
      <c r="S312" s="69"/>
      <c r="T312" s="69"/>
      <c r="U312" s="69"/>
      <c r="V312" s="69"/>
      <c r="W312" s="69"/>
      <c r="X312" s="66" t="str">
        <f aca="false">IF(B312="","",COUNTIF(Q312:W312,"Yes"))</f>
        <v/>
      </c>
      <c r="Y312" s="68" t="str">
        <f aca="false">IF(B312="","",IF(X312&gt;=Settings!$C$16,"A+",IF(X312&gt;=Settings!$C$17,"A",IF(X312&gt;=Settings!$C$18,"B","C"))))</f>
        <v/>
      </c>
      <c r="Z312" s="72"/>
      <c r="AA312" s="72"/>
      <c r="AB312" s="72"/>
      <c r="AC312" s="72"/>
      <c r="AD312" s="72"/>
      <c r="AE312" s="72"/>
      <c r="AF312" s="73"/>
      <c r="AG312" s="74"/>
      <c r="AH312" s="75"/>
      <c r="AI312" s="76" t="str">
        <f aca="false">IF(B312="","",ROUND(IF(AG312="",Settings!$C$5,AG312)*AW312,2))</f>
        <v/>
      </c>
      <c r="AJ312" s="77" t="str">
        <f aca="false">IF(OR(B312="",AB312="",AC312="",AD312=""),"",IFERROR(ROUND(ABS(AD312-AB312)/ABS(AB312-AC312),2),""))</f>
        <v/>
      </c>
      <c r="AK312" s="78" t="str">
        <f aca="false">IF(OR(B312="",AB312="",AC312="",AE312=""),"",IFERROR(ROUND(IF(J312="Short",AB312-AE312,AE312-AB312)/ABS(AB312-AC312),2),""))</f>
        <v/>
      </c>
      <c r="AL312" s="68" t="str">
        <f aca="false">IF(AK312="","",IF(ABS(AK312)&lt;=Settings!$C$6,"BE",IF(AK312&gt;0,"Win","Loss")))</f>
        <v/>
      </c>
      <c r="AM312" s="79" t="str">
        <f aca="false">IF(OR(AK312="",AI312=""),"",ROUND(AK312*AI312-N(AH312),2))</f>
        <v/>
      </c>
      <c r="AN312" s="76" t="str">
        <f aca="false">IF(AM312="","",ROUND(BK312+SUMIFS(AM$6:AM312,BJ$6:BJ312,BJ312),2))</f>
        <v/>
      </c>
      <c r="AO312" s="78" t="str">
        <f aca="false">IF(AK312="","",ROUND(SUMIFS(AK$6:AK312,BJ$6:BJ312,BJ312),2))</f>
        <v/>
      </c>
      <c r="AP312" s="80" t="str">
        <f aca="false">IF(OR(AK312="",BL312=""),"",IFERROR(ROUND(IF(J312="Short",AB312-AE312,AE312-AB312)/BL312,1),""))</f>
        <v/>
      </c>
      <c r="AQ312" s="66" t="str">
        <f aca="false">IF(OR(G312="",H312=""),"",ROUND(MOD(H312-G312,1)*1440,0))</f>
        <v/>
      </c>
      <c r="AR312" s="68" t="str">
        <f aca="false">IF(AQ312="","",IF(AQ312&lt;15,"Under 15m",IF(AQ312&lt;60,"15-60m",IF(AQ312&lt;240,"1-4 hours","4+ hours"))))</f>
        <v/>
      </c>
      <c r="AS312" s="66" t="str">
        <f aca="false">IF(G312="","",HOUR(G312))</f>
        <v/>
      </c>
      <c r="AT312" s="80" t="str">
        <f aca="false">IF(OR(Z312="",AB312="",BL312=""),"",IFERROR(ROUND(IF(J312="Short",Z312-AB312,AB312-Z312)/BL312,1),""))</f>
        <v/>
      </c>
      <c r="AU312" s="68" t="str">
        <f aca="false">IF(OR(AA312="",AC312=""),"",IF(AA312=AC312,"No","Yes"))</f>
        <v/>
      </c>
      <c r="AV312" s="81" t="str">
        <f aca="false">IF(OR(B312="",BL312="",BM312="",AB312="",AC312=""),"",IFERROR(ROUND(AI312/(ABS(AB312-AC312)/BL312*BM312),2),""))</f>
        <v/>
      </c>
      <c r="AW312" s="76" t="str">
        <f aca="false">IF(B312="","",ROUND(BK312+SUMIFS(AM$5:AM311,BJ$5:BJ311,BJ312),2))</f>
        <v/>
      </c>
      <c r="AX312" s="66" t="str">
        <f aca="false">IF(B312="","",COUNTIFS(B$6:B312,B312,BJ$6:BJ312,BJ312))</f>
        <v/>
      </c>
      <c r="AY312" s="79" t="str">
        <f aca="false">IF(B312="","",ROUND(SUMIFS(AM$5:AM311,B$5:B311,B312,BJ$5:BJ311,BJ312),2))</f>
        <v/>
      </c>
      <c r="AZ312" s="79" t="str">
        <f aca="false">IF(AM312="","",ROUND(AY312+AM312,2))</f>
        <v/>
      </c>
      <c r="BA312" s="79" t="str">
        <f aca="false">IF(B312="","",ROUND(SUMIFS(AM$5:AM311,B$5:B311,"&gt;="&amp;(B312-WEEKDAY(B312,2)+1),B$5:B311,"&lt;="&amp;B312,BJ$5:BJ311,BJ312),2))</f>
        <v/>
      </c>
      <c r="BB312" s="68" t="str">
        <f aca="false">IF(B312="","",IF(AND(AF312&lt;&gt;"",AV312&lt;&gt;"",N(AF312)&gt;N(AV312)*(1+Settings!$C$13)),"Oversized",IF(AX312&gt;Settings!$C$10,"Overtraded",IF(AY312&lt;=-Settings!$C$11*(AW312-AY312),"Daily loss hit",IF(BA312&lt;=-Settings!$C$12*(AW312-BA312),"Weekly loss hit","OK")))))</f>
        <v/>
      </c>
      <c r="BC312" s="69"/>
      <c r="BD312" s="69"/>
      <c r="BE312" s="69"/>
      <c r="BF312" s="73"/>
      <c r="BG312" s="73"/>
      <c r="BH312" s="71"/>
      <c r="BI312" s="71"/>
      <c r="BJ312" s="68" t="str">
        <f aca="false">IF(B312="","",IF(E312="",Settings!$F$5,E312))</f>
        <v/>
      </c>
      <c r="BK312" s="76" t="str">
        <f aca="false">IF(B312="","",IFERROR(INDEX(Settings!$G$5:$G$10,MATCH(BJ312,Settings!$F$5:$F$10,0)),Settings!$G$5))</f>
        <v/>
      </c>
      <c r="BL312" s="82" t="str">
        <f aca="false">IF(I312="","",IFERROR(1/(1/INDEX(Lists!$C$6:$C$17,MATCH(I312,Lists!$B$6:$B$17,0))),""))</f>
        <v/>
      </c>
      <c r="BM312" s="81" t="str">
        <f aca="false">IF(I312="","",IFERROR(1/(1/INDEX(Lists!$D$6:$D$17,MATCH(I312,Lists!$B$6:$B$17,0))),""))</f>
        <v/>
      </c>
      <c r="BN312" s="76" t="str">
        <f aca="false">IF(AN312="","",MAX(BK312,_xlfn.MAXIFS(AN$6:AN312,BJ$6:BJ312,BJ312)))</f>
        <v/>
      </c>
      <c r="BO312" s="83" t="str">
        <f aca="false">IF(AN312="","",(AN312-BN312)/BN312)</f>
        <v/>
      </c>
      <c r="BP312" s="66" t="n">
        <f aca="false">IF(OR(B312="",AL312=""),0,IF(OR(Settings!$C$28="All Accounts",BJ312=Settings!$C$28),1,0))</f>
        <v>0</v>
      </c>
      <c r="BQ312" s="66" t="str">
        <f aca="false">IF(BP312=1,SUM(BP$6:BP312),"")</f>
        <v/>
      </c>
      <c r="BR312" s="76" t="str">
        <f aca="false">IF(BP312=1,ROUND(Settings!$C$29+SUMIFS(AM$6:AM312,BP$6:BP312,1),2),"")</f>
        <v/>
      </c>
      <c r="BS312" s="76" t="str">
        <f aca="false">IF(BP312=1,MAX(Settings!$C$29,MAX(BR$6:BR312)),"")</f>
        <v/>
      </c>
      <c r="BT312" s="83" t="str">
        <f aca="false">IF(BP312=1,(BR312-BS312)/BS312,"")</f>
        <v/>
      </c>
      <c r="BU312" s="66" t="str">
        <f aca="false">IF(BP312=1,IF(AL312="Win",1+IF(BQ312=1,0,INDEX(BU$5:BU311,MATCH(BQ312-1,BQ$5:BQ311,0))),0),"")</f>
        <v/>
      </c>
      <c r="BV312" s="66" t="str">
        <f aca="false">IF(BP312=1,IF(AL312="Loss",1+IF(BQ312=1,0,INDEX(BV$5:BV311,MATCH(BQ312-1,BQ$5:BQ311,0))),0),"")</f>
        <v/>
      </c>
    </row>
    <row r="313" customFormat="false" ht="15" hidden="false" customHeight="false" outlineLevel="0" collapsed="false">
      <c r="A313" s="66" t="str">
        <f aca="false">IF(B313="","",ROW()-5)</f>
        <v/>
      </c>
      <c r="B313" s="67"/>
      <c r="C313" s="68" t="str">
        <f aca="false">IF(B313="","",CHOOSE(WEEKDAY(B313,2),"Mon","Tue","Wed","Thu","Fri","Sat","Sun"))</f>
        <v/>
      </c>
      <c r="D313" s="66" t="str">
        <f aca="false">IF(B313="","",WEEKNUM(B313,2))</f>
        <v/>
      </c>
      <c r="E313" s="69"/>
      <c r="F313" s="69"/>
      <c r="G313" s="70"/>
      <c r="H313" s="70"/>
      <c r="I313" s="69"/>
      <c r="J313" s="69"/>
      <c r="K313" s="69"/>
      <c r="L313" s="71"/>
      <c r="M313" s="69"/>
      <c r="N313" s="69"/>
      <c r="O313" s="69"/>
      <c r="P313" s="71"/>
      <c r="Q313" s="69"/>
      <c r="R313" s="69"/>
      <c r="S313" s="69"/>
      <c r="T313" s="69"/>
      <c r="U313" s="69"/>
      <c r="V313" s="69"/>
      <c r="W313" s="69"/>
      <c r="X313" s="66" t="str">
        <f aca="false">IF(B313="","",COUNTIF(Q313:W313,"Yes"))</f>
        <v/>
      </c>
      <c r="Y313" s="68" t="str">
        <f aca="false">IF(B313="","",IF(X313&gt;=Settings!$C$16,"A+",IF(X313&gt;=Settings!$C$17,"A",IF(X313&gt;=Settings!$C$18,"B","C"))))</f>
        <v/>
      </c>
      <c r="Z313" s="72"/>
      <c r="AA313" s="72"/>
      <c r="AB313" s="72"/>
      <c r="AC313" s="72"/>
      <c r="AD313" s="72"/>
      <c r="AE313" s="72"/>
      <c r="AF313" s="73"/>
      <c r="AG313" s="74"/>
      <c r="AH313" s="75"/>
      <c r="AI313" s="76" t="str">
        <f aca="false">IF(B313="","",ROUND(IF(AG313="",Settings!$C$5,AG313)*AW313,2))</f>
        <v/>
      </c>
      <c r="AJ313" s="77" t="str">
        <f aca="false">IF(OR(B313="",AB313="",AC313="",AD313=""),"",IFERROR(ROUND(ABS(AD313-AB313)/ABS(AB313-AC313),2),""))</f>
        <v/>
      </c>
      <c r="AK313" s="78" t="str">
        <f aca="false">IF(OR(B313="",AB313="",AC313="",AE313=""),"",IFERROR(ROUND(IF(J313="Short",AB313-AE313,AE313-AB313)/ABS(AB313-AC313),2),""))</f>
        <v/>
      </c>
      <c r="AL313" s="68" t="str">
        <f aca="false">IF(AK313="","",IF(ABS(AK313)&lt;=Settings!$C$6,"BE",IF(AK313&gt;0,"Win","Loss")))</f>
        <v/>
      </c>
      <c r="AM313" s="79" t="str">
        <f aca="false">IF(OR(AK313="",AI313=""),"",ROUND(AK313*AI313-N(AH313),2))</f>
        <v/>
      </c>
      <c r="AN313" s="76" t="str">
        <f aca="false">IF(AM313="","",ROUND(BK313+SUMIFS(AM$6:AM313,BJ$6:BJ313,BJ313),2))</f>
        <v/>
      </c>
      <c r="AO313" s="78" t="str">
        <f aca="false">IF(AK313="","",ROUND(SUMIFS(AK$6:AK313,BJ$6:BJ313,BJ313),2))</f>
        <v/>
      </c>
      <c r="AP313" s="80" t="str">
        <f aca="false">IF(OR(AK313="",BL313=""),"",IFERROR(ROUND(IF(J313="Short",AB313-AE313,AE313-AB313)/BL313,1),""))</f>
        <v/>
      </c>
      <c r="AQ313" s="66" t="str">
        <f aca="false">IF(OR(G313="",H313=""),"",ROUND(MOD(H313-G313,1)*1440,0))</f>
        <v/>
      </c>
      <c r="AR313" s="68" t="str">
        <f aca="false">IF(AQ313="","",IF(AQ313&lt;15,"Under 15m",IF(AQ313&lt;60,"15-60m",IF(AQ313&lt;240,"1-4 hours","4+ hours"))))</f>
        <v/>
      </c>
      <c r="AS313" s="66" t="str">
        <f aca="false">IF(G313="","",HOUR(G313))</f>
        <v/>
      </c>
      <c r="AT313" s="80" t="str">
        <f aca="false">IF(OR(Z313="",AB313="",BL313=""),"",IFERROR(ROUND(IF(J313="Short",Z313-AB313,AB313-Z313)/BL313,1),""))</f>
        <v/>
      </c>
      <c r="AU313" s="68" t="str">
        <f aca="false">IF(OR(AA313="",AC313=""),"",IF(AA313=AC313,"No","Yes"))</f>
        <v/>
      </c>
      <c r="AV313" s="81" t="str">
        <f aca="false">IF(OR(B313="",BL313="",BM313="",AB313="",AC313=""),"",IFERROR(ROUND(AI313/(ABS(AB313-AC313)/BL313*BM313),2),""))</f>
        <v/>
      </c>
      <c r="AW313" s="76" t="str">
        <f aca="false">IF(B313="","",ROUND(BK313+SUMIFS(AM$5:AM312,BJ$5:BJ312,BJ313),2))</f>
        <v/>
      </c>
      <c r="AX313" s="66" t="str">
        <f aca="false">IF(B313="","",COUNTIFS(B$6:B313,B313,BJ$6:BJ313,BJ313))</f>
        <v/>
      </c>
      <c r="AY313" s="79" t="str">
        <f aca="false">IF(B313="","",ROUND(SUMIFS(AM$5:AM312,B$5:B312,B313,BJ$5:BJ312,BJ313),2))</f>
        <v/>
      </c>
      <c r="AZ313" s="79" t="str">
        <f aca="false">IF(AM313="","",ROUND(AY313+AM313,2))</f>
        <v/>
      </c>
      <c r="BA313" s="79" t="str">
        <f aca="false">IF(B313="","",ROUND(SUMIFS(AM$5:AM312,B$5:B312,"&gt;="&amp;(B313-WEEKDAY(B313,2)+1),B$5:B312,"&lt;="&amp;B313,BJ$5:BJ312,BJ313),2))</f>
        <v/>
      </c>
      <c r="BB313" s="68" t="str">
        <f aca="false">IF(B313="","",IF(AND(AF313&lt;&gt;"",AV313&lt;&gt;"",N(AF313)&gt;N(AV313)*(1+Settings!$C$13)),"Oversized",IF(AX313&gt;Settings!$C$10,"Overtraded",IF(AY313&lt;=-Settings!$C$11*(AW313-AY313),"Daily loss hit",IF(BA313&lt;=-Settings!$C$12*(AW313-BA313),"Weekly loss hit","OK")))))</f>
        <v/>
      </c>
      <c r="BC313" s="69"/>
      <c r="BD313" s="69"/>
      <c r="BE313" s="69"/>
      <c r="BF313" s="73"/>
      <c r="BG313" s="73"/>
      <c r="BH313" s="71"/>
      <c r="BI313" s="71"/>
      <c r="BJ313" s="68" t="str">
        <f aca="false">IF(B313="","",IF(E313="",Settings!$F$5,E313))</f>
        <v/>
      </c>
      <c r="BK313" s="76" t="str">
        <f aca="false">IF(B313="","",IFERROR(INDEX(Settings!$G$5:$G$10,MATCH(BJ313,Settings!$F$5:$F$10,0)),Settings!$G$5))</f>
        <v/>
      </c>
      <c r="BL313" s="82" t="str">
        <f aca="false">IF(I313="","",IFERROR(1/(1/INDEX(Lists!$C$6:$C$17,MATCH(I313,Lists!$B$6:$B$17,0))),""))</f>
        <v/>
      </c>
      <c r="BM313" s="81" t="str">
        <f aca="false">IF(I313="","",IFERROR(1/(1/INDEX(Lists!$D$6:$D$17,MATCH(I313,Lists!$B$6:$B$17,0))),""))</f>
        <v/>
      </c>
      <c r="BN313" s="76" t="str">
        <f aca="false">IF(AN313="","",MAX(BK313,_xlfn.MAXIFS(AN$6:AN313,BJ$6:BJ313,BJ313)))</f>
        <v/>
      </c>
      <c r="BO313" s="83" t="str">
        <f aca="false">IF(AN313="","",(AN313-BN313)/BN313)</f>
        <v/>
      </c>
      <c r="BP313" s="66" t="n">
        <f aca="false">IF(OR(B313="",AL313=""),0,IF(OR(Settings!$C$28="All Accounts",BJ313=Settings!$C$28),1,0))</f>
        <v>0</v>
      </c>
      <c r="BQ313" s="66" t="str">
        <f aca="false">IF(BP313=1,SUM(BP$6:BP313),"")</f>
        <v/>
      </c>
      <c r="BR313" s="76" t="str">
        <f aca="false">IF(BP313=1,ROUND(Settings!$C$29+SUMIFS(AM$6:AM313,BP$6:BP313,1),2),"")</f>
        <v/>
      </c>
      <c r="BS313" s="76" t="str">
        <f aca="false">IF(BP313=1,MAX(Settings!$C$29,MAX(BR$6:BR313)),"")</f>
        <v/>
      </c>
      <c r="BT313" s="83" t="str">
        <f aca="false">IF(BP313=1,(BR313-BS313)/BS313,"")</f>
        <v/>
      </c>
      <c r="BU313" s="66" t="str">
        <f aca="false">IF(BP313=1,IF(AL313="Win",1+IF(BQ313=1,0,INDEX(BU$5:BU312,MATCH(BQ313-1,BQ$5:BQ312,0))),0),"")</f>
        <v/>
      </c>
      <c r="BV313" s="66" t="str">
        <f aca="false">IF(BP313=1,IF(AL313="Loss",1+IF(BQ313=1,0,INDEX(BV$5:BV312,MATCH(BQ313-1,BQ$5:BQ312,0))),0),"")</f>
        <v/>
      </c>
    </row>
    <row r="314" customFormat="false" ht="15" hidden="false" customHeight="false" outlineLevel="0" collapsed="false">
      <c r="A314" s="66" t="str">
        <f aca="false">IF(B314="","",ROW()-5)</f>
        <v/>
      </c>
      <c r="B314" s="67"/>
      <c r="C314" s="68" t="str">
        <f aca="false">IF(B314="","",CHOOSE(WEEKDAY(B314,2),"Mon","Tue","Wed","Thu","Fri","Sat","Sun"))</f>
        <v/>
      </c>
      <c r="D314" s="66" t="str">
        <f aca="false">IF(B314="","",WEEKNUM(B314,2))</f>
        <v/>
      </c>
      <c r="E314" s="69"/>
      <c r="F314" s="69"/>
      <c r="G314" s="70"/>
      <c r="H314" s="70"/>
      <c r="I314" s="69"/>
      <c r="J314" s="69"/>
      <c r="K314" s="69"/>
      <c r="L314" s="71"/>
      <c r="M314" s="69"/>
      <c r="N314" s="69"/>
      <c r="O314" s="69"/>
      <c r="P314" s="71"/>
      <c r="Q314" s="69"/>
      <c r="R314" s="69"/>
      <c r="S314" s="69"/>
      <c r="T314" s="69"/>
      <c r="U314" s="69"/>
      <c r="V314" s="69"/>
      <c r="W314" s="69"/>
      <c r="X314" s="66" t="str">
        <f aca="false">IF(B314="","",COUNTIF(Q314:W314,"Yes"))</f>
        <v/>
      </c>
      <c r="Y314" s="68" t="str">
        <f aca="false">IF(B314="","",IF(X314&gt;=Settings!$C$16,"A+",IF(X314&gt;=Settings!$C$17,"A",IF(X314&gt;=Settings!$C$18,"B","C"))))</f>
        <v/>
      </c>
      <c r="Z314" s="72"/>
      <c r="AA314" s="72"/>
      <c r="AB314" s="72"/>
      <c r="AC314" s="72"/>
      <c r="AD314" s="72"/>
      <c r="AE314" s="72"/>
      <c r="AF314" s="73"/>
      <c r="AG314" s="74"/>
      <c r="AH314" s="75"/>
      <c r="AI314" s="76" t="str">
        <f aca="false">IF(B314="","",ROUND(IF(AG314="",Settings!$C$5,AG314)*AW314,2))</f>
        <v/>
      </c>
      <c r="AJ314" s="77" t="str">
        <f aca="false">IF(OR(B314="",AB314="",AC314="",AD314=""),"",IFERROR(ROUND(ABS(AD314-AB314)/ABS(AB314-AC314),2),""))</f>
        <v/>
      </c>
      <c r="AK314" s="78" t="str">
        <f aca="false">IF(OR(B314="",AB314="",AC314="",AE314=""),"",IFERROR(ROUND(IF(J314="Short",AB314-AE314,AE314-AB314)/ABS(AB314-AC314),2),""))</f>
        <v/>
      </c>
      <c r="AL314" s="68" t="str">
        <f aca="false">IF(AK314="","",IF(ABS(AK314)&lt;=Settings!$C$6,"BE",IF(AK314&gt;0,"Win","Loss")))</f>
        <v/>
      </c>
      <c r="AM314" s="79" t="str">
        <f aca="false">IF(OR(AK314="",AI314=""),"",ROUND(AK314*AI314-N(AH314),2))</f>
        <v/>
      </c>
      <c r="AN314" s="76" t="str">
        <f aca="false">IF(AM314="","",ROUND(BK314+SUMIFS(AM$6:AM314,BJ$6:BJ314,BJ314),2))</f>
        <v/>
      </c>
      <c r="AO314" s="78" t="str">
        <f aca="false">IF(AK314="","",ROUND(SUMIFS(AK$6:AK314,BJ$6:BJ314,BJ314),2))</f>
        <v/>
      </c>
      <c r="AP314" s="80" t="str">
        <f aca="false">IF(OR(AK314="",BL314=""),"",IFERROR(ROUND(IF(J314="Short",AB314-AE314,AE314-AB314)/BL314,1),""))</f>
        <v/>
      </c>
      <c r="AQ314" s="66" t="str">
        <f aca="false">IF(OR(G314="",H314=""),"",ROUND(MOD(H314-G314,1)*1440,0))</f>
        <v/>
      </c>
      <c r="AR314" s="68" t="str">
        <f aca="false">IF(AQ314="","",IF(AQ314&lt;15,"Under 15m",IF(AQ314&lt;60,"15-60m",IF(AQ314&lt;240,"1-4 hours","4+ hours"))))</f>
        <v/>
      </c>
      <c r="AS314" s="66" t="str">
        <f aca="false">IF(G314="","",HOUR(G314))</f>
        <v/>
      </c>
      <c r="AT314" s="80" t="str">
        <f aca="false">IF(OR(Z314="",AB314="",BL314=""),"",IFERROR(ROUND(IF(J314="Short",Z314-AB314,AB314-Z314)/BL314,1),""))</f>
        <v/>
      </c>
      <c r="AU314" s="68" t="str">
        <f aca="false">IF(OR(AA314="",AC314=""),"",IF(AA314=AC314,"No","Yes"))</f>
        <v/>
      </c>
      <c r="AV314" s="81" t="str">
        <f aca="false">IF(OR(B314="",BL314="",BM314="",AB314="",AC314=""),"",IFERROR(ROUND(AI314/(ABS(AB314-AC314)/BL314*BM314),2),""))</f>
        <v/>
      </c>
      <c r="AW314" s="76" t="str">
        <f aca="false">IF(B314="","",ROUND(BK314+SUMIFS(AM$5:AM313,BJ$5:BJ313,BJ314),2))</f>
        <v/>
      </c>
      <c r="AX314" s="66" t="str">
        <f aca="false">IF(B314="","",COUNTIFS(B$6:B314,B314,BJ$6:BJ314,BJ314))</f>
        <v/>
      </c>
      <c r="AY314" s="79" t="str">
        <f aca="false">IF(B314="","",ROUND(SUMIFS(AM$5:AM313,B$5:B313,B314,BJ$5:BJ313,BJ314),2))</f>
        <v/>
      </c>
      <c r="AZ314" s="79" t="str">
        <f aca="false">IF(AM314="","",ROUND(AY314+AM314,2))</f>
        <v/>
      </c>
      <c r="BA314" s="79" t="str">
        <f aca="false">IF(B314="","",ROUND(SUMIFS(AM$5:AM313,B$5:B313,"&gt;="&amp;(B314-WEEKDAY(B314,2)+1),B$5:B313,"&lt;="&amp;B314,BJ$5:BJ313,BJ314),2))</f>
        <v/>
      </c>
      <c r="BB314" s="68" t="str">
        <f aca="false">IF(B314="","",IF(AND(AF314&lt;&gt;"",AV314&lt;&gt;"",N(AF314)&gt;N(AV314)*(1+Settings!$C$13)),"Oversized",IF(AX314&gt;Settings!$C$10,"Overtraded",IF(AY314&lt;=-Settings!$C$11*(AW314-AY314),"Daily loss hit",IF(BA314&lt;=-Settings!$C$12*(AW314-BA314),"Weekly loss hit","OK")))))</f>
        <v/>
      </c>
      <c r="BC314" s="69"/>
      <c r="BD314" s="69"/>
      <c r="BE314" s="69"/>
      <c r="BF314" s="73"/>
      <c r="BG314" s="73"/>
      <c r="BH314" s="71"/>
      <c r="BI314" s="71"/>
      <c r="BJ314" s="68" t="str">
        <f aca="false">IF(B314="","",IF(E314="",Settings!$F$5,E314))</f>
        <v/>
      </c>
      <c r="BK314" s="76" t="str">
        <f aca="false">IF(B314="","",IFERROR(INDEX(Settings!$G$5:$G$10,MATCH(BJ314,Settings!$F$5:$F$10,0)),Settings!$G$5))</f>
        <v/>
      </c>
      <c r="BL314" s="82" t="str">
        <f aca="false">IF(I314="","",IFERROR(1/(1/INDEX(Lists!$C$6:$C$17,MATCH(I314,Lists!$B$6:$B$17,0))),""))</f>
        <v/>
      </c>
      <c r="BM314" s="81" t="str">
        <f aca="false">IF(I314="","",IFERROR(1/(1/INDEX(Lists!$D$6:$D$17,MATCH(I314,Lists!$B$6:$B$17,0))),""))</f>
        <v/>
      </c>
      <c r="BN314" s="76" t="str">
        <f aca="false">IF(AN314="","",MAX(BK314,_xlfn.MAXIFS(AN$6:AN314,BJ$6:BJ314,BJ314)))</f>
        <v/>
      </c>
      <c r="BO314" s="83" t="str">
        <f aca="false">IF(AN314="","",(AN314-BN314)/BN314)</f>
        <v/>
      </c>
      <c r="BP314" s="66" t="n">
        <f aca="false">IF(OR(B314="",AL314=""),0,IF(OR(Settings!$C$28="All Accounts",BJ314=Settings!$C$28),1,0))</f>
        <v>0</v>
      </c>
      <c r="BQ314" s="66" t="str">
        <f aca="false">IF(BP314=1,SUM(BP$6:BP314),"")</f>
        <v/>
      </c>
      <c r="BR314" s="76" t="str">
        <f aca="false">IF(BP314=1,ROUND(Settings!$C$29+SUMIFS(AM$6:AM314,BP$6:BP314,1),2),"")</f>
        <v/>
      </c>
      <c r="BS314" s="76" t="str">
        <f aca="false">IF(BP314=1,MAX(Settings!$C$29,MAX(BR$6:BR314)),"")</f>
        <v/>
      </c>
      <c r="BT314" s="83" t="str">
        <f aca="false">IF(BP314=1,(BR314-BS314)/BS314,"")</f>
        <v/>
      </c>
      <c r="BU314" s="66" t="str">
        <f aca="false">IF(BP314=1,IF(AL314="Win",1+IF(BQ314=1,0,INDEX(BU$5:BU313,MATCH(BQ314-1,BQ$5:BQ313,0))),0),"")</f>
        <v/>
      </c>
      <c r="BV314" s="66" t="str">
        <f aca="false">IF(BP314=1,IF(AL314="Loss",1+IF(BQ314=1,0,INDEX(BV$5:BV313,MATCH(BQ314-1,BQ$5:BQ313,0))),0),"")</f>
        <v/>
      </c>
    </row>
    <row r="315" customFormat="false" ht="15" hidden="false" customHeight="false" outlineLevel="0" collapsed="false">
      <c r="A315" s="66" t="str">
        <f aca="false">IF(B315="","",ROW()-5)</f>
        <v/>
      </c>
      <c r="B315" s="67"/>
      <c r="C315" s="68" t="str">
        <f aca="false">IF(B315="","",CHOOSE(WEEKDAY(B315,2),"Mon","Tue","Wed","Thu","Fri","Sat","Sun"))</f>
        <v/>
      </c>
      <c r="D315" s="66" t="str">
        <f aca="false">IF(B315="","",WEEKNUM(B315,2))</f>
        <v/>
      </c>
      <c r="E315" s="69"/>
      <c r="F315" s="69"/>
      <c r="G315" s="70"/>
      <c r="H315" s="70"/>
      <c r="I315" s="69"/>
      <c r="J315" s="69"/>
      <c r="K315" s="69"/>
      <c r="L315" s="71"/>
      <c r="M315" s="69"/>
      <c r="N315" s="69"/>
      <c r="O315" s="69"/>
      <c r="P315" s="71"/>
      <c r="Q315" s="69"/>
      <c r="R315" s="69"/>
      <c r="S315" s="69"/>
      <c r="T315" s="69"/>
      <c r="U315" s="69"/>
      <c r="V315" s="69"/>
      <c r="W315" s="69"/>
      <c r="X315" s="66" t="str">
        <f aca="false">IF(B315="","",COUNTIF(Q315:W315,"Yes"))</f>
        <v/>
      </c>
      <c r="Y315" s="68" t="str">
        <f aca="false">IF(B315="","",IF(X315&gt;=Settings!$C$16,"A+",IF(X315&gt;=Settings!$C$17,"A",IF(X315&gt;=Settings!$C$18,"B","C"))))</f>
        <v/>
      </c>
      <c r="Z315" s="72"/>
      <c r="AA315" s="72"/>
      <c r="AB315" s="72"/>
      <c r="AC315" s="72"/>
      <c r="AD315" s="72"/>
      <c r="AE315" s="72"/>
      <c r="AF315" s="73"/>
      <c r="AG315" s="74"/>
      <c r="AH315" s="75"/>
      <c r="AI315" s="76" t="str">
        <f aca="false">IF(B315="","",ROUND(IF(AG315="",Settings!$C$5,AG315)*AW315,2))</f>
        <v/>
      </c>
      <c r="AJ315" s="77" t="str">
        <f aca="false">IF(OR(B315="",AB315="",AC315="",AD315=""),"",IFERROR(ROUND(ABS(AD315-AB315)/ABS(AB315-AC315),2),""))</f>
        <v/>
      </c>
      <c r="AK315" s="78" t="str">
        <f aca="false">IF(OR(B315="",AB315="",AC315="",AE315=""),"",IFERROR(ROUND(IF(J315="Short",AB315-AE315,AE315-AB315)/ABS(AB315-AC315),2),""))</f>
        <v/>
      </c>
      <c r="AL315" s="68" t="str">
        <f aca="false">IF(AK315="","",IF(ABS(AK315)&lt;=Settings!$C$6,"BE",IF(AK315&gt;0,"Win","Loss")))</f>
        <v/>
      </c>
      <c r="AM315" s="79" t="str">
        <f aca="false">IF(OR(AK315="",AI315=""),"",ROUND(AK315*AI315-N(AH315),2))</f>
        <v/>
      </c>
      <c r="AN315" s="76" t="str">
        <f aca="false">IF(AM315="","",ROUND(BK315+SUMIFS(AM$6:AM315,BJ$6:BJ315,BJ315),2))</f>
        <v/>
      </c>
      <c r="AO315" s="78" t="str">
        <f aca="false">IF(AK315="","",ROUND(SUMIFS(AK$6:AK315,BJ$6:BJ315,BJ315),2))</f>
        <v/>
      </c>
      <c r="AP315" s="80" t="str">
        <f aca="false">IF(OR(AK315="",BL315=""),"",IFERROR(ROUND(IF(J315="Short",AB315-AE315,AE315-AB315)/BL315,1),""))</f>
        <v/>
      </c>
      <c r="AQ315" s="66" t="str">
        <f aca="false">IF(OR(G315="",H315=""),"",ROUND(MOD(H315-G315,1)*1440,0))</f>
        <v/>
      </c>
      <c r="AR315" s="68" t="str">
        <f aca="false">IF(AQ315="","",IF(AQ315&lt;15,"Under 15m",IF(AQ315&lt;60,"15-60m",IF(AQ315&lt;240,"1-4 hours","4+ hours"))))</f>
        <v/>
      </c>
      <c r="AS315" s="66" t="str">
        <f aca="false">IF(G315="","",HOUR(G315))</f>
        <v/>
      </c>
      <c r="AT315" s="80" t="str">
        <f aca="false">IF(OR(Z315="",AB315="",BL315=""),"",IFERROR(ROUND(IF(J315="Short",Z315-AB315,AB315-Z315)/BL315,1),""))</f>
        <v/>
      </c>
      <c r="AU315" s="68" t="str">
        <f aca="false">IF(OR(AA315="",AC315=""),"",IF(AA315=AC315,"No","Yes"))</f>
        <v/>
      </c>
      <c r="AV315" s="81" t="str">
        <f aca="false">IF(OR(B315="",BL315="",BM315="",AB315="",AC315=""),"",IFERROR(ROUND(AI315/(ABS(AB315-AC315)/BL315*BM315),2),""))</f>
        <v/>
      </c>
      <c r="AW315" s="76" t="str">
        <f aca="false">IF(B315="","",ROUND(BK315+SUMIFS(AM$5:AM314,BJ$5:BJ314,BJ315),2))</f>
        <v/>
      </c>
      <c r="AX315" s="66" t="str">
        <f aca="false">IF(B315="","",COUNTIFS(B$6:B315,B315,BJ$6:BJ315,BJ315))</f>
        <v/>
      </c>
      <c r="AY315" s="79" t="str">
        <f aca="false">IF(B315="","",ROUND(SUMIFS(AM$5:AM314,B$5:B314,B315,BJ$5:BJ314,BJ315),2))</f>
        <v/>
      </c>
      <c r="AZ315" s="79" t="str">
        <f aca="false">IF(AM315="","",ROUND(AY315+AM315,2))</f>
        <v/>
      </c>
      <c r="BA315" s="79" t="str">
        <f aca="false">IF(B315="","",ROUND(SUMIFS(AM$5:AM314,B$5:B314,"&gt;="&amp;(B315-WEEKDAY(B315,2)+1),B$5:B314,"&lt;="&amp;B315,BJ$5:BJ314,BJ315),2))</f>
        <v/>
      </c>
      <c r="BB315" s="68" t="str">
        <f aca="false">IF(B315="","",IF(AND(AF315&lt;&gt;"",AV315&lt;&gt;"",N(AF315)&gt;N(AV315)*(1+Settings!$C$13)),"Oversized",IF(AX315&gt;Settings!$C$10,"Overtraded",IF(AY315&lt;=-Settings!$C$11*(AW315-AY315),"Daily loss hit",IF(BA315&lt;=-Settings!$C$12*(AW315-BA315),"Weekly loss hit","OK")))))</f>
        <v/>
      </c>
      <c r="BC315" s="69"/>
      <c r="BD315" s="69"/>
      <c r="BE315" s="69"/>
      <c r="BF315" s="73"/>
      <c r="BG315" s="73"/>
      <c r="BH315" s="71"/>
      <c r="BI315" s="71"/>
      <c r="BJ315" s="68" t="str">
        <f aca="false">IF(B315="","",IF(E315="",Settings!$F$5,E315))</f>
        <v/>
      </c>
      <c r="BK315" s="76" t="str">
        <f aca="false">IF(B315="","",IFERROR(INDEX(Settings!$G$5:$G$10,MATCH(BJ315,Settings!$F$5:$F$10,0)),Settings!$G$5))</f>
        <v/>
      </c>
      <c r="BL315" s="82" t="str">
        <f aca="false">IF(I315="","",IFERROR(1/(1/INDEX(Lists!$C$6:$C$17,MATCH(I315,Lists!$B$6:$B$17,0))),""))</f>
        <v/>
      </c>
      <c r="BM315" s="81" t="str">
        <f aca="false">IF(I315="","",IFERROR(1/(1/INDEX(Lists!$D$6:$D$17,MATCH(I315,Lists!$B$6:$B$17,0))),""))</f>
        <v/>
      </c>
      <c r="BN315" s="76" t="str">
        <f aca="false">IF(AN315="","",MAX(BK315,_xlfn.MAXIFS(AN$6:AN315,BJ$6:BJ315,BJ315)))</f>
        <v/>
      </c>
      <c r="BO315" s="83" t="str">
        <f aca="false">IF(AN315="","",(AN315-BN315)/BN315)</f>
        <v/>
      </c>
      <c r="BP315" s="66" t="n">
        <f aca="false">IF(OR(B315="",AL315=""),0,IF(OR(Settings!$C$28="All Accounts",BJ315=Settings!$C$28),1,0))</f>
        <v>0</v>
      </c>
      <c r="BQ315" s="66" t="str">
        <f aca="false">IF(BP315=1,SUM(BP$6:BP315),"")</f>
        <v/>
      </c>
      <c r="BR315" s="76" t="str">
        <f aca="false">IF(BP315=1,ROUND(Settings!$C$29+SUMIFS(AM$6:AM315,BP$6:BP315,1),2),"")</f>
        <v/>
      </c>
      <c r="BS315" s="76" t="str">
        <f aca="false">IF(BP315=1,MAX(Settings!$C$29,MAX(BR$6:BR315)),"")</f>
        <v/>
      </c>
      <c r="BT315" s="83" t="str">
        <f aca="false">IF(BP315=1,(BR315-BS315)/BS315,"")</f>
        <v/>
      </c>
      <c r="BU315" s="66" t="str">
        <f aca="false">IF(BP315=1,IF(AL315="Win",1+IF(BQ315=1,0,INDEX(BU$5:BU314,MATCH(BQ315-1,BQ$5:BQ314,0))),0),"")</f>
        <v/>
      </c>
      <c r="BV315" s="66" t="str">
        <f aca="false">IF(BP315=1,IF(AL315="Loss",1+IF(BQ315=1,0,INDEX(BV$5:BV314,MATCH(BQ315-1,BQ$5:BQ314,0))),0),"")</f>
        <v/>
      </c>
    </row>
    <row r="316" customFormat="false" ht="15" hidden="false" customHeight="false" outlineLevel="0" collapsed="false">
      <c r="A316" s="66" t="str">
        <f aca="false">IF(B316="","",ROW()-5)</f>
        <v/>
      </c>
      <c r="B316" s="67"/>
      <c r="C316" s="68" t="str">
        <f aca="false">IF(B316="","",CHOOSE(WEEKDAY(B316,2),"Mon","Tue","Wed","Thu","Fri","Sat","Sun"))</f>
        <v/>
      </c>
      <c r="D316" s="66" t="str">
        <f aca="false">IF(B316="","",WEEKNUM(B316,2))</f>
        <v/>
      </c>
      <c r="E316" s="69"/>
      <c r="F316" s="69"/>
      <c r="G316" s="70"/>
      <c r="H316" s="70"/>
      <c r="I316" s="69"/>
      <c r="J316" s="69"/>
      <c r="K316" s="69"/>
      <c r="L316" s="71"/>
      <c r="M316" s="69"/>
      <c r="N316" s="69"/>
      <c r="O316" s="69"/>
      <c r="P316" s="71"/>
      <c r="Q316" s="69"/>
      <c r="R316" s="69"/>
      <c r="S316" s="69"/>
      <c r="T316" s="69"/>
      <c r="U316" s="69"/>
      <c r="V316" s="69"/>
      <c r="W316" s="69"/>
      <c r="X316" s="66" t="str">
        <f aca="false">IF(B316="","",COUNTIF(Q316:W316,"Yes"))</f>
        <v/>
      </c>
      <c r="Y316" s="68" t="str">
        <f aca="false">IF(B316="","",IF(X316&gt;=Settings!$C$16,"A+",IF(X316&gt;=Settings!$C$17,"A",IF(X316&gt;=Settings!$C$18,"B","C"))))</f>
        <v/>
      </c>
      <c r="Z316" s="72"/>
      <c r="AA316" s="72"/>
      <c r="AB316" s="72"/>
      <c r="AC316" s="72"/>
      <c r="AD316" s="72"/>
      <c r="AE316" s="72"/>
      <c r="AF316" s="73"/>
      <c r="AG316" s="74"/>
      <c r="AH316" s="75"/>
      <c r="AI316" s="76" t="str">
        <f aca="false">IF(B316="","",ROUND(IF(AG316="",Settings!$C$5,AG316)*AW316,2))</f>
        <v/>
      </c>
      <c r="AJ316" s="77" t="str">
        <f aca="false">IF(OR(B316="",AB316="",AC316="",AD316=""),"",IFERROR(ROUND(ABS(AD316-AB316)/ABS(AB316-AC316),2),""))</f>
        <v/>
      </c>
      <c r="AK316" s="78" t="str">
        <f aca="false">IF(OR(B316="",AB316="",AC316="",AE316=""),"",IFERROR(ROUND(IF(J316="Short",AB316-AE316,AE316-AB316)/ABS(AB316-AC316),2),""))</f>
        <v/>
      </c>
      <c r="AL316" s="68" t="str">
        <f aca="false">IF(AK316="","",IF(ABS(AK316)&lt;=Settings!$C$6,"BE",IF(AK316&gt;0,"Win","Loss")))</f>
        <v/>
      </c>
      <c r="AM316" s="79" t="str">
        <f aca="false">IF(OR(AK316="",AI316=""),"",ROUND(AK316*AI316-N(AH316),2))</f>
        <v/>
      </c>
      <c r="AN316" s="76" t="str">
        <f aca="false">IF(AM316="","",ROUND(BK316+SUMIFS(AM$6:AM316,BJ$6:BJ316,BJ316),2))</f>
        <v/>
      </c>
      <c r="AO316" s="78" t="str">
        <f aca="false">IF(AK316="","",ROUND(SUMIFS(AK$6:AK316,BJ$6:BJ316,BJ316),2))</f>
        <v/>
      </c>
      <c r="AP316" s="80" t="str">
        <f aca="false">IF(OR(AK316="",BL316=""),"",IFERROR(ROUND(IF(J316="Short",AB316-AE316,AE316-AB316)/BL316,1),""))</f>
        <v/>
      </c>
      <c r="AQ316" s="66" t="str">
        <f aca="false">IF(OR(G316="",H316=""),"",ROUND(MOD(H316-G316,1)*1440,0))</f>
        <v/>
      </c>
      <c r="AR316" s="68" t="str">
        <f aca="false">IF(AQ316="","",IF(AQ316&lt;15,"Under 15m",IF(AQ316&lt;60,"15-60m",IF(AQ316&lt;240,"1-4 hours","4+ hours"))))</f>
        <v/>
      </c>
      <c r="AS316" s="66" t="str">
        <f aca="false">IF(G316="","",HOUR(G316))</f>
        <v/>
      </c>
      <c r="AT316" s="80" t="str">
        <f aca="false">IF(OR(Z316="",AB316="",BL316=""),"",IFERROR(ROUND(IF(J316="Short",Z316-AB316,AB316-Z316)/BL316,1),""))</f>
        <v/>
      </c>
      <c r="AU316" s="68" t="str">
        <f aca="false">IF(OR(AA316="",AC316=""),"",IF(AA316=AC316,"No","Yes"))</f>
        <v/>
      </c>
      <c r="AV316" s="81" t="str">
        <f aca="false">IF(OR(B316="",BL316="",BM316="",AB316="",AC316=""),"",IFERROR(ROUND(AI316/(ABS(AB316-AC316)/BL316*BM316),2),""))</f>
        <v/>
      </c>
      <c r="AW316" s="76" t="str">
        <f aca="false">IF(B316="","",ROUND(BK316+SUMIFS(AM$5:AM315,BJ$5:BJ315,BJ316),2))</f>
        <v/>
      </c>
      <c r="AX316" s="66" t="str">
        <f aca="false">IF(B316="","",COUNTIFS(B$6:B316,B316,BJ$6:BJ316,BJ316))</f>
        <v/>
      </c>
      <c r="AY316" s="79" t="str">
        <f aca="false">IF(B316="","",ROUND(SUMIFS(AM$5:AM315,B$5:B315,B316,BJ$5:BJ315,BJ316),2))</f>
        <v/>
      </c>
      <c r="AZ316" s="79" t="str">
        <f aca="false">IF(AM316="","",ROUND(AY316+AM316,2))</f>
        <v/>
      </c>
      <c r="BA316" s="79" t="str">
        <f aca="false">IF(B316="","",ROUND(SUMIFS(AM$5:AM315,B$5:B315,"&gt;="&amp;(B316-WEEKDAY(B316,2)+1),B$5:B315,"&lt;="&amp;B316,BJ$5:BJ315,BJ316),2))</f>
        <v/>
      </c>
      <c r="BB316" s="68" t="str">
        <f aca="false">IF(B316="","",IF(AND(AF316&lt;&gt;"",AV316&lt;&gt;"",N(AF316)&gt;N(AV316)*(1+Settings!$C$13)),"Oversized",IF(AX316&gt;Settings!$C$10,"Overtraded",IF(AY316&lt;=-Settings!$C$11*(AW316-AY316),"Daily loss hit",IF(BA316&lt;=-Settings!$C$12*(AW316-BA316),"Weekly loss hit","OK")))))</f>
        <v/>
      </c>
      <c r="BC316" s="69"/>
      <c r="BD316" s="69"/>
      <c r="BE316" s="69"/>
      <c r="BF316" s="73"/>
      <c r="BG316" s="73"/>
      <c r="BH316" s="71"/>
      <c r="BI316" s="71"/>
      <c r="BJ316" s="68" t="str">
        <f aca="false">IF(B316="","",IF(E316="",Settings!$F$5,E316))</f>
        <v/>
      </c>
      <c r="BK316" s="76" t="str">
        <f aca="false">IF(B316="","",IFERROR(INDEX(Settings!$G$5:$G$10,MATCH(BJ316,Settings!$F$5:$F$10,0)),Settings!$G$5))</f>
        <v/>
      </c>
      <c r="BL316" s="82" t="str">
        <f aca="false">IF(I316="","",IFERROR(1/(1/INDEX(Lists!$C$6:$C$17,MATCH(I316,Lists!$B$6:$B$17,0))),""))</f>
        <v/>
      </c>
      <c r="BM316" s="81" t="str">
        <f aca="false">IF(I316="","",IFERROR(1/(1/INDEX(Lists!$D$6:$D$17,MATCH(I316,Lists!$B$6:$B$17,0))),""))</f>
        <v/>
      </c>
      <c r="BN316" s="76" t="str">
        <f aca="false">IF(AN316="","",MAX(BK316,_xlfn.MAXIFS(AN$6:AN316,BJ$6:BJ316,BJ316)))</f>
        <v/>
      </c>
      <c r="BO316" s="83" t="str">
        <f aca="false">IF(AN316="","",(AN316-BN316)/BN316)</f>
        <v/>
      </c>
      <c r="BP316" s="66" t="n">
        <f aca="false">IF(OR(B316="",AL316=""),0,IF(OR(Settings!$C$28="All Accounts",BJ316=Settings!$C$28),1,0))</f>
        <v>0</v>
      </c>
      <c r="BQ316" s="66" t="str">
        <f aca="false">IF(BP316=1,SUM(BP$6:BP316),"")</f>
        <v/>
      </c>
      <c r="BR316" s="76" t="str">
        <f aca="false">IF(BP316=1,ROUND(Settings!$C$29+SUMIFS(AM$6:AM316,BP$6:BP316,1),2),"")</f>
        <v/>
      </c>
      <c r="BS316" s="76" t="str">
        <f aca="false">IF(BP316=1,MAX(Settings!$C$29,MAX(BR$6:BR316)),"")</f>
        <v/>
      </c>
      <c r="BT316" s="83" t="str">
        <f aca="false">IF(BP316=1,(BR316-BS316)/BS316,"")</f>
        <v/>
      </c>
      <c r="BU316" s="66" t="str">
        <f aca="false">IF(BP316=1,IF(AL316="Win",1+IF(BQ316=1,0,INDEX(BU$5:BU315,MATCH(BQ316-1,BQ$5:BQ315,0))),0),"")</f>
        <v/>
      </c>
      <c r="BV316" s="66" t="str">
        <f aca="false">IF(BP316=1,IF(AL316="Loss",1+IF(BQ316=1,0,INDEX(BV$5:BV315,MATCH(BQ316-1,BQ$5:BQ315,0))),0),"")</f>
        <v/>
      </c>
    </row>
    <row r="317" customFormat="false" ht="15" hidden="false" customHeight="false" outlineLevel="0" collapsed="false">
      <c r="A317" s="66" t="str">
        <f aca="false">IF(B317="","",ROW()-5)</f>
        <v/>
      </c>
      <c r="B317" s="67"/>
      <c r="C317" s="68" t="str">
        <f aca="false">IF(B317="","",CHOOSE(WEEKDAY(B317,2),"Mon","Tue","Wed","Thu","Fri","Sat","Sun"))</f>
        <v/>
      </c>
      <c r="D317" s="66" t="str">
        <f aca="false">IF(B317="","",WEEKNUM(B317,2))</f>
        <v/>
      </c>
      <c r="E317" s="69"/>
      <c r="F317" s="69"/>
      <c r="G317" s="70"/>
      <c r="H317" s="70"/>
      <c r="I317" s="69"/>
      <c r="J317" s="69"/>
      <c r="K317" s="69"/>
      <c r="L317" s="71"/>
      <c r="M317" s="69"/>
      <c r="N317" s="69"/>
      <c r="O317" s="69"/>
      <c r="P317" s="71"/>
      <c r="Q317" s="69"/>
      <c r="R317" s="69"/>
      <c r="S317" s="69"/>
      <c r="T317" s="69"/>
      <c r="U317" s="69"/>
      <c r="V317" s="69"/>
      <c r="W317" s="69"/>
      <c r="X317" s="66" t="str">
        <f aca="false">IF(B317="","",COUNTIF(Q317:W317,"Yes"))</f>
        <v/>
      </c>
      <c r="Y317" s="68" t="str">
        <f aca="false">IF(B317="","",IF(X317&gt;=Settings!$C$16,"A+",IF(X317&gt;=Settings!$C$17,"A",IF(X317&gt;=Settings!$C$18,"B","C"))))</f>
        <v/>
      </c>
      <c r="Z317" s="72"/>
      <c r="AA317" s="72"/>
      <c r="AB317" s="72"/>
      <c r="AC317" s="72"/>
      <c r="AD317" s="72"/>
      <c r="AE317" s="72"/>
      <c r="AF317" s="73"/>
      <c r="AG317" s="74"/>
      <c r="AH317" s="75"/>
      <c r="AI317" s="76" t="str">
        <f aca="false">IF(B317="","",ROUND(IF(AG317="",Settings!$C$5,AG317)*AW317,2))</f>
        <v/>
      </c>
      <c r="AJ317" s="77" t="str">
        <f aca="false">IF(OR(B317="",AB317="",AC317="",AD317=""),"",IFERROR(ROUND(ABS(AD317-AB317)/ABS(AB317-AC317),2),""))</f>
        <v/>
      </c>
      <c r="AK317" s="78" t="str">
        <f aca="false">IF(OR(B317="",AB317="",AC317="",AE317=""),"",IFERROR(ROUND(IF(J317="Short",AB317-AE317,AE317-AB317)/ABS(AB317-AC317),2),""))</f>
        <v/>
      </c>
      <c r="AL317" s="68" t="str">
        <f aca="false">IF(AK317="","",IF(ABS(AK317)&lt;=Settings!$C$6,"BE",IF(AK317&gt;0,"Win","Loss")))</f>
        <v/>
      </c>
      <c r="AM317" s="79" t="str">
        <f aca="false">IF(OR(AK317="",AI317=""),"",ROUND(AK317*AI317-N(AH317),2))</f>
        <v/>
      </c>
      <c r="AN317" s="76" t="str">
        <f aca="false">IF(AM317="","",ROUND(BK317+SUMIFS(AM$6:AM317,BJ$6:BJ317,BJ317),2))</f>
        <v/>
      </c>
      <c r="AO317" s="78" t="str">
        <f aca="false">IF(AK317="","",ROUND(SUMIFS(AK$6:AK317,BJ$6:BJ317,BJ317),2))</f>
        <v/>
      </c>
      <c r="AP317" s="80" t="str">
        <f aca="false">IF(OR(AK317="",BL317=""),"",IFERROR(ROUND(IF(J317="Short",AB317-AE317,AE317-AB317)/BL317,1),""))</f>
        <v/>
      </c>
      <c r="AQ317" s="66" t="str">
        <f aca="false">IF(OR(G317="",H317=""),"",ROUND(MOD(H317-G317,1)*1440,0))</f>
        <v/>
      </c>
      <c r="AR317" s="68" t="str">
        <f aca="false">IF(AQ317="","",IF(AQ317&lt;15,"Under 15m",IF(AQ317&lt;60,"15-60m",IF(AQ317&lt;240,"1-4 hours","4+ hours"))))</f>
        <v/>
      </c>
      <c r="AS317" s="66" t="str">
        <f aca="false">IF(G317="","",HOUR(G317))</f>
        <v/>
      </c>
      <c r="AT317" s="80" t="str">
        <f aca="false">IF(OR(Z317="",AB317="",BL317=""),"",IFERROR(ROUND(IF(J317="Short",Z317-AB317,AB317-Z317)/BL317,1),""))</f>
        <v/>
      </c>
      <c r="AU317" s="68" t="str">
        <f aca="false">IF(OR(AA317="",AC317=""),"",IF(AA317=AC317,"No","Yes"))</f>
        <v/>
      </c>
      <c r="AV317" s="81" t="str">
        <f aca="false">IF(OR(B317="",BL317="",BM317="",AB317="",AC317=""),"",IFERROR(ROUND(AI317/(ABS(AB317-AC317)/BL317*BM317),2),""))</f>
        <v/>
      </c>
      <c r="AW317" s="76" t="str">
        <f aca="false">IF(B317="","",ROUND(BK317+SUMIFS(AM$5:AM316,BJ$5:BJ316,BJ317),2))</f>
        <v/>
      </c>
      <c r="AX317" s="66" t="str">
        <f aca="false">IF(B317="","",COUNTIFS(B$6:B317,B317,BJ$6:BJ317,BJ317))</f>
        <v/>
      </c>
      <c r="AY317" s="79" t="str">
        <f aca="false">IF(B317="","",ROUND(SUMIFS(AM$5:AM316,B$5:B316,B317,BJ$5:BJ316,BJ317),2))</f>
        <v/>
      </c>
      <c r="AZ317" s="79" t="str">
        <f aca="false">IF(AM317="","",ROUND(AY317+AM317,2))</f>
        <v/>
      </c>
      <c r="BA317" s="79" t="str">
        <f aca="false">IF(B317="","",ROUND(SUMIFS(AM$5:AM316,B$5:B316,"&gt;="&amp;(B317-WEEKDAY(B317,2)+1),B$5:B316,"&lt;="&amp;B317,BJ$5:BJ316,BJ317),2))</f>
        <v/>
      </c>
      <c r="BB317" s="68" t="str">
        <f aca="false">IF(B317="","",IF(AND(AF317&lt;&gt;"",AV317&lt;&gt;"",N(AF317)&gt;N(AV317)*(1+Settings!$C$13)),"Oversized",IF(AX317&gt;Settings!$C$10,"Overtraded",IF(AY317&lt;=-Settings!$C$11*(AW317-AY317),"Daily loss hit",IF(BA317&lt;=-Settings!$C$12*(AW317-BA317),"Weekly loss hit","OK")))))</f>
        <v/>
      </c>
      <c r="BC317" s="69"/>
      <c r="BD317" s="69"/>
      <c r="BE317" s="69"/>
      <c r="BF317" s="73"/>
      <c r="BG317" s="73"/>
      <c r="BH317" s="71"/>
      <c r="BI317" s="71"/>
      <c r="BJ317" s="68" t="str">
        <f aca="false">IF(B317="","",IF(E317="",Settings!$F$5,E317))</f>
        <v/>
      </c>
      <c r="BK317" s="76" t="str">
        <f aca="false">IF(B317="","",IFERROR(INDEX(Settings!$G$5:$G$10,MATCH(BJ317,Settings!$F$5:$F$10,0)),Settings!$G$5))</f>
        <v/>
      </c>
      <c r="BL317" s="82" t="str">
        <f aca="false">IF(I317="","",IFERROR(1/(1/INDEX(Lists!$C$6:$C$17,MATCH(I317,Lists!$B$6:$B$17,0))),""))</f>
        <v/>
      </c>
      <c r="BM317" s="81" t="str">
        <f aca="false">IF(I317="","",IFERROR(1/(1/INDEX(Lists!$D$6:$D$17,MATCH(I317,Lists!$B$6:$B$17,0))),""))</f>
        <v/>
      </c>
      <c r="BN317" s="76" t="str">
        <f aca="false">IF(AN317="","",MAX(BK317,_xlfn.MAXIFS(AN$6:AN317,BJ$6:BJ317,BJ317)))</f>
        <v/>
      </c>
      <c r="BO317" s="83" t="str">
        <f aca="false">IF(AN317="","",(AN317-BN317)/BN317)</f>
        <v/>
      </c>
      <c r="BP317" s="66" t="n">
        <f aca="false">IF(OR(B317="",AL317=""),0,IF(OR(Settings!$C$28="All Accounts",BJ317=Settings!$C$28),1,0))</f>
        <v>0</v>
      </c>
      <c r="BQ317" s="66" t="str">
        <f aca="false">IF(BP317=1,SUM(BP$6:BP317),"")</f>
        <v/>
      </c>
      <c r="BR317" s="76" t="str">
        <f aca="false">IF(BP317=1,ROUND(Settings!$C$29+SUMIFS(AM$6:AM317,BP$6:BP317,1),2),"")</f>
        <v/>
      </c>
      <c r="BS317" s="76" t="str">
        <f aca="false">IF(BP317=1,MAX(Settings!$C$29,MAX(BR$6:BR317)),"")</f>
        <v/>
      </c>
      <c r="BT317" s="83" t="str">
        <f aca="false">IF(BP317=1,(BR317-BS317)/BS317,"")</f>
        <v/>
      </c>
      <c r="BU317" s="66" t="str">
        <f aca="false">IF(BP317=1,IF(AL317="Win",1+IF(BQ317=1,0,INDEX(BU$5:BU316,MATCH(BQ317-1,BQ$5:BQ316,0))),0),"")</f>
        <v/>
      </c>
      <c r="BV317" s="66" t="str">
        <f aca="false">IF(BP317=1,IF(AL317="Loss",1+IF(BQ317=1,0,INDEX(BV$5:BV316,MATCH(BQ317-1,BQ$5:BQ316,0))),0),"")</f>
        <v/>
      </c>
    </row>
    <row r="318" customFormat="false" ht="15" hidden="false" customHeight="false" outlineLevel="0" collapsed="false">
      <c r="A318" s="66" t="str">
        <f aca="false">IF(B318="","",ROW()-5)</f>
        <v/>
      </c>
      <c r="B318" s="67"/>
      <c r="C318" s="68" t="str">
        <f aca="false">IF(B318="","",CHOOSE(WEEKDAY(B318,2),"Mon","Tue","Wed","Thu","Fri","Sat","Sun"))</f>
        <v/>
      </c>
      <c r="D318" s="66" t="str">
        <f aca="false">IF(B318="","",WEEKNUM(B318,2))</f>
        <v/>
      </c>
      <c r="E318" s="69"/>
      <c r="F318" s="69"/>
      <c r="G318" s="70"/>
      <c r="H318" s="70"/>
      <c r="I318" s="69"/>
      <c r="J318" s="69"/>
      <c r="K318" s="69"/>
      <c r="L318" s="71"/>
      <c r="M318" s="69"/>
      <c r="N318" s="69"/>
      <c r="O318" s="69"/>
      <c r="P318" s="71"/>
      <c r="Q318" s="69"/>
      <c r="R318" s="69"/>
      <c r="S318" s="69"/>
      <c r="T318" s="69"/>
      <c r="U318" s="69"/>
      <c r="V318" s="69"/>
      <c r="W318" s="69"/>
      <c r="X318" s="66" t="str">
        <f aca="false">IF(B318="","",COUNTIF(Q318:W318,"Yes"))</f>
        <v/>
      </c>
      <c r="Y318" s="68" t="str">
        <f aca="false">IF(B318="","",IF(X318&gt;=Settings!$C$16,"A+",IF(X318&gt;=Settings!$C$17,"A",IF(X318&gt;=Settings!$C$18,"B","C"))))</f>
        <v/>
      </c>
      <c r="Z318" s="72"/>
      <c r="AA318" s="72"/>
      <c r="AB318" s="72"/>
      <c r="AC318" s="72"/>
      <c r="AD318" s="72"/>
      <c r="AE318" s="72"/>
      <c r="AF318" s="73"/>
      <c r="AG318" s="74"/>
      <c r="AH318" s="75"/>
      <c r="AI318" s="76" t="str">
        <f aca="false">IF(B318="","",ROUND(IF(AG318="",Settings!$C$5,AG318)*AW318,2))</f>
        <v/>
      </c>
      <c r="AJ318" s="77" t="str">
        <f aca="false">IF(OR(B318="",AB318="",AC318="",AD318=""),"",IFERROR(ROUND(ABS(AD318-AB318)/ABS(AB318-AC318),2),""))</f>
        <v/>
      </c>
      <c r="AK318" s="78" t="str">
        <f aca="false">IF(OR(B318="",AB318="",AC318="",AE318=""),"",IFERROR(ROUND(IF(J318="Short",AB318-AE318,AE318-AB318)/ABS(AB318-AC318),2),""))</f>
        <v/>
      </c>
      <c r="AL318" s="68" t="str">
        <f aca="false">IF(AK318="","",IF(ABS(AK318)&lt;=Settings!$C$6,"BE",IF(AK318&gt;0,"Win","Loss")))</f>
        <v/>
      </c>
      <c r="AM318" s="79" t="str">
        <f aca="false">IF(OR(AK318="",AI318=""),"",ROUND(AK318*AI318-N(AH318),2))</f>
        <v/>
      </c>
      <c r="AN318" s="76" t="str">
        <f aca="false">IF(AM318="","",ROUND(BK318+SUMIFS(AM$6:AM318,BJ$6:BJ318,BJ318),2))</f>
        <v/>
      </c>
      <c r="AO318" s="78" t="str">
        <f aca="false">IF(AK318="","",ROUND(SUMIFS(AK$6:AK318,BJ$6:BJ318,BJ318),2))</f>
        <v/>
      </c>
      <c r="AP318" s="80" t="str">
        <f aca="false">IF(OR(AK318="",BL318=""),"",IFERROR(ROUND(IF(J318="Short",AB318-AE318,AE318-AB318)/BL318,1),""))</f>
        <v/>
      </c>
      <c r="AQ318" s="66" t="str">
        <f aca="false">IF(OR(G318="",H318=""),"",ROUND(MOD(H318-G318,1)*1440,0))</f>
        <v/>
      </c>
      <c r="AR318" s="68" t="str">
        <f aca="false">IF(AQ318="","",IF(AQ318&lt;15,"Under 15m",IF(AQ318&lt;60,"15-60m",IF(AQ318&lt;240,"1-4 hours","4+ hours"))))</f>
        <v/>
      </c>
      <c r="AS318" s="66" t="str">
        <f aca="false">IF(G318="","",HOUR(G318))</f>
        <v/>
      </c>
      <c r="AT318" s="80" t="str">
        <f aca="false">IF(OR(Z318="",AB318="",BL318=""),"",IFERROR(ROUND(IF(J318="Short",Z318-AB318,AB318-Z318)/BL318,1),""))</f>
        <v/>
      </c>
      <c r="AU318" s="68" t="str">
        <f aca="false">IF(OR(AA318="",AC318=""),"",IF(AA318=AC318,"No","Yes"))</f>
        <v/>
      </c>
      <c r="AV318" s="81" t="str">
        <f aca="false">IF(OR(B318="",BL318="",BM318="",AB318="",AC318=""),"",IFERROR(ROUND(AI318/(ABS(AB318-AC318)/BL318*BM318),2),""))</f>
        <v/>
      </c>
      <c r="AW318" s="76" t="str">
        <f aca="false">IF(B318="","",ROUND(BK318+SUMIFS(AM$5:AM317,BJ$5:BJ317,BJ318),2))</f>
        <v/>
      </c>
      <c r="AX318" s="66" t="str">
        <f aca="false">IF(B318="","",COUNTIFS(B$6:B318,B318,BJ$6:BJ318,BJ318))</f>
        <v/>
      </c>
      <c r="AY318" s="79" t="str">
        <f aca="false">IF(B318="","",ROUND(SUMIFS(AM$5:AM317,B$5:B317,B318,BJ$5:BJ317,BJ318),2))</f>
        <v/>
      </c>
      <c r="AZ318" s="79" t="str">
        <f aca="false">IF(AM318="","",ROUND(AY318+AM318,2))</f>
        <v/>
      </c>
      <c r="BA318" s="79" t="str">
        <f aca="false">IF(B318="","",ROUND(SUMIFS(AM$5:AM317,B$5:B317,"&gt;="&amp;(B318-WEEKDAY(B318,2)+1),B$5:B317,"&lt;="&amp;B318,BJ$5:BJ317,BJ318),2))</f>
        <v/>
      </c>
      <c r="BB318" s="68" t="str">
        <f aca="false">IF(B318="","",IF(AND(AF318&lt;&gt;"",AV318&lt;&gt;"",N(AF318)&gt;N(AV318)*(1+Settings!$C$13)),"Oversized",IF(AX318&gt;Settings!$C$10,"Overtraded",IF(AY318&lt;=-Settings!$C$11*(AW318-AY318),"Daily loss hit",IF(BA318&lt;=-Settings!$C$12*(AW318-BA318),"Weekly loss hit","OK")))))</f>
        <v/>
      </c>
      <c r="BC318" s="69"/>
      <c r="BD318" s="69"/>
      <c r="BE318" s="69"/>
      <c r="BF318" s="73"/>
      <c r="BG318" s="73"/>
      <c r="BH318" s="71"/>
      <c r="BI318" s="71"/>
      <c r="BJ318" s="68" t="str">
        <f aca="false">IF(B318="","",IF(E318="",Settings!$F$5,E318))</f>
        <v/>
      </c>
      <c r="BK318" s="76" t="str">
        <f aca="false">IF(B318="","",IFERROR(INDEX(Settings!$G$5:$G$10,MATCH(BJ318,Settings!$F$5:$F$10,0)),Settings!$G$5))</f>
        <v/>
      </c>
      <c r="BL318" s="82" t="str">
        <f aca="false">IF(I318="","",IFERROR(1/(1/INDEX(Lists!$C$6:$C$17,MATCH(I318,Lists!$B$6:$B$17,0))),""))</f>
        <v/>
      </c>
      <c r="BM318" s="81" t="str">
        <f aca="false">IF(I318="","",IFERROR(1/(1/INDEX(Lists!$D$6:$D$17,MATCH(I318,Lists!$B$6:$B$17,0))),""))</f>
        <v/>
      </c>
      <c r="BN318" s="76" t="str">
        <f aca="false">IF(AN318="","",MAX(BK318,_xlfn.MAXIFS(AN$6:AN318,BJ$6:BJ318,BJ318)))</f>
        <v/>
      </c>
      <c r="BO318" s="83" t="str">
        <f aca="false">IF(AN318="","",(AN318-BN318)/BN318)</f>
        <v/>
      </c>
      <c r="BP318" s="66" t="n">
        <f aca="false">IF(OR(B318="",AL318=""),0,IF(OR(Settings!$C$28="All Accounts",BJ318=Settings!$C$28),1,0))</f>
        <v>0</v>
      </c>
      <c r="BQ318" s="66" t="str">
        <f aca="false">IF(BP318=1,SUM(BP$6:BP318),"")</f>
        <v/>
      </c>
      <c r="BR318" s="76" t="str">
        <f aca="false">IF(BP318=1,ROUND(Settings!$C$29+SUMIFS(AM$6:AM318,BP$6:BP318,1),2),"")</f>
        <v/>
      </c>
      <c r="BS318" s="76" t="str">
        <f aca="false">IF(BP318=1,MAX(Settings!$C$29,MAX(BR$6:BR318)),"")</f>
        <v/>
      </c>
      <c r="BT318" s="83" t="str">
        <f aca="false">IF(BP318=1,(BR318-BS318)/BS318,"")</f>
        <v/>
      </c>
      <c r="BU318" s="66" t="str">
        <f aca="false">IF(BP318=1,IF(AL318="Win",1+IF(BQ318=1,0,INDEX(BU$5:BU317,MATCH(BQ318-1,BQ$5:BQ317,0))),0),"")</f>
        <v/>
      </c>
      <c r="BV318" s="66" t="str">
        <f aca="false">IF(BP318=1,IF(AL318="Loss",1+IF(BQ318=1,0,INDEX(BV$5:BV317,MATCH(BQ318-1,BQ$5:BQ317,0))),0),"")</f>
        <v/>
      </c>
    </row>
    <row r="319" customFormat="false" ht="15" hidden="false" customHeight="false" outlineLevel="0" collapsed="false">
      <c r="A319" s="66" t="str">
        <f aca="false">IF(B319="","",ROW()-5)</f>
        <v/>
      </c>
      <c r="B319" s="67"/>
      <c r="C319" s="68" t="str">
        <f aca="false">IF(B319="","",CHOOSE(WEEKDAY(B319,2),"Mon","Tue","Wed","Thu","Fri","Sat","Sun"))</f>
        <v/>
      </c>
      <c r="D319" s="66" t="str">
        <f aca="false">IF(B319="","",WEEKNUM(B319,2))</f>
        <v/>
      </c>
      <c r="E319" s="69"/>
      <c r="F319" s="69"/>
      <c r="G319" s="70"/>
      <c r="H319" s="70"/>
      <c r="I319" s="69"/>
      <c r="J319" s="69"/>
      <c r="K319" s="69"/>
      <c r="L319" s="71"/>
      <c r="M319" s="69"/>
      <c r="N319" s="69"/>
      <c r="O319" s="69"/>
      <c r="P319" s="71"/>
      <c r="Q319" s="69"/>
      <c r="R319" s="69"/>
      <c r="S319" s="69"/>
      <c r="T319" s="69"/>
      <c r="U319" s="69"/>
      <c r="V319" s="69"/>
      <c r="W319" s="69"/>
      <c r="X319" s="66" t="str">
        <f aca="false">IF(B319="","",COUNTIF(Q319:W319,"Yes"))</f>
        <v/>
      </c>
      <c r="Y319" s="68" t="str">
        <f aca="false">IF(B319="","",IF(X319&gt;=Settings!$C$16,"A+",IF(X319&gt;=Settings!$C$17,"A",IF(X319&gt;=Settings!$C$18,"B","C"))))</f>
        <v/>
      </c>
      <c r="Z319" s="72"/>
      <c r="AA319" s="72"/>
      <c r="AB319" s="72"/>
      <c r="AC319" s="72"/>
      <c r="AD319" s="72"/>
      <c r="AE319" s="72"/>
      <c r="AF319" s="73"/>
      <c r="AG319" s="74"/>
      <c r="AH319" s="75"/>
      <c r="AI319" s="76" t="str">
        <f aca="false">IF(B319="","",ROUND(IF(AG319="",Settings!$C$5,AG319)*AW319,2))</f>
        <v/>
      </c>
      <c r="AJ319" s="77" t="str">
        <f aca="false">IF(OR(B319="",AB319="",AC319="",AD319=""),"",IFERROR(ROUND(ABS(AD319-AB319)/ABS(AB319-AC319),2),""))</f>
        <v/>
      </c>
      <c r="AK319" s="78" t="str">
        <f aca="false">IF(OR(B319="",AB319="",AC319="",AE319=""),"",IFERROR(ROUND(IF(J319="Short",AB319-AE319,AE319-AB319)/ABS(AB319-AC319),2),""))</f>
        <v/>
      </c>
      <c r="AL319" s="68" t="str">
        <f aca="false">IF(AK319="","",IF(ABS(AK319)&lt;=Settings!$C$6,"BE",IF(AK319&gt;0,"Win","Loss")))</f>
        <v/>
      </c>
      <c r="AM319" s="79" t="str">
        <f aca="false">IF(OR(AK319="",AI319=""),"",ROUND(AK319*AI319-N(AH319),2))</f>
        <v/>
      </c>
      <c r="AN319" s="76" t="str">
        <f aca="false">IF(AM319="","",ROUND(BK319+SUMIFS(AM$6:AM319,BJ$6:BJ319,BJ319),2))</f>
        <v/>
      </c>
      <c r="AO319" s="78" t="str">
        <f aca="false">IF(AK319="","",ROUND(SUMIFS(AK$6:AK319,BJ$6:BJ319,BJ319),2))</f>
        <v/>
      </c>
      <c r="AP319" s="80" t="str">
        <f aca="false">IF(OR(AK319="",BL319=""),"",IFERROR(ROUND(IF(J319="Short",AB319-AE319,AE319-AB319)/BL319,1),""))</f>
        <v/>
      </c>
      <c r="AQ319" s="66" t="str">
        <f aca="false">IF(OR(G319="",H319=""),"",ROUND(MOD(H319-G319,1)*1440,0))</f>
        <v/>
      </c>
      <c r="AR319" s="68" t="str">
        <f aca="false">IF(AQ319="","",IF(AQ319&lt;15,"Under 15m",IF(AQ319&lt;60,"15-60m",IF(AQ319&lt;240,"1-4 hours","4+ hours"))))</f>
        <v/>
      </c>
      <c r="AS319" s="66" t="str">
        <f aca="false">IF(G319="","",HOUR(G319))</f>
        <v/>
      </c>
      <c r="AT319" s="80" t="str">
        <f aca="false">IF(OR(Z319="",AB319="",BL319=""),"",IFERROR(ROUND(IF(J319="Short",Z319-AB319,AB319-Z319)/BL319,1),""))</f>
        <v/>
      </c>
      <c r="AU319" s="68" t="str">
        <f aca="false">IF(OR(AA319="",AC319=""),"",IF(AA319=AC319,"No","Yes"))</f>
        <v/>
      </c>
      <c r="AV319" s="81" t="str">
        <f aca="false">IF(OR(B319="",BL319="",BM319="",AB319="",AC319=""),"",IFERROR(ROUND(AI319/(ABS(AB319-AC319)/BL319*BM319),2),""))</f>
        <v/>
      </c>
      <c r="AW319" s="76" t="str">
        <f aca="false">IF(B319="","",ROUND(BK319+SUMIFS(AM$5:AM318,BJ$5:BJ318,BJ319),2))</f>
        <v/>
      </c>
      <c r="AX319" s="66" t="str">
        <f aca="false">IF(B319="","",COUNTIFS(B$6:B319,B319,BJ$6:BJ319,BJ319))</f>
        <v/>
      </c>
      <c r="AY319" s="79" t="str">
        <f aca="false">IF(B319="","",ROUND(SUMIFS(AM$5:AM318,B$5:B318,B319,BJ$5:BJ318,BJ319),2))</f>
        <v/>
      </c>
      <c r="AZ319" s="79" t="str">
        <f aca="false">IF(AM319="","",ROUND(AY319+AM319,2))</f>
        <v/>
      </c>
      <c r="BA319" s="79" t="str">
        <f aca="false">IF(B319="","",ROUND(SUMIFS(AM$5:AM318,B$5:B318,"&gt;="&amp;(B319-WEEKDAY(B319,2)+1),B$5:B318,"&lt;="&amp;B319,BJ$5:BJ318,BJ319),2))</f>
        <v/>
      </c>
      <c r="BB319" s="68" t="str">
        <f aca="false">IF(B319="","",IF(AND(AF319&lt;&gt;"",AV319&lt;&gt;"",N(AF319)&gt;N(AV319)*(1+Settings!$C$13)),"Oversized",IF(AX319&gt;Settings!$C$10,"Overtraded",IF(AY319&lt;=-Settings!$C$11*(AW319-AY319),"Daily loss hit",IF(BA319&lt;=-Settings!$C$12*(AW319-BA319),"Weekly loss hit","OK")))))</f>
        <v/>
      </c>
      <c r="BC319" s="69"/>
      <c r="BD319" s="69"/>
      <c r="BE319" s="69"/>
      <c r="BF319" s="73"/>
      <c r="BG319" s="73"/>
      <c r="BH319" s="71"/>
      <c r="BI319" s="71"/>
      <c r="BJ319" s="68" t="str">
        <f aca="false">IF(B319="","",IF(E319="",Settings!$F$5,E319))</f>
        <v/>
      </c>
      <c r="BK319" s="76" t="str">
        <f aca="false">IF(B319="","",IFERROR(INDEX(Settings!$G$5:$G$10,MATCH(BJ319,Settings!$F$5:$F$10,0)),Settings!$G$5))</f>
        <v/>
      </c>
      <c r="BL319" s="82" t="str">
        <f aca="false">IF(I319="","",IFERROR(1/(1/INDEX(Lists!$C$6:$C$17,MATCH(I319,Lists!$B$6:$B$17,0))),""))</f>
        <v/>
      </c>
      <c r="BM319" s="81" t="str">
        <f aca="false">IF(I319="","",IFERROR(1/(1/INDEX(Lists!$D$6:$D$17,MATCH(I319,Lists!$B$6:$B$17,0))),""))</f>
        <v/>
      </c>
      <c r="BN319" s="76" t="str">
        <f aca="false">IF(AN319="","",MAX(BK319,_xlfn.MAXIFS(AN$6:AN319,BJ$6:BJ319,BJ319)))</f>
        <v/>
      </c>
      <c r="BO319" s="83" t="str">
        <f aca="false">IF(AN319="","",(AN319-BN319)/BN319)</f>
        <v/>
      </c>
      <c r="BP319" s="66" t="n">
        <f aca="false">IF(OR(B319="",AL319=""),0,IF(OR(Settings!$C$28="All Accounts",BJ319=Settings!$C$28),1,0))</f>
        <v>0</v>
      </c>
      <c r="BQ319" s="66" t="str">
        <f aca="false">IF(BP319=1,SUM(BP$6:BP319),"")</f>
        <v/>
      </c>
      <c r="BR319" s="76" t="str">
        <f aca="false">IF(BP319=1,ROUND(Settings!$C$29+SUMIFS(AM$6:AM319,BP$6:BP319,1),2),"")</f>
        <v/>
      </c>
      <c r="BS319" s="76" t="str">
        <f aca="false">IF(BP319=1,MAX(Settings!$C$29,MAX(BR$6:BR319)),"")</f>
        <v/>
      </c>
      <c r="BT319" s="83" t="str">
        <f aca="false">IF(BP319=1,(BR319-BS319)/BS319,"")</f>
        <v/>
      </c>
      <c r="BU319" s="66" t="str">
        <f aca="false">IF(BP319=1,IF(AL319="Win",1+IF(BQ319=1,0,INDEX(BU$5:BU318,MATCH(BQ319-1,BQ$5:BQ318,0))),0),"")</f>
        <v/>
      </c>
      <c r="BV319" s="66" t="str">
        <f aca="false">IF(BP319=1,IF(AL319="Loss",1+IF(BQ319=1,0,INDEX(BV$5:BV318,MATCH(BQ319-1,BQ$5:BQ318,0))),0),"")</f>
        <v/>
      </c>
    </row>
    <row r="320" customFormat="false" ht="15" hidden="false" customHeight="false" outlineLevel="0" collapsed="false">
      <c r="A320" s="66" t="str">
        <f aca="false">IF(B320="","",ROW()-5)</f>
        <v/>
      </c>
      <c r="B320" s="67"/>
      <c r="C320" s="68" t="str">
        <f aca="false">IF(B320="","",CHOOSE(WEEKDAY(B320,2),"Mon","Tue","Wed","Thu","Fri","Sat","Sun"))</f>
        <v/>
      </c>
      <c r="D320" s="66" t="str">
        <f aca="false">IF(B320="","",WEEKNUM(B320,2))</f>
        <v/>
      </c>
      <c r="E320" s="69"/>
      <c r="F320" s="69"/>
      <c r="G320" s="70"/>
      <c r="H320" s="70"/>
      <c r="I320" s="69"/>
      <c r="J320" s="69"/>
      <c r="K320" s="69"/>
      <c r="L320" s="71"/>
      <c r="M320" s="69"/>
      <c r="N320" s="69"/>
      <c r="O320" s="69"/>
      <c r="P320" s="71"/>
      <c r="Q320" s="69"/>
      <c r="R320" s="69"/>
      <c r="S320" s="69"/>
      <c r="T320" s="69"/>
      <c r="U320" s="69"/>
      <c r="V320" s="69"/>
      <c r="W320" s="69"/>
      <c r="X320" s="66" t="str">
        <f aca="false">IF(B320="","",COUNTIF(Q320:W320,"Yes"))</f>
        <v/>
      </c>
      <c r="Y320" s="68" t="str">
        <f aca="false">IF(B320="","",IF(X320&gt;=Settings!$C$16,"A+",IF(X320&gt;=Settings!$C$17,"A",IF(X320&gt;=Settings!$C$18,"B","C"))))</f>
        <v/>
      </c>
      <c r="Z320" s="72"/>
      <c r="AA320" s="72"/>
      <c r="AB320" s="72"/>
      <c r="AC320" s="72"/>
      <c r="AD320" s="72"/>
      <c r="AE320" s="72"/>
      <c r="AF320" s="73"/>
      <c r="AG320" s="74"/>
      <c r="AH320" s="75"/>
      <c r="AI320" s="76" t="str">
        <f aca="false">IF(B320="","",ROUND(IF(AG320="",Settings!$C$5,AG320)*AW320,2))</f>
        <v/>
      </c>
      <c r="AJ320" s="77" t="str">
        <f aca="false">IF(OR(B320="",AB320="",AC320="",AD320=""),"",IFERROR(ROUND(ABS(AD320-AB320)/ABS(AB320-AC320),2),""))</f>
        <v/>
      </c>
      <c r="AK320" s="78" t="str">
        <f aca="false">IF(OR(B320="",AB320="",AC320="",AE320=""),"",IFERROR(ROUND(IF(J320="Short",AB320-AE320,AE320-AB320)/ABS(AB320-AC320),2),""))</f>
        <v/>
      </c>
      <c r="AL320" s="68" t="str">
        <f aca="false">IF(AK320="","",IF(ABS(AK320)&lt;=Settings!$C$6,"BE",IF(AK320&gt;0,"Win","Loss")))</f>
        <v/>
      </c>
      <c r="AM320" s="79" t="str">
        <f aca="false">IF(OR(AK320="",AI320=""),"",ROUND(AK320*AI320-N(AH320),2))</f>
        <v/>
      </c>
      <c r="AN320" s="76" t="str">
        <f aca="false">IF(AM320="","",ROUND(BK320+SUMIFS(AM$6:AM320,BJ$6:BJ320,BJ320),2))</f>
        <v/>
      </c>
      <c r="AO320" s="78" t="str">
        <f aca="false">IF(AK320="","",ROUND(SUMIFS(AK$6:AK320,BJ$6:BJ320,BJ320),2))</f>
        <v/>
      </c>
      <c r="AP320" s="80" t="str">
        <f aca="false">IF(OR(AK320="",BL320=""),"",IFERROR(ROUND(IF(J320="Short",AB320-AE320,AE320-AB320)/BL320,1),""))</f>
        <v/>
      </c>
      <c r="AQ320" s="66" t="str">
        <f aca="false">IF(OR(G320="",H320=""),"",ROUND(MOD(H320-G320,1)*1440,0))</f>
        <v/>
      </c>
      <c r="AR320" s="68" t="str">
        <f aca="false">IF(AQ320="","",IF(AQ320&lt;15,"Under 15m",IF(AQ320&lt;60,"15-60m",IF(AQ320&lt;240,"1-4 hours","4+ hours"))))</f>
        <v/>
      </c>
      <c r="AS320" s="66" t="str">
        <f aca="false">IF(G320="","",HOUR(G320))</f>
        <v/>
      </c>
      <c r="AT320" s="80" t="str">
        <f aca="false">IF(OR(Z320="",AB320="",BL320=""),"",IFERROR(ROUND(IF(J320="Short",Z320-AB320,AB320-Z320)/BL320,1),""))</f>
        <v/>
      </c>
      <c r="AU320" s="68" t="str">
        <f aca="false">IF(OR(AA320="",AC320=""),"",IF(AA320=AC320,"No","Yes"))</f>
        <v/>
      </c>
      <c r="AV320" s="81" t="str">
        <f aca="false">IF(OR(B320="",BL320="",BM320="",AB320="",AC320=""),"",IFERROR(ROUND(AI320/(ABS(AB320-AC320)/BL320*BM320),2),""))</f>
        <v/>
      </c>
      <c r="AW320" s="76" t="str">
        <f aca="false">IF(B320="","",ROUND(BK320+SUMIFS(AM$5:AM319,BJ$5:BJ319,BJ320),2))</f>
        <v/>
      </c>
      <c r="AX320" s="66" t="str">
        <f aca="false">IF(B320="","",COUNTIFS(B$6:B320,B320,BJ$6:BJ320,BJ320))</f>
        <v/>
      </c>
      <c r="AY320" s="79" t="str">
        <f aca="false">IF(B320="","",ROUND(SUMIFS(AM$5:AM319,B$5:B319,B320,BJ$5:BJ319,BJ320),2))</f>
        <v/>
      </c>
      <c r="AZ320" s="79" t="str">
        <f aca="false">IF(AM320="","",ROUND(AY320+AM320,2))</f>
        <v/>
      </c>
      <c r="BA320" s="79" t="str">
        <f aca="false">IF(B320="","",ROUND(SUMIFS(AM$5:AM319,B$5:B319,"&gt;="&amp;(B320-WEEKDAY(B320,2)+1),B$5:B319,"&lt;="&amp;B320,BJ$5:BJ319,BJ320),2))</f>
        <v/>
      </c>
      <c r="BB320" s="68" t="str">
        <f aca="false">IF(B320="","",IF(AND(AF320&lt;&gt;"",AV320&lt;&gt;"",N(AF320)&gt;N(AV320)*(1+Settings!$C$13)),"Oversized",IF(AX320&gt;Settings!$C$10,"Overtraded",IF(AY320&lt;=-Settings!$C$11*(AW320-AY320),"Daily loss hit",IF(BA320&lt;=-Settings!$C$12*(AW320-BA320),"Weekly loss hit","OK")))))</f>
        <v/>
      </c>
      <c r="BC320" s="69"/>
      <c r="BD320" s="69"/>
      <c r="BE320" s="69"/>
      <c r="BF320" s="73"/>
      <c r="BG320" s="73"/>
      <c r="BH320" s="71"/>
      <c r="BI320" s="71"/>
      <c r="BJ320" s="68" t="str">
        <f aca="false">IF(B320="","",IF(E320="",Settings!$F$5,E320))</f>
        <v/>
      </c>
      <c r="BK320" s="76" t="str">
        <f aca="false">IF(B320="","",IFERROR(INDEX(Settings!$G$5:$G$10,MATCH(BJ320,Settings!$F$5:$F$10,0)),Settings!$G$5))</f>
        <v/>
      </c>
      <c r="BL320" s="82" t="str">
        <f aca="false">IF(I320="","",IFERROR(1/(1/INDEX(Lists!$C$6:$C$17,MATCH(I320,Lists!$B$6:$B$17,0))),""))</f>
        <v/>
      </c>
      <c r="BM320" s="81" t="str">
        <f aca="false">IF(I320="","",IFERROR(1/(1/INDEX(Lists!$D$6:$D$17,MATCH(I320,Lists!$B$6:$B$17,0))),""))</f>
        <v/>
      </c>
      <c r="BN320" s="76" t="str">
        <f aca="false">IF(AN320="","",MAX(BK320,_xlfn.MAXIFS(AN$6:AN320,BJ$6:BJ320,BJ320)))</f>
        <v/>
      </c>
      <c r="BO320" s="83" t="str">
        <f aca="false">IF(AN320="","",(AN320-BN320)/BN320)</f>
        <v/>
      </c>
      <c r="BP320" s="66" t="n">
        <f aca="false">IF(OR(B320="",AL320=""),0,IF(OR(Settings!$C$28="All Accounts",BJ320=Settings!$C$28),1,0))</f>
        <v>0</v>
      </c>
      <c r="BQ320" s="66" t="str">
        <f aca="false">IF(BP320=1,SUM(BP$6:BP320),"")</f>
        <v/>
      </c>
      <c r="BR320" s="76" t="str">
        <f aca="false">IF(BP320=1,ROUND(Settings!$C$29+SUMIFS(AM$6:AM320,BP$6:BP320,1),2),"")</f>
        <v/>
      </c>
      <c r="BS320" s="76" t="str">
        <f aca="false">IF(BP320=1,MAX(Settings!$C$29,MAX(BR$6:BR320)),"")</f>
        <v/>
      </c>
      <c r="BT320" s="83" t="str">
        <f aca="false">IF(BP320=1,(BR320-BS320)/BS320,"")</f>
        <v/>
      </c>
      <c r="BU320" s="66" t="str">
        <f aca="false">IF(BP320=1,IF(AL320="Win",1+IF(BQ320=1,0,INDEX(BU$5:BU319,MATCH(BQ320-1,BQ$5:BQ319,0))),0),"")</f>
        <v/>
      </c>
      <c r="BV320" s="66" t="str">
        <f aca="false">IF(BP320=1,IF(AL320="Loss",1+IF(BQ320=1,0,INDEX(BV$5:BV319,MATCH(BQ320-1,BQ$5:BQ319,0))),0),"")</f>
        <v/>
      </c>
    </row>
    <row r="321" customFormat="false" ht="15" hidden="false" customHeight="false" outlineLevel="0" collapsed="false">
      <c r="A321" s="66" t="str">
        <f aca="false">IF(B321="","",ROW()-5)</f>
        <v/>
      </c>
      <c r="B321" s="67"/>
      <c r="C321" s="68" t="str">
        <f aca="false">IF(B321="","",CHOOSE(WEEKDAY(B321,2),"Mon","Tue","Wed","Thu","Fri","Sat","Sun"))</f>
        <v/>
      </c>
      <c r="D321" s="66" t="str">
        <f aca="false">IF(B321="","",WEEKNUM(B321,2))</f>
        <v/>
      </c>
      <c r="E321" s="69"/>
      <c r="F321" s="69"/>
      <c r="G321" s="70"/>
      <c r="H321" s="70"/>
      <c r="I321" s="69"/>
      <c r="J321" s="69"/>
      <c r="K321" s="69"/>
      <c r="L321" s="71"/>
      <c r="M321" s="69"/>
      <c r="N321" s="69"/>
      <c r="O321" s="69"/>
      <c r="P321" s="71"/>
      <c r="Q321" s="69"/>
      <c r="R321" s="69"/>
      <c r="S321" s="69"/>
      <c r="T321" s="69"/>
      <c r="U321" s="69"/>
      <c r="V321" s="69"/>
      <c r="W321" s="69"/>
      <c r="X321" s="66" t="str">
        <f aca="false">IF(B321="","",COUNTIF(Q321:W321,"Yes"))</f>
        <v/>
      </c>
      <c r="Y321" s="68" t="str">
        <f aca="false">IF(B321="","",IF(X321&gt;=Settings!$C$16,"A+",IF(X321&gt;=Settings!$C$17,"A",IF(X321&gt;=Settings!$C$18,"B","C"))))</f>
        <v/>
      </c>
      <c r="Z321" s="72"/>
      <c r="AA321" s="72"/>
      <c r="AB321" s="72"/>
      <c r="AC321" s="72"/>
      <c r="AD321" s="72"/>
      <c r="AE321" s="72"/>
      <c r="AF321" s="73"/>
      <c r="AG321" s="74"/>
      <c r="AH321" s="75"/>
      <c r="AI321" s="76" t="str">
        <f aca="false">IF(B321="","",ROUND(IF(AG321="",Settings!$C$5,AG321)*AW321,2))</f>
        <v/>
      </c>
      <c r="AJ321" s="77" t="str">
        <f aca="false">IF(OR(B321="",AB321="",AC321="",AD321=""),"",IFERROR(ROUND(ABS(AD321-AB321)/ABS(AB321-AC321),2),""))</f>
        <v/>
      </c>
      <c r="AK321" s="78" t="str">
        <f aca="false">IF(OR(B321="",AB321="",AC321="",AE321=""),"",IFERROR(ROUND(IF(J321="Short",AB321-AE321,AE321-AB321)/ABS(AB321-AC321),2),""))</f>
        <v/>
      </c>
      <c r="AL321" s="68" t="str">
        <f aca="false">IF(AK321="","",IF(ABS(AK321)&lt;=Settings!$C$6,"BE",IF(AK321&gt;0,"Win","Loss")))</f>
        <v/>
      </c>
      <c r="AM321" s="79" t="str">
        <f aca="false">IF(OR(AK321="",AI321=""),"",ROUND(AK321*AI321-N(AH321),2))</f>
        <v/>
      </c>
      <c r="AN321" s="76" t="str">
        <f aca="false">IF(AM321="","",ROUND(BK321+SUMIFS(AM$6:AM321,BJ$6:BJ321,BJ321),2))</f>
        <v/>
      </c>
      <c r="AO321" s="78" t="str">
        <f aca="false">IF(AK321="","",ROUND(SUMIFS(AK$6:AK321,BJ$6:BJ321,BJ321),2))</f>
        <v/>
      </c>
      <c r="AP321" s="80" t="str">
        <f aca="false">IF(OR(AK321="",BL321=""),"",IFERROR(ROUND(IF(J321="Short",AB321-AE321,AE321-AB321)/BL321,1),""))</f>
        <v/>
      </c>
      <c r="AQ321" s="66" t="str">
        <f aca="false">IF(OR(G321="",H321=""),"",ROUND(MOD(H321-G321,1)*1440,0))</f>
        <v/>
      </c>
      <c r="AR321" s="68" t="str">
        <f aca="false">IF(AQ321="","",IF(AQ321&lt;15,"Under 15m",IF(AQ321&lt;60,"15-60m",IF(AQ321&lt;240,"1-4 hours","4+ hours"))))</f>
        <v/>
      </c>
      <c r="AS321" s="66" t="str">
        <f aca="false">IF(G321="","",HOUR(G321))</f>
        <v/>
      </c>
      <c r="AT321" s="80" t="str">
        <f aca="false">IF(OR(Z321="",AB321="",BL321=""),"",IFERROR(ROUND(IF(J321="Short",Z321-AB321,AB321-Z321)/BL321,1),""))</f>
        <v/>
      </c>
      <c r="AU321" s="68" t="str">
        <f aca="false">IF(OR(AA321="",AC321=""),"",IF(AA321=AC321,"No","Yes"))</f>
        <v/>
      </c>
      <c r="AV321" s="81" t="str">
        <f aca="false">IF(OR(B321="",BL321="",BM321="",AB321="",AC321=""),"",IFERROR(ROUND(AI321/(ABS(AB321-AC321)/BL321*BM321),2),""))</f>
        <v/>
      </c>
      <c r="AW321" s="76" t="str">
        <f aca="false">IF(B321="","",ROUND(BK321+SUMIFS(AM$5:AM320,BJ$5:BJ320,BJ321),2))</f>
        <v/>
      </c>
      <c r="AX321" s="66" t="str">
        <f aca="false">IF(B321="","",COUNTIFS(B$6:B321,B321,BJ$6:BJ321,BJ321))</f>
        <v/>
      </c>
      <c r="AY321" s="79" t="str">
        <f aca="false">IF(B321="","",ROUND(SUMIFS(AM$5:AM320,B$5:B320,B321,BJ$5:BJ320,BJ321),2))</f>
        <v/>
      </c>
      <c r="AZ321" s="79" t="str">
        <f aca="false">IF(AM321="","",ROUND(AY321+AM321,2))</f>
        <v/>
      </c>
      <c r="BA321" s="79" t="str">
        <f aca="false">IF(B321="","",ROUND(SUMIFS(AM$5:AM320,B$5:B320,"&gt;="&amp;(B321-WEEKDAY(B321,2)+1),B$5:B320,"&lt;="&amp;B321,BJ$5:BJ320,BJ321),2))</f>
        <v/>
      </c>
      <c r="BB321" s="68" t="str">
        <f aca="false">IF(B321="","",IF(AND(AF321&lt;&gt;"",AV321&lt;&gt;"",N(AF321)&gt;N(AV321)*(1+Settings!$C$13)),"Oversized",IF(AX321&gt;Settings!$C$10,"Overtraded",IF(AY321&lt;=-Settings!$C$11*(AW321-AY321),"Daily loss hit",IF(BA321&lt;=-Settings!$C$12*(AW321-BA321),"Weekly loss hit","OK")))))</f>
        <v/>
      </c>
      <c r="BC321" s="69"/>
      <c r="BD321" s="69"/>
      <c r="BE321" s="69"/>
      <c r="BF321" s="73"/>
      <c r="BG321" s="73"/>
      <c r="BH321" s="71"/>
      <c r="BI321" s="71"/>
      <c r="BJ321" s="68" t="str">
        <f aca="false">IF(B321="","",IF(E321="",Settings!$F$5,E321))</f>
        <v/>
      </c>
      <c r="BK321" s="76" t="str">
        <f aca="false">IF(B321="","",IFERROR(INDEX(Settings!$G$5:$G$10,MATCH(BJ321,Settings!$F$5:$F$10,0)),Settings!$G$5))</f>
        <v/>
      </c>
      <c r="BL321" s="82" t="str">
        <f aca="false">IF(I321="","",IFERROR(1/(1/INDEX(Lists!$C$6:$C$17,MATCH(I321,Lists!$B$6:$B$17,0))),""))</f>
        <v/>
      </c>
      <c r="BM321" s="81" t="str">
        <f aca="false">IF(I321="","",IFERROR(1/(1/INDEX(Lists!$D$6:$D$17,MATCH(I321,Lists!$B$6:$B$17,0))),""))</f>
        <v/>
      </c>
      <c r="BN321" s="76" t="str">
        <f aca="false">IF(AN321="","",MAX(BK321,_xlfn.MAXIFS(AN$6:AN321,BJ$6:BJ321,BJ321)))</f>
        <v/>
      </c>
      <c r="BO321" s="83" t="str">
        <f aca="false">IF(AN321="","",(AN321-BN321)/BN321)</f>
        <v/>
      </c>
      <c r="BP321" s="66" t="n">
        <f aca="false">IF(OR(B321="",AL321=""),0,IF(OR(Settings!$C$28="All Accounts",BJ321=Settings!$C$28),1,0))</f>
        <v>0</v>
      </c>
      <c r="BQ321" s="66" t="str">
        <f aca="false">IF(BP321=1,SUM(BP$6:BP321),"")</f>
        <v/>
      </c>
      <c r="BR321" s="76" t="str">
        <f aca="false">IF(BP321=1,ROUND(Settings!$C$29+SUMIFS(AM$6:AM321,BP$6:BP321,1),2),"")</f>
        <v/>
      </c>
      <c r="BS321" s="76" t="str">
        <f aca="false">IF(BP321=1,MAX(Settings!$C$29,MAX(BR$6:BR321)),"")</f>
        <v/>
      </c>
      <c r="BT321" s="83" t="str">
        <f aca="false">IF(BP321=1,(BR321-BS321)/BS321,"")</f>
        <v/>
      </c>
      <c r="BU321" s="66" t="str">
        <f aca="false">IF(BP321=1,IF(AL321="Win",1+IF(BQ321=1,0,INDEX(BU$5:BU320,MATCH(BQ321-1,BQ$5:BQ320,0))),0),"")</f>
        <v/>
      </c>
      <c r="BV321" s="66" t="str">
        <f aca="false">IF(BP321=1,IF(AL321="Loss",1+IF(BQ321=1,0,INDEX(BV$5:BV320,MATCH(BQ321-1,BQ$5:BQ320,0))),0),"")</f>
        <v/>
      </c>
    </row>
    <row r="322" customFormat="false" ht="15" hidden="false" customHeight="false" outlineLevel="0" collapsed="false">
      <c r="A322" s="66" t="str">
        <f aca="false">IF(B322="","",ROW()-5)</f>
        <v/>
      </c>
      <c r="B322" s="67"/>
      <c r="C322" s="68" t="str">
        <f aca="false">IF(B322="","",CHOOSE(WEEKDAY(B322,2),"Mon","Tue","Wed","Thu","Fri","Sat","Sun"))</f>
        <v/>
      </c>
      <c r="D322" s="66" t="str">
        <f aca="false">IF(B322="","",WEEKNUM(B322,2))</f>
        <v/>
      </c>
      <c r="E322" s="69"/>
      <c r="F322" s="69"/>
      <c r="G322" s="70"/>
      <c r="H322" s="70"/>
      <c r="I322" s="69"/>
      <c r="J322" s="69"/>
      <c r="K322" s="69"/>
      <c r="L322" s="71"/>
      <c r="M322" s="69"/>
      <c r="N322" s="69"/>
      <c r="O322" s="69"/>
      <c r="P322" s="71"/>
      <c r="Q322" s="69"/>
      <c r="R322" s="69"/>
      <c r="S322" s="69"/>
      <c r="T322" s="69"/>
      <c r="U322" s="69"/>
      <c r="V322" s="69"/>
      <c r="W322" s="69"/>
      <c r="X322" s="66" t="str">
        <f aca="false">IF(B322="","",COUNTIF(Q322:W322,"Yes"))</f>
        <v/>
      </c>
      <c r="Y322" s="68" t="str">
        <f aca="false">IF(B322="","",IF(X322&gt;=Settings!$C$16,"A+",IF(X322&gt;=Settings!$C$17,"A",IF(X322&gt;=Settings!$C$18,"B","C"))))</f>
        <v/>
      </c>
      <c r="Z322" s="72"/>
      <c r="AA322" s="72"/>
      <c r="AB322" s="72"/>
      <c r="AC322" s="72"/>
      <c r="AD322" s="72"/>
      <c r="AE322" s="72"/>
      <c r="AF322" s="73"/>
      <c r="AG322" s="74"/>
      <c r="AH322" s="75"/>
      <c r="AI322" s="76" t="str">
        <f aca="false">IF(B322="","",ROUND(IF(AG322="",Settings!$C$5,AG322)*AW322,2))</f>
        <v/>
      </c>
      <c r="AJ322" s="77" t="str">
        <f aca="false">IF(OR(B322="",AB322="",AC322="",AD322=""),"",IFERROR(ROUND(ABS(AD322-AB322)/ABS(AB322-AC322),2),""))</f>
        <v/>
      </c>
      <c r="AK322" s="78" t="str">
        <f aca="false">IF(OR(B322="",AB322="",AC322="",AE322=""),"",IFERROR(ROUND(IF(J322="Short",AB322-AE322,AE322-AB322)/ABS(AB322-AC322),2),""))</f>
        <v/>
      </c>
      <c r="AL322" s="68" t="str">
        <f aca="false">IF(AK322="","",IF(ABS(AK322)&lt;=Settings!$C$6,"BE",IF(AK322&gt;0,"Win","Loss")))</f>
        <v/>
      </c>
      <c r="AM322" s="79" t="str">
        <f aca="false">IF(OR(AK322="",AI322=""),"",ROUND(AK322*AI322-N(AH322),2))</f>
        <v/>
      </c>
      <c r="AN322" s="76" t="str">
        <f aca="false">IF(AM322="","",ROUND(BK322+SUMIFS(AM$6:AM322,BJ$6:BJ322,BJ322),2))</f>
        <v/>
      </c>
      <c r="AO322" s="78" t="str">
        <f aca="false">IF(AK322="","",ROUND(SUMIFS(AK$6:AK322,BJ$6:BJ322,BJ322),2))</f>
        <v/>
      </c>
      <c r="AP322" s="80" t="str">
        <f aca="false">IF(OR(AK322="",BL322=""),"",IFERROR(ROUND(IF(J322="Short",AB322-AE322,AE322-AB322)/BL322,1),""))</f>
        <v/>
      </c>
      <c r="AQ322" s="66" t="str">
        <f aca="false">IF(OR(G322="",H322=""),"",ROUND(MOD(H322-G322,1)*1440,0))</f>
        <v/>
      </c>
      <c r="AR322" s="68" t="str">
        <f aca="false">IF(AQ322="","",IF(AQ322&lt;15,"Under 15m",IF(AQ322&lt;60,"15-60m",IF(AQ322&lt;240,"1-4 hours","4+ hours"))))</f>
        <v/>
      </c>
      <c r="AS322" s="66" t="str">
        <f aca="false">IF(G322="","",HOUR(G322))</f>
        <v/>
      </c>
      <c r="AT322" s="80" t="str">
        <f aca="false">IF(OR(Z322="",AB322="",BL322=""),"",IFERROR(ROUND(IF(J322="Short",Z322-AB322,AB322-Z322)/BL322,1),""))</f>
        <v/>
      </c>
      <c r="AU322" s="68" t="str">
        <f aca="false">IF(OR(AA322="",AC322=""),"",IF(AA322=AC322,"No","Yes"))</f>
        <v/>
      </c>
      <c r="AV322" s="81" t="str">
        <f aca="false">IF(OR(B322="",BL322="",BM322="",AB322="",AC322=""),"",IFERROR(ROUND(AI322/(ABS(AB322-AC322)/BL322*BM322),2),""))</f>
        <v/>
      </c>
      <c r="AW322" s="76" t="str">
        <f aca="false">IF(B322="","",ROUND(BK322+SUMIFS(AM$5:AM321,BJ$5:BJ321,BJ322),2))</f>
        <v/>
      </c>
      <c r="AX322" s="66" t="str">
        <f aca="false">IF(B322="","",COUNTIFS(B$6:B322,B322,BJ$6:BJ322,BJ322))</f>
        <v/>
      </c>
      <c r="AY322" s="79" t="str">
        <f aca="false">IF(B322="","",ROUND(SUMIFS(AM$5:AM321,B$5:B321,B322,BJ$5:BJ321,BJ322),2))</f>
        <v/>
      </c>
      <c r="AZ322" s="79" t="str">
        <f aca="false">IF(AM322="","",ROUND(AY322+AM322,2))</f>
        <v/>
      </c>
      <c r="BA322" s="79" t="str">
        <f aca="false">IF(B322="","",ROUND(SUMIFS(AM$5:AM321,B$5:B321,"&gt;="&amp;(B322-WEEKDAY(B322,2)+1),B$5:B321,"&lt;="&amp;B322,BJ$5:BJ321,BJ322),2))</f>
        <v/>
      </c>
      <c r="BB322" s="68" t="str">
        <f aca="false">IF(B322="","",IF(AND(AF322&lt;&gt;"",AV322&lt;&gt;"",N(AF322)&gt;N(AV322)*(1+Settings!$C$13)),"Oversized",IF(AX322&gt;Settings!$C$10,"Overtraded",IF(AY322&lt;=-Settings!$C$11*(AW322-AY322),"Daily loss hit",IF(BA322&lt;=-Settings!$C$12*(AW322-BA322),"Weekly loss hit","OK")))))</f>
        <v/>
      </c>
      <c r="BC322" s="69"/>
      <c r="BD322" s="69"/>
      <c r="BE322" s="69"/>
      <c r="BF322" s="73"/>
      <c r="BG322" s="73"/>
      <c r="BH322" s="71"/>
      <c r="BI322" s="71"/>
      <c r="BJ322" s="68" t="str">
        <f aca="false">IF(B322="","",IF(E322="",Settings!$F$5,E322))</f>
        <v/>
      </c>
      <c r="BK322" s="76" t="str">
        <f aca="false">IF(B322="","",IFERROR(INDEX(Settings!$G$5:$G$10,MATCH(BJ322,Settings!$F$5:$F$10,0)),Settings!$G$5))</f>
        <v/>
      </c>
      <c r="BL322" s="82" t="str">
        <f aca="false">IF(I322="","",IFERROR(1/(1/INDEX(Lists!$C$6:$C$17,MATCH(I322,Lists!$B$6:$B$17,0))),""))</f>
        <v/>
      </c>
      <c r="BM322" s="81" t="str">
        <f aca="false">IF(I322="","",IFERROR(1/(1/INDEX(Lists!$D$6:$D$17,MATCH(I322,Lists!$B$6:$B$17,0))),""))</f>
        <v/>
      </c>
      <c r="BN322" s="76" t="str">
        <f aca="false">IF(AN322="","",MAX(BK322,_xlfn.MAXIFS(AN$6:AN322,BJ$6:BJ322,BJ322)))</f>
        <v/>
      </c>
      <c r="BO322" s="83" t="str">
        <f aca="false">IF(AN322="","",(AN322-BN322)/BN322)</f>
        <v/>
      </c>
      <c r="BP322" s="66" t="n">
        <f aca="false">IF(OR(B322="",AL322=""),0,IF(OR(Settings!$C$28="All Accounts",BJ322=Settings!$C$28),1,0))</f>
        <v>0</v>
      </c>
      <c r="BQ322" s="66" t="str">
        <f aca="false">IF(BP322=1,SUM(BP$6:BP322),"")</f>
        <v/>
      </c>
      <c r="BR322" s="76" t="str">
        <f aca="false">IF(BP322=1,ROUND(Settings!$C$29+SUMIFS(AM$6:AM322,BP$6:BP322,1),2),"")</f>
        <v/>
      </c>
      <c r="BS322" s="76" t="str">
        <f aca="false">IF(BP322=1,MAX(Settings!$C$29,MAX(BR$6:BR322)),"")</f>
        <v/>
      </c>
      <c r="BT322" s="83" t="str">
        <f aca="false">IF(BP322=1,(BR322-BS322)/BS322,"")</f>
        <v/>
      </c>
      <c r="BU322" s="66" t="str">
        <f aca="false">IF(BP322=1,IF(AL322="Win",1+IF(BQ322=1,0,INDEX(BU$5:BU321,MATCH(BQ322-1,BQ$5:BQ321,0))),0),"")</f>
        <v/>
      </c>
      <c r="BV322" s="66" t="str">
        <f aca="false">IF(BP322=1,IF(AL322="Loss",1+IF(BQ322=1,0,INDEX(BV$5:BV321,MATCH(BQ322-1,BQ$5:BQ321,0))),0),"")</f>
        <v/>
      </c>
    </row>
    <row r="323" customFormat="false" ht="15" hidden="false" customHeight="false" outlineLevel="0" collapsed="false">
      <c r="A323" s="66" t="str">
        <f aca="false">IF(B323="","",ROW()-5)</f>
        <v/>
      </c>
      <c r="B323" s="67"/>
      <c r="C323" s="68" t="str">
        <f aca="false">IF(B323="","",CHOOSE(WEEKDAY(B323,2),"Mon","Tue","Wed","Thu","Fri","Sat","Sun"))</f>
        <v/>
      </c>
      <c r="D323" s="66" t="str">
        <f aca="false">IF(B323="","",WEEKNUM(B323,2))</f>
        <v/>
      </c>
      <c r="E323" s="69"/>
      <c r="F323" s="69"/>
      <c r="G323" s="70"/>
      <c r="H323" s="70"/>
      <c r="I323" s="69"/>
      <c r="J323" s="69"/>
      <c r="K323" s="69"/>
      <c r="L323" s="71"/>
      <c r="M323" s="69"/>
      <c r="N323" s="69"/>
      <c r="O323" s="69"/>
      <c r="P323" s="71"/>
      <c r="Q323" s="69"/>
      <c r="R323" s="69"/>
      <c r="S323" s="69"/>
      <c r="T323" s="69"/>
      <c r="U323" s="69"/>
      <c r="V323" s="69"/>
      <c r="W323" s="69"/>
      <c r="X323" s="66" t="str">
        <f aca="false">IF(B323="","",COUNTIF(Q323:W323,"Yes"))</f>
        <v/>
      </c>
      <c r="Y323" s="68" t="str">
        <f aca="false">IF(B323="","",IF(X323&gt;=Settings!$C$16,"A+",IF(X323&gt;=Settings!$C$17,"A",IF(X323&gt;=Settings!$C$18,"B","C"))))</f>
        <v/>
      </c>
      <c r="Z323" s="72"/>
      <c r="AA323" s="72"/>
      <c r="AB323" s="72"/>
      <c r="AC323" s="72"/>
      <c r="AD323" s="72"/>
      <c r="AE323" s="72"/>
      <c r="AF323" s="73"/>
      <c r="AG323" s="74"/>
      <c r="AH323" s="75"/>
      <c r="AI323" s="76" t="str">
        <f aca="false">IF(B323="","",ROUND(IF(AG323="",Settings!$C$5,AG323)*AW323,2))</f>
        <v/>
      </c>
      <c r="AJ323" s="77" t="str">
        <f aca="false">IF(OR(B323="",AB323="",AC323="",AD323=""),"",IFERROR(ROUND(ABS(AD323-AB323)/ABS(AB323-AC323),2),""))</f>
        <v/>
      </c>
      <c r="AK323" s="78" t="str">
        <f aca="false">IF(OR(B323="",AB323="",AC323="",AE323=""),"",IFERROR(ROUND(IF(J323="Short",AB323-AE323,AE323-AB323)/ABS(AB323-AC323),2),""))</f>
        <v/>
      </c>
      <c r="AL323" s="68" t="str">
        <f aca="false">IF(AK323="","",IF(ABS(AK323)&lt;=Settings!$C$6,"BE",IF(AK323&gt;0,"Win","Loss")))</f>
        <v/>
      </c>
      <c r="AM323" s="79" t="str">
        <f aca="false">IF(OR(AK323="",AI323=""),"",ROUND(AK323*AI323-N(AH323),2))</f>
        <v/>
      </c>
      <c r="AN323" s="76" t="str">
        <f aca="false">IF(AM323="","",ROUND(BK323+SUMIFS(AM$6:AM323,BJ$6:BJ323,BJ323),2))</f>
        <v/>
      </c>
      <c r="AO323" s="78" t="str">
        <f aca="false">IF(AK323="","",ROUND(SUMIFS(AK$6:AK323,BJ$6:BJ323,BJ323),2))</f>
        <v/>
      </c>
      <c r="AP323" s="80" t="str">
        <f aca="false">IF(OR(AK323="",BL323=""),"",IFERROR(ROUND(IF(J323="Short",AB323-AE323,AE323-AB323)/BL323,1),""))</f>
        <v/>
      </c>
      <c r="AQ323" s="66" t="str">
        <f aca="false">IF(OR(G323="",H323=""),"",ROUND(MOD(H323-G323,1)*1440,0))</f>
        <v/>
      </c>
      <c r="AR323" s="68" t="str">
        <f aca="false">IF(AQ323="","",IF(AQ323&lt;15,"Under 15m",IF(AQ323&lt;60,"15-60m",IF(AQ323&lt;240,"1-4 hours","4+ hours"))))</f>
        <v/>
      </c>
      <c r="AS323" s="66" t="str">
        <f aca="false">IF(G323="","",HOUR(G323))</f>
        <v/>
      </c>
      <c r="AT323" s="80" t="str">
        <f aca="false">IF(OR(Z323="",AB323="",BL323=""),"",IFERROR(ROUND(IF(J323="Short",Z323-AB323,AB323-Z323)/BL323,1),""))</f>
        <v/>
      </c>
      <c r="AU323" s="68" t="str">
        <f aca="false">IF(OR(AA323="",AC323=""),"",IF(AA323=AC323,"No","Yes"))</f>
        <v/>
      </c>
      <c r="AV323" s="81" t="str">
        <f aca="false">IF(OR(B323="",BL323="",BM323="",AB323="",AC323=""),"",IFERROR(ROUND(AI323/(ABS(AB323-AC323)/BL323*BM323),2),""))</f>
        <v/>
      </c>
      <c r="AW323" s="76" t="str">
        <f aca="false">IF(B323="","",ROUND(BK323+SUMIFS(AM$5:AM322,BJ$5:BJ322,BJ323),2))</f>
        <v/>
      </c>
      <c r="AX323" s="66" t="str">
        <f aca="false">IF(B323="","",COUNTIFS(B$6:B323,B323,BJ$6:BJ323,BJ323))</f>
        <v/>
      </c>
      <c r="AY323" s="79" t="str">
        <f aca="false">IF(B323="","",ROUND(SUMIFS(AM$5:AM322,B$5:B322,B323,BJ$5:BJ322,BJ323),2))</f>
        <v/>
      </c>
      <c r="AZ323" s="79" t="str">
        <f aca="false">IF(AM323="","",ROUND(AY323+AM323,2))</f>
        <v/>
      </c>
      <c r="BA323" s="79" t="str">
        <f aca="false">IF(B323="","",ROUND(SUMIFS(AM$5:AM322,B$5:B322,"&gt;="&amp;(B323-WEEKDAY(B323,2)+1),B$5:B322,"&lt;="&amp;B323,BJ$5:BJ322,BJ323),2))</f>
        <v/>
      </c>
      <c r="BB323" s="68" t="str">
        <f aca="false">IF(B323="","",IF(AND(AF323&lt;&gt;"",AV323&lt;&gt;"",N(AF323)&gt;N(AV323)*(1+Settings!$C$13)),"Oversized",IF(AX323&gt;Settings!$C$10,"Overtraded",IF(AY323&lt;=-Settings!$C$11*(AW323-AY323),"Daily loss hit",IF(BA323&lt;=-Settings!$C$12*(AW323-BA323),"Weekly loss hit","OK")))))</f>
        <v/>
      </c>
      <c r="BC323" s="69"/>
      <c r="BD323" s="69"/>
      <c r="BE323" s="69"/>
      <c r="BF323" s="73"/>
      <c r="BG323" s="73"/>
      <c r="BH323" s="71"/>
      <c r="BI323" s="71"/>
      <c r="BJ323" s="68" t="str">
        <f aca="false">IF(B323="","",IF(E323="",Settings!$F$5,E323))</f>
        <v/>
      </c>
      <c r="BK323" s="76" t="str">
        <f aca="false">IF(B323="","",IFERROR(INDEX(Settings!$G$5:$G$10,MATCH(BJ323,Settings!$F$5:$F$10,0)),Settings!$G$5))</f>
        <v/>
      </c>
      <c r="BL323" s="82" t="str">
        <f aca="false">IF(I323="","",IFERROR(1/(1/INDEX(Lists!$C$6:$C$17,MATCH(I323,Lists!$B$6:$B$17,0))),""))</f>
        <v/>
      </c>
      <c r="BM323" s="81" t="str">
        <f aca="false">IF(I323="","",IFERROR(1/(1/INDEX(Lists!$D$6:$D$17,MATCH(I323,Lists!$B$6:$B$17,0))),""))</f>
        <v/>
      </c>
      <c r="BN323" s="76" t="str">
        <f aca="false">IF(AN323="","",MAX(BK323,_xlfn.MAXIFS(AN$6:AN323,BJ$6:BJ323,BJ323)))</f>
        <v/>
      </c>
      <c r="BO323" s="83" t="str">
        <f aca="false">IF(AN323="","",(AN323-BN323)/BN323)</f>
        <v/>
      </c>
      <c r="BP323" s="66" t="n">
        <f aca="false">IF(OR(B323="",AL323=""),0,IF(OR(Settings!$C$28="All Accounts",BJ323=Settings!$C$28),1,0))</f>
        <v>0</v>
      </c>
      <c r="BQ323" s="66" t="str">
        <f aca="false">IF(BP323=1,SUM(BP$6:BP323),"")</f>
        <v/>
      </c>
      <c r="BR323" s="76" t="str">
        <f aca="false">IF(BP323=1,ROUND(Settings!$C$29+SUMIFS(AM$6:AM323,BP$6:BP323,1),2),"")</f>
        <v/>
      </c>
      <c r="BS323" s="76" t="str">
        <f aca="false">IF(BP323=1,MAX(Settings!$C$29,MAX(BR$6:BR323)),"")</f>
        <v/>
      </c>
      <c r="BT323" s="83" t="str">
        <f aca="false">IF(BP323=1,(BR323-BS323)/BS323,"")</f>
        <v/>
      </c>
      <c r="BU323" s="66" t="str">
        <f aca="false">IF(BP323=1,IF(AL323="Win",1+IF(BQ323=1,0,INDEX(BU$5:BU322,MATCH(BQ323-1,BQ$5:BQ322,0))),0),"")</f>
        <v/>
      </c>
      <c r="BV323" s="66" t="str">
        <f aca="false">IF(BP323=1,IF(AL323="Loss",1+IF(BQ323=1,0,INDEX(BV$5:BV322,MATCH(BQ323-1,BQ$5:BQ322,0))),0),"")</f>
        <v/>
      </c>
    </row>
    <row r="324" customFormat="false" ht="15" hidden="false" customHeight="false" outlineLevel="0" collapsed="false">
      <c r="A324" s="66" t="str">
        <f aca="false">IF(B324="","",ROW()-5)</f>
        <v/>
      </c>
      <c r="B324" s="67"/>
      <c r="C324" s="68" t="str">
        <f aca="false">IF(B324="","",CHOOSE(WEEKDAY(B324,2),"Mon","Tue","Wed","Thu","Fri","Sat","Sun"))</f>
        <v/>
      </c>
      <c r="D324" s="66" t="str">
        <f aca="false">IF(B324="","",WEEKNUM(B324,2))</f>
        <v/>
      </c>
      <c r="E324" s="69"/>
      <c r="F324" s="69"/>
      <c r="G324" s="70"/>
      <c r="H324" s="70"/>
      <c r="I324" s="69"/>
      <c r="J324" s="69"/>
      <c r="K324" s="69"/>
      <c r="L324" s="71"/>
      <c r="M324" s="69"/>
      <c r="N324" s="69"/>
      <c r="O324" s="69"/>
      <c r="P324" s="71"/>
      <c r="Q324" s="69"/>
      <c r="R324" s="69"/>
      <c r="S324" s="69"/>
      <c r="T324" s="69"/>
      <c r="U324" s="69"/>
      <c r="V324" s="69"/>
      <c r="W324" s="69"/>
      <c r="X324" s="66" t="str">
        <f aca="false">IF(B324="","",COUNTIF(Q324:W324,"Yes"))</f>
        <v/>
      </c>
      <c r="Y324" s="68" t="str">
        <f aca="false">IF(B324="","",IF(X324&gt;=Settings!$C$16,"A+",IF(X324&gt;=Settings!$C$17,"A",IF(X324&gt;=Settings!$C$18,"B","C"))))</f>
        <v/>
      </c>
      <c r="Z324" s="72"/>
      <c r="AA324" s="72"/>
      <c r="AB324" s="72"/>
      <c r="AC324" s="72"/>
      <c r="AD324" s="72"/>
      <c r="AE324" s="72"/>
      <c r="AF324" s="73"/>
      <c r="AG324" s="74"/>
      <c r="AH324" s="75"/>
      <c r="AI324" s="76" t="str">
        <f aca="false">IF(B324="","",ROUND(IF(AG324="",Settings!$C$5,AG324)*AW324,2))</f>
        <v/>
      </c>
      <c r="AJ324" s="77" t="str">
        <f aca="false">IF(OR(B324="",AB324="",AC324="",AD324=""),"",IFERROR(ROUND(ABS(AD324-AB324)/ABS(AB324-AC324),2),""))</f>
        <v/>
      </c>
      <c r="AK324" s="78" t="str">
        <f aca="false">IF(OR(B324="",AB324="",AC324="",AE324=""),"",IFERROR(ROUND(IF(J324="Short",AB324-AE324,AE324-AB324)/ABS(AB324-AC324),2),""))</f>
        <v/>
      </c>
      <c r="AL324" s="68" t="str">
        <f aca="false">IF(AK324="","",IF(ABS(AK324)&lt;=Settings!$C$6,"BE",IF(AK324&gt;0,"Win","Loss")))</f>
        <v/>
      </c>
      <c r="AM324" s="79" t="str">
        <f aca="false">IF(OR(AK324="",AI324=""),"",ROUND(AK324*AI324-N(AH324),2))</f>
        <v/>
      </c>
      <c r="AN324" s="76" t="str">
        <f aca="false">IF(AM324="","",ROUND(BK324+SUMIFS(AM$6:AM324,BJ$6:BJ324,BJ324),2))</f>
        <v/>
      </c>
      <c r="AO324" s="78" t="str">
        <f aca="false">IF(AK324="","",ROUND(SUMIFS(AK$6:AK324,BJ$6:BJ324,BJ324),2))</f>
        <v/>
      </c>
      <c r="AP324" s="80" t="str">
        <f aca="false">IF(OR(AK324="",BL324=""),"",IFERROR(ROUND(IF(J324="Short",AB324-AE324,AE324-AB324)/BL324,1),""))</f>
        <v/>
      </c>
      <c r="AQ324" s="66" t="str">
        <f aca="false">IF(OR(G324="",H324=""),"",ROUND(MOD(H324-G324,1)*1440,0))</f>
        <v/>
      </c>
      <c r="AR324" s="68" t="str">
        <f aca="false">IF(AQ324="","",IF(AQ324&lt;15,"Under 15m",IF(AQ324&lt;60,"15-60m",IF(AQ324&lt;240,"1-4 hours","4+ hours"))))</f>
        <v/>
      </c>
      <c r="AS324" s="66" t="str">
        <f aca="false">IF(G324="","",HOUR(G324))</f>
        <v/>
      </c>
      <c r="AT324" s="80" t="str">
        <f aca="false">IF(OR(Z324="",AB324="",BL324=""),"",IFERROR(ROUND(IF(J324="Short",Z324-AB324,AB324-Z324)/BL324,1),""))</f>
        <v/>
      </c>
      <c r="AU324" s="68" t="str">
        <f aca="false">IF(OR(AA324="",AC324=""),"",IF(AA324=AC324,"No","Yes"))</f>
        <v/>
      </c>
      <c r="AV324" s="81" t="str">
        <f aca="false">IF(OR(B324="",BL324="",BM324="",AB324="",AC324=""),"",IFERROR(ROUND(AI324/(ABS(AB324-AC324)/BL324*BM324),2),""))</f>
        <v/>
      </c>
      <c r="AW324" s="76" t="str">
        <f aca="false">IF(B324="","",ROUND(BK324+SUMIFS(AM$5:AM323,BJ$5:BJ323,BJ324),2))</f>
        <v/>
      </c>
      <c r="AX324" s="66" t="str">
        <f aca="false">IF(B324="","",COUNTIFS(B$6:B324,B324,BJ$6:BJ324,BJ324))</f>
        <v/>
      </c>
      <c r="AY324" s="79" t="str">
        <f aca="false">IF(B324="","",ROUND(SUMIFS(AM$5:AM323,B$5:B323,B324,BJ$5:BJ323,BJ324),2))</f>
        <v/>
      </c>
      <c r="AZ324" s="79" t="str">
        <f aca="false">IF(AM324="","",ROUND(AY324+AM324,2))</f>
        <v/>
      </c>
      <c r="BA324" s="79" t="str">
        <f aca="false">IF(B324="","",ROUND(SUMIFS(AM$5:AM323,B$5:B323,"&gt;="&amp;(B324-WEEKDAY(B324,2)+1),B$5:B323,"&lt;="&amp;B324,BJ$5:BJ323,BJ324),2))</f>
        <v/>
      </c>
      <c r="BB324" s="68" t="str">
        <f aca="false">IF(B324="","",IF(AND(AF324&lt;&gt;"",AV324&lt;&gt;"",N(AF324)&gt;N(AV324)*(1+Settings!$C$13)),"Oversized",IF(AX324&gt;Settings!$C$10,"Overtraded",IF(AY324&lt;=-Settings!$C$11*(AW324-AY324),"Daily loss hit",IF(BA324&lt;=-Settings!$C$12*(AW324-BA324),"Weekly loss hit","OK")))))</f>
        <v/>
      </c>
      <c r="BC324" s="69"/>
      <c r="BD324" s="69"/>
      <c r="BE324" s="69"/>
      <c r="BF324" s="73"/>
      <c r="BG324" s="73"/>
      <c r="BH324" s="71"/>
      <c r="BI324" s="71"/>
      <c r="BJ324" s="68" t="str">
        <f aca="false">IF(B324="","",IF(E324="",Settings!$F$5,E324))</f>
        <v/>
      </c>
      <c r="BK324" s="76" t="str">
        <f aca="false">IF(B324="","",IFERROR(INDEX(Settings!$G$5:$G$10,MATCH(BJ324,Settings!$F$5:$F$10,0)),Settings!$G$5))</f>
        <v/>
      </c>
      <c r="BL324" s="82" t="str">
        <f aca="false">IF(I324="","",IFERROR(1/(1/INDEX(Lists!$C$6:$C$17,MATCH(I324,Lists!$B$6:$B$17,0))),""))</f>
        <v/>
      </c>
      <c r="BM324" s="81" t="str">
        <f aca="false">IF(I324="","",IFERROR(1/(1/INDEX(Lists!$D$6:$D$17,MATCH(I324,Lists!$B$6:$B$17,0))),""))</f>
        <v/>
      </c>
      <c r="BN324" s="76" t="str">
        <f aca="false">IF(AN324="","",MAX(BK324,_xlfn.MAXIFS(AN$6:AN324,BJ$6:BJ324,BJ324)))</f>
        <v/>
      </c>
      <c r="BO324" s="83" t="str">
        <f aca="false">IF(AN324="","",(AN324-BN324)/BN324)</f>
        <v/>
      </c>
      <c r="BP324" s="66" t="n">
        <f aca="false">IF(OR(B324="",AL324=""),0,IF(OR(Settings!$C$28="All Accounts",BJ324=Settings!$C$28),1,0))</f>
        <v>0</v>
      </c>
      <c r="BQ324" s="66" t="str">
        <f aca="false">IF(BP324=1,SUM(BP$6:BP324),"")</f>
        <v/>
      </c>
      <c r="BR324" s="76" t="str">
        <f aca="false">IF(BP324=1,ROUND(Settings!$C$29+SUMIFS(AM$6:AM324,BP$6:BP324,1),2),"")</f>
        <v/>
      </c>
      <c r="BS324" s="76" t="str">
        <f aca="false">IF(BP324=1,MAX(Settings!$C$29,MAX(BR$6:BR324)),"")</f>
        <v/>
      </c>
      <c r="BT324" s="83" t="str">
        <f aca="false">IF(BP324=1,(BR324-BS324)/BS324,"")</f>
        <v/>
      </c>
      <c r="BU324" s="66" t="str">
        <f aca="false">IF(BP324=1,IF(AL324="Win",1+IF(BQ324=1,0,INDEX(BU$5:BU323,MATCH(BQ324-1,BQ$5:BQ323,0))),0),"")</f>
        <v/>
      </c>
      <c r="BV324" s="66" t="str">
        <f aca="false">IF(BP324=1,IF(AL324="Loss",1+IF(BQ324=1,0,INDEX(BV$5:BV323,MATCH(BQ324-1,BQ$5:BQ323,0))),0),"")</f>
        <v/>
      </c>
    </row>
    <row r="325" customFormat="false" ht="15" hidden="false" customHeight="false" outlineLevel="0" collapsed="false">
      <c r="A325" s="66" t="str">
        <f aca="false">IF(B325="","",ROW()-5)</f>
        <v/>
      </c>
      <c r="B325" s="67"/>
      <c r="C325" s="68" t="str">
        <f aca="false">IF(B325="","",CHOOSE(WEEKDAY(B325,2),"Mon","Tue","Wed","Thu","Fri","Sat","Sun"))</f>
        <v/>
      </c>
      <c r="D325" s="66" t="str">
        <f aca="false">IF(B325="","",WEEKNUM(B325,2))</f>
        <v/>
      </c>
      <c r="E325" s="69"/>
      <c r="F325" s="69"/>
      <c r="G325" s="70"/>
      <c r="H325" s="70"/>
      <c r="I325" s="69"/>
      <c r="J325" s="69"/>
      <c r="K325" s="69"/>
      <c r="L325" s="71"/>
      <c r="M325" s="69"/>
      <c r="N325" s="69"/>
      <c r="O325" s="69"/>
      <c r="P325" s="71"/>
      <c r="Q325" s="69"/>
      <c r="R325" s="69"/>
      <c r="S325" s="69"/>
      <c r="T325" s="69"/>
      <c r="U325" s="69"/>
      <c r="V325" s="69"/>
      <c r="W325" s="69"/>
      <c r="X325" s="66" t="str">
        <f aca="false">IF(B325="","",COUNTIF(Q325:W325,"Yes"))</f>
        <v/>
      </c>
      <c r="Y325" s="68" t="str">
        <f aca="false">IF(B325="","",IF(X325&gt;=Settings!$C$16,"A+",IF(X325&gt;=Settings!$C$17,"A",IF(X325&gt;=Settings!$C$18,"B","C"))))</f>
        <v/>
      </c>
      <c r="Z325" s="72"/>
      <c r="AA325" s="72"/>
      <c r="AB325" s="72"/>
      <c r="AC325" s="72"/>
      <c r="AD325" s="72"/>
      <c r="AE325" s="72"/>
      <c r="AF325" s="73"/>
      <c r="AG325" s="74"/>
      <c r="AH325" s="75"/>
      <c r="AI325" s="76" t="str">
        <f aca="false">IF(B325="","",ROUND(IF(AG325="",Settings!$C$5,AG325)*AW325,2))</f>
        <v/>
      </c>
      <c r="AJ325" s="77" t="str">
        <f aca="false">IF(OR(B325="",AB325="",AC325="",AD325=""),"",IFERROR(ROUND(ABS(AD325-AB325)/ABS(AB325-AC325),2),""))</f>
        <v/>
      </c>
      <c r="AK325" s="78" t="str">
        <f aca="false">IF(OR(B325="",AB325="",AC325="",AE325=""),"",IFERROR(ROUND(IF(J325="Short",AB325-AE325,AE325-AB325)/ABS(AB325-AC325),2),""))</f>
        <v/>
      </c>
      <c r="AL325" s="68" t="str">
        <f aca="false">IF(AK325="","",IF(ABS(AK325)&lt;=Settings!$C$6,"BE",IF(AK325&gt;0,"Win","Loss")))</f>
        <v/>
      </c>
      <c r="AM325" s="79" t="str">
        <f aca="false">IF(OR(AK325="",AI325=""),"",ROUND(AK325*AI325-N(AH325),2))</f>
        <v/>
      </c>
      <c r="AN325" s="76" t="str">
        <f aca="false">IF(AM325="","",ROUND(BK325+SUMIFS(AM$6:AM325,BJ$6:BJ325,BJ325),2))</f>
        <v/>
      </c>
      <c r="AO325" s="78" t="str">
        <f aca="false">IF(AK325="","",ROUND(SUMIFS(AK$6:AK325,BJ$6:BJ325,BJ325),2))</f>
        <v/>
      </c>
      <c r="AP325" s="80" t="str">
        <f aca="false">IF(OR(AK325="",BL325=""),"",IFERROR(ROUND(IF(J325="Short",AB325-AE325,AE325-AB325)/BL325,1),""))</f>
        <v/>
      </c>
      <c r="AQ325" s="66" t="str">
        <f aca="false">IF(OR(G325="",H325=""),"",ROUND(MOD(H325-G325,1)*1440,0))</f>
        <v/>
      </c>
      <c r="AR325" s="68" t="str">
        <f aca="false">IF(AQ325="","",IF(AQ325&lt;15,"Under 15m",IF(AQ325&lt;60,"15-60m",IF(AQ325&lt;240,"1-4 hours","4+ hours"))))</f>
        <v/>
      </c>
      <c r="AS325" s="66" t="str">
        <f aca="false">IF(G325="","",HOUR(G325))</f>
        <v/>
      </c>
      <c r="AT325" s="80" t="str">
        <f aca="false">IF(OR(Z325="",AB325="",BL325=""),"",IFERROR(ROUND(IF(J325="Short",Z325-AB325,AB325-Z325)/BL325,1),""))</f>
        <v/>
      </c>
      <c r="AU325" s="68" t="str">
        <f aca="false">IF(OR(AA325="",AC325=""),"",IF(AA325=AC325,"No","Yes"))</f>
        <v/>
      </c>
      <c r="AV325" s="81" t="str">
        <f aca="false">IF(OR(B325="",BL325="",BM325="",AB325="",AC325=""),"",IFERROR(ROUND(AI325/(ABS(AB325-AC325)/BL325*BM325),2),""))</f>
        <v/>
      </c>
      <c r="AW325" s="76" t="str">
        <f aca="false">IF(B325="","",ROUND(BK325+SUMIFS(AM$5:AM324,BJ$5:BJ324,BJ325),2))</f>
        <v/>
      </c>
      <c r="AX325" s="66" t="str">
        <f aca="false">IF(B325="","",COUNTIFS(B$6:B325,B325,BJ$6:BJ325,BJ325))</f>
        <v/>
      </c>
      <c r="AY325" s="79" t="str">
        <f aca="false">IF(B325="","",ROUND(SUMIFS(AM$5:AM324,B$5:B324,B325,BJ$5:BJ324,BJ325),2))</f>
        <v/>
      </c>
      <c r="AZ325" s="79" t="str">
        <f aca="false">IF(AM325="","",ROUND(AY325+AM325,2))</f>
        <v/>
      </c>
      <c r="BA325" s="79" t="str">
        <f aca="false">IF(B325="","",ROUND(SUMIFS(AM$5:AM324,B$5:B324,"&gt;="&amp;(B325-WEEKDAY(B325,2)+1),B$5:B324,"&lt;="&amp;B325,BJ$5:BJ324,BJ325),2))</f>
        <v/>
      </c>
      <c r="BB325" s="68" t="str">
        <f aca="false">IF(B325="","",IF(AND(AF325&lt;&gt;"",AV325&lt;&gt;"",N(AF325)&gt;N(AV325)*(1+Settings!$C$13)),"Oversized",IF(AX325&gt;Settings!$C$10,"Overtraded",IF(AY325&lt;=-Settings!$C$11*(AW325-AY325),"Daily loss hit",IF(BA325&lt;=-Settings!$C$12*(AW325-BA325),"Weekly loss hit","OK")))))</f>
        <v/>
      </c>
      <c r="BC325" s="69"/>
      <c r="BD325" s="69"/>
      <c r="BE325" s="69"/>
      <c r="BF325" s="73"/>
      <c r="BG325" s="73"/>
      <c r="BH325" s="71"/>
      <c r="BI325" s="71"/>
      <c r="BJ325" s="68" t="str">
        <f aca="false">IF(B325="","",IF(E325="",Settings!$F$5,E325))</f>
        <v/>
      </c>
      <c r="BK325" s="76" t="str">
        <f aca="false">IF(B325="","",IFERROR(INDEX(Settings!$G$5:$G$10,MATCH(BJ325,Settings!$F$5:$F$10,0)),Settings!$G$5))</f>
        <v/>
      </c>
      <c r="BL325" s="82" t="str">
        <f aca="false">IF(I325="","",IFERROR(1/(1/INDEX(Lists!$C$6:$C$17,MATCH(I325,Lists!$B$6:$B$17,0))),""))</f>
        <v/>
      </c>
      <c r="BM325" s="81" t="str">
        <f aca="false">IF(I325="","",IFERROR(1/(1/INDEX(Lists!$D$6:$D$17,MATCH(I325,Lists!$B$6:$B$17,0))),""))</f>
        <v/>
      </c>
      <c r="BN325" s="76" t="str">
        <f aca="false">IF(AN325="","",MAX(BK325,_xlfn.MAXIFS(AN$6:AN325,BJ$6:BJ325,BJ325)))</f>
        <v/>
      </c>
      <c r="BO325" s="83" t="str">
        <f aca="false">IF(AN325="","",(AN325-BN325)/BN325)</f>
        <v/>
      </c>
      <c r="BP325" s="66" t="n">
        <f aca="false">IF(OR(B325="",AL325=""),0,IF(OR(Settings!$C$28="All Accounts",BJ325=Settings!$C$28),1,0))</f>
        <v>0</v>
      </c>
      <c r="BQ325" s="66" t="str">
        <f aca="false">IF(BP325=1,SUM(BP$6:BP325),"")</f>
        <v/>
      </c>
      <c r="BR325" s="76" t="str">
        <f aca="false">IF(BP325=1,ROUND(Settings!$C$29+SUMIFS(AM$6:AM325,BP$6:BP325,1),2),"")</f>
        <v/>
      </c>
      <c r="BS325" s="76" t="str">
        <f aca="false">IF(BP325=1,MAX(Settings!$C$29,MAX(BR$6:BR325)),"")</f>
        <v/>
      </c>
      <c r="BT325" s="83" t="str">
        <f aca="false">IF(BP325=1,(BR325-BS325)/BS325,"")</f>
        <v/>
      </c>
      <c r="BU325" s="66" t="str">
        <f aca="false">IF(BP325=1,IF(AL325="Win",1+IF(BQ325=1,0,INDEX(BU$5:BU324,MATCH(BQ325-1,BQ$5:BQ324,0))),0),"")</f>
        <v/>
      </c>
      <c r="BV325" s="66" t="str">
        <f aca="false">IF(BP325=1,IF(AL325="Loss",1+IF(BQ325=1,0,INDEX(BV$5:BV324,MATCH(BQ325-1,BQ$5:BQ324,0))),0),"")</f>
        <v/>
      </c>
    </row>
    <row r="326" customFormat="false" ht="15" hidden="false" customHeight="false" outlineLevel="0" collapsed="false">
      <c r="A326" s="66" t="str">
        <f aca="false">IF(B326="","",ROW()-5)</f>
        <v/>
      </c>
      <c r="B326" s="67"/>
      <c r="C326" s="68" t="str">
        <f aca="false">IF(B326="","",CHOOSE(WEEKDAY(B326,2),"Mon","Tue","Wed","Thu","Fri","Sat","Sun"))</f>
        <v/>
      </c>
      <c r="D326" s="66" t="str">
        <f aca="false">IF(B326="","",WEEKNUM(B326,2))</f>
        <v/>
      </c>
      <c r="E326" s="69"/>
      <c r="F326" s="69"/>
      <c r="G326" s="70"/>
      <c r="H326" s="70"/>
      <c r="I326" s="69"/>
      <c r="J326" s="69"/>
      <c r="K326" s="69"/>
      <c r="L326" s="71"/>
      <c r="M326" s="69"/>
      <c r="N326" s="69"/>
      <c r="O326" s="69"/>
      <c r="P326" s="71"/>
      <c r="Q326" s="69"/>
      <c r="R326" s="69"/>
      <c r="S326" s="69"/>
      <c r="T326" s="69"/>
      <c r="U326" s="69"/>
      <c r="V326" s="69"/>
      <c r="W326" s="69"/>
      <c r="X326" s="66" t="str">
        <f aca="false">IF(B326="","",COUNTIF(Q326:W326,"Yes"))</f>
        <v/>
      </c>
      <c r="Y326" s="68" t="str">
        <f aca="false">IF(B326="","",IF(X326&gt;=Settings!$C$16,"A+",IF(X326&gt;=Settings!$C$17,"A",IF(X326&gt;=Settings!$C$18,"B","C"))))</f>
        <v/>
      </c>
      <c r="Z326" s="72"/>
      <c r="AA326" s="72"/>
      <c r="AB326" s="72"/>
      <c r="AC326" s="72"/>
      <c r="AD326" s="72"/>
      <c r="AE326" s="72"/>
      <c r="AF326" s="73"/>
      <c r="AG326" s="74"/>
      <c r="AH326" s="75"/>
      <c r="AI326" s="76" t="str">
        <f aca="false">IF(B326="","",ROUND(IF(AG326="",Settings!$C$5,AG326)*AW326,2))</f>
        <v/>
      </c>
      <c r="AJ326" s="77" t="str">
        <f aca="false">IF(OR(B326="",AB326="",AC326="",AD326=""),"",IFERROR(ROUND(ABS(AD326-AB326)/ABS(AB326-AC326),2),""))</f>
        <v/>
      </c>
      <c r="AK326" s="78" t="str">
        <f aca="false">IF(OR(B326="",AB326="",AC326="",AE326=""),"",IFERROR(ROUND(IF(J326="Short",AB326-AE326,AE326-AB326)/ABS(AB326-AC326),2),""))</f>
        <v/>
      </c>
      <c r="AL326" s="68" t="str">
        <f aca="false">IF(AK326="","",IF(ABS(AK326)&lt;=Settings!$C$6,"BE",IF(AK326&gt;0,"Win","Loss")))</f>
        <v/>
      </c>
      <c r="AM326" s="79" t="str">
        <f aca="false">IF(OR(AK326="",AI326=""),"",ROUND(AK326*AI326-N(AH326),2))</f>
        <v/>
      </c>
      <c r="AN326" s="76" t="str">
        <f aca="false">IF(AM326="","",ROUND(BK326+SUMIFS(AM$6:AM326,BJ$6:BJ326,BJ326),2))</f>
        <v/>
      </c>
      <c r="AO326" s="78" t="str">
        <f aca="false">IF(AK326="","",ROUND(SUMIFS(AK$6:AK326,BJ$6:BJ326,BJ326),2))</f>
        <v/>
      </c>
      <c r="AP326" s="80" t="str">
        <f aca="false">IF(OR(AK326="",BL326=""),"",IFERROR(ROUND(IF(J326="Short",AB326-AE326,AE326-AB326)/BL326,1),""))</f>
        <v/>
      </c>
      <c r="AQ326" s="66" t="str">
        <f aca="false">IF(OR(G326="",H326=""),"",ROUND(MOD(H326-G326,1)*1440,0))</f>
        <v/>
      </c>
      <c r="AR326" s="68" t="str">
        <f aca="false">IF(AQ326="","",IF(AQ326&lt;15,"Under 15m",IF(AQ326&lt;60,"15-60m",IF(AQ326&lt;240,"1-4 hours","4+ hours"))))</f>
        <v/>
      </c>
      <c r="AS326" s="66" t="str">
        <f aca="false">IF(G326="","",HOUR(G326))</f>
        <v/>
      </c>
      <c r="AT326" s="80" t="str">
        <f aca="false">IF(OR(Z326="",AB326="",BL326=""),"",IFERROR(ROUND(IF(J326="Short",Z326-AB326,AB326-Z326)/BL326,1),""))</f>
        <v/>
      </c>
      <c r="AU326" s="68" t="str">
        <f aca="false">IF(OR(AA326="",AC326=""),"",IF(AA326=AC326,"No","Yes"))</f>
        <v/>
      </c>
      <c r="AV326" s="81" t="str">
        <f aca="false">IF(OR(B326="",BL326="",BM326="",AB326="",AC326=""),"",IFERROR(ROUND(AI326/(ABS(AB326-AC326)/BL326*BM326),2),""))</f>
        <v/>
      </c>
      <c r="AW326" s="76" t="str">
        <f aca="false">IF(B326="","",ROUND(BK326+SUMIFS(AM$5:AM325,BJ$5:BJ325,BJ326),2))</f>
        <v/>
      </c>
      <c r="AX326" s="66" t="str">
        <f aca="false">IF(B326="","",COUNTIFS(B$6:B326,B326,BJ$6:BJ326,BJ326))</f>
        <v/>
      </c>
      <c r="AY326" s="79" t="str">
        <f aca="false">IF(B326="","",ROUND(SUMIFS(AM$5:AM325,B$5:B325,B326,BJ$5:BJ325,BJ326),2))</f>
        <v/>
      </c>
      <c r="AZ326" s="79" t="str">
        <f aca="false">IF(AM326="","",ROUND(AY326+AM326,2))</f>
        <v/>
      </c>
      <c r="BA326" s="79" t="str">
        <f aca="false">IF(B326="","",ROUND(SUMIFS(AM$5:AM325,B$5:B325,"&gt;="&amp;(B326-WEEKDAY(B326,2)+1),B$5:B325,"&lt;="&amp;B326,BJ$5:BJ325,BJ326),2))</f>
        <v/>
      </c>
      <c r="BB326" s="68" t="str">
        <f aca="false">IF(B326="","",IF(AND(AF326&lt;&gt;"",AV326&lt;&gt;"",N(AF326)&gt;N(AV326)*(1+Settings!$C$13)),"Oversized",IF(AX326&gt;Settings!$C$10,"Overtraded",IF(AY326&lt;=-Settings!$C$11*(AW326-AY326),"Daily loss hit",IF(BA326&lt;=-Settings!$C$12*(AW326-BA326),"Weekly loss hit","OK")))))</f>
        <v/>
      </c>
      <c r="BC326" s="69"/>
      <c r="BD326" s="69"/>
      <c r="BE326" s="69"/>
      <c r="BF326" s="73"/>
      <c r="BG326" s="73"/>
      <c r="BH326" s="71"/>
      <c r="BI326" s="71"/>
      <c r="BJ326" s="68" t="str">
        <f aca="false">IF(B326="","",IF(E326="",Settings!$F$5,E326))</f>
        <v/>
      </c>
      <c r="BK326" s="76" t="str">
        <f aca="false">IF(B326="","",IFERROR(INDEX(Settings!$G$5:$G$10,MATCH(BJ326,Settings!$F$5:$F$10,0)),Settings!$G$5))</f>
        <v/>
      </c>
      <c r="BL326" s="82" t="str">
        <f aca="false">IF(I326="","",IFERROR(1/(1/INDEX(Lists!$C$6:$C$17,MATCH(I326,Lists!$B$6:$B$17,0))),""))</f>
        <v/>
      </c>
      <c r="BM326" s="81" t="str">
        <f aca="false">IF(I326="","",IFERROR(1/(1/INDEX(Lists!$D$6:$D$17,MATCH(I326,Lists!$B$6:$B$17,0))),""))</f>
        <v/>
      </c>
      <c r="BN326" s="76" t="str">
        <f aca="false">IF(AN326="","",MAX(BK326,_xlfn.MAXIFS(AN$6:AN326,BJ$6:BJ326,BJ326)))</f>
        <v/>
      </c>
      <c r="BO326" s="83" t="str">
        <f aca="false">IF(AN326="","",(AN326-BN326)/BN326)</f>
        <v/>
      </c>
      <c r="BP326" s="66" t="n">
        <f aca="false">IF(OR(B326="",AL326=""),0,IF(OR(Settings!$C$28="All Accounts",BJ326=Settings!$C$28),1,0))</f>
        <v>0</v>
      </c>
      <c r="BQ326" s="66" t="str">
        <f aca="false">IF(BP326=1,SUM(BP$6:BP326),"")</f>
        <v/>
      </c>
      <c r="BR326" s="76" t="str">
        <f aca="false">IF(BP326=1,ROUND(Settings!$C$29+SUMIFS(AM$6:AM326,BP$6:BP326,1),2),"")</f>
        <v/>
      </c>
      <c r="BS326" s="76" t="str">
        <f aca="false">IF(BP326=1,MAX(Settings!$C$29,MAX(BR$6:BR326)),"")</f>
        <v/>
      </c>
      <c r="BT326" s="83" t="str">
        <f aca="false">IF(BP326=1,(BR326-BS326)/BS326,"")</f>
        <v/>
      </c>
      <c r="BU326" s="66" t="str">
        <f aca="false">IF(BP326=1,IF(AL326="Win",1+IF(BQ326=1,0,INDEX(BU$5:BU325,MATCH(BQ326-1,BQ$5:BQ325,0))),0),"")</f>
        <v/>
      </c>
      <c r="BV326" s="66" t="str">
        <f aca="false">IF(BP326=1,IF(AL326="Loss",1+IF(BQ326=1,0,INDEX(BV$5:BV325,MATCH(BQ326-1,BQ$5:BQ325,0))),0),"")</f>
        <v/>
      </c>
    </row>
    <row r="327" customFormat="false" ht="15" hidden="false" customHeight="false" outlineLevel="0" collapsed="false">
      <c r="A327" s="66" t="str">
        <f aca="false">IF(B327="","",ROW()-5)</f>
        <v/>
      </c>
      <c r="B327" s="67"/>
      <c r="C327" s="68" t="str">
        <f aca="false">IF(B327="","",CHOOSE(WEEKDAY(B327,2),"Mon","Tue","Wed","Thu","Fri","Sat","Sun"))</f>
        <v/>
      </c>
      <c r="D327" s="66" t="str">
        <f aca="false">IF(B327="","",WEEKNUM(B327,2))</f>
        <v/>
      </c>
      <c r="E327" s="69"/>
      <c r="F327" s="69"/>
      <c r="G327" s="70"/>
      <c r="H327" s="70"/>
      <c r="I327" s="69"/>
      <c r="J327" s="69"/>
      <c r="K327" s="69"/>
      <c r="L327" s="71"/>
      <c r="M327" s="69"/>
      <c r="N327" s="69"/>
      <c r="O327" s="69"/>
      <c r="P327" s="71"/>
      <c r="Q327" s="69"/>
      <c r="R327" s="69"/>
      <c r="S327" s="69"/>
      <c r="T327" s="69"/>
      <c r="U327" s="69"/>
      <c r="V327" s="69"/>
      <c r="W327" s="69"/>
      <c r="X327" s="66" t="str">
        <f aca="false">IF(B327="","",COUNTIF(Q327:W327,"Yes"))</f>
        <v/>
      </c>
      <c r="Y327" s="68" t="str">
        <f aca="false">IF(B327="","",IF(X327&gt;=Settings!$C$16,"A+",IF(X327&gt;=Settings!$C$17,"A",IF(X327&gt;=Settings!$C$18,"B","C"))))</f>
        <v/>
      </c>
      <c r="Z327" s="72"/>
      <c r="AA327" s="72"/>
      <c r="AB327" s="72"/>
      <c r="AC327" s="72"/>
      <c r="AD327" s="72"/>
      <c r="AE327" s="72"/>
      <c r="AF327" s="73"/>
      <c r="AG327" s="74"/>
      <c r="AH327" s="75"/>
      <c r="AI327" s="76" t="str">
        <f aca="false">IF(B327="","",ROUND(IF(AG327="",Settings!$C$5,AG327)*AW327,2))</f>
        <v/>
      </c>
      <c r="AJ327" s="77" t="str">
        <f aca="false">IF(OR(B327="",AB327="",AC327="",AD327=""),"",IFERROR(ROUND(ABS(AD327-AB327)/ABS(AB327-AC327),2),""))</f>
        <v/>
      </c>
      <c r="AK327" s="78" t="str">
        <f aca="false">IF(OR(B327="",AB327="",AC327="",AE327=""),"",IFERROR(ROUND(IF(J327="Short",AB327-AE327,AE327-AB327)/ABS(AB327-AC327),2),""))</f>
        <v/>
      </c>
      <c r="AL327" s="68" t="str">
        <f aca="false">IF(AK327="","",IF(ABS(AK327)&lt;=Settings!$C$6,"BE",IF(AK327&gt;0,"Win","Loss")))</f>
        <v/>
      </c>
      <c r="AM327" s="79" t="str">
        <f aca="false">IF(OR(AK327="",AI327=""),"",ROUND(AK327*AI327-N(AH327),2))</f>
        <v/>
      </c>
      <c r="AN327" s="76" t="str">
        <f aca="false">IF(AM327="","",ROUND(BK327+SUMIFS(AM$6:AM327,BJ$6:BJ327,BJ327),2))</f>
        <v/>
      </c>
      <c r="AO327" s="78" t="str">
        <f aca="false">IF(AK327="","",ROUND(SUMIFS(AK$6:AK327,BJ$6:BJ327,BJ327),2))</f>
        <v/>
      </c>
      <c r="AP327" s="80" t="str">
        <f aca="false">IF(OR(AK327="",BL327=""),"",IFERROR(ROUND(IF(J327="Short",AB327-AE327,AE327-AB327)/BL327,1),""))</f>
        <v/>
      </c>
      <c r="AQ327" s="66" t="str">
        <f aca="false">IF(OR(G327="",H327=""),"",ROUND(MOD(H327-G327,1)*1440,0))</f>
        <v/>
      </c>
      <c r="AR327" s="68" t="str">
        <f aca="false">IF(AQ327="","",IF(AQ327&lt;15,"Under 15m",IF(AQ327&lt;60,"15-60m",IF(AQ327&lt;240,"1-4 hours","4+ hours"))))</f>
        <v/>
      </c>
      <c r="AS327" s="66" t="str">
        <f aca="false">IF(G327="","",HOUR(G327))</f>
        <v/>
      </c>
      <c r="AT327" s="80" t="str">
        <f aca="false">IF(OR(Z327="",AB327="",BL327=""),"",IFERROR(ROUND(IF(J327="Short",Z327-AB327,AB327-Z327)/BL327,1),""))</f>
        <v/>
      </c>
      <c r="AU327" s="68" t="str">
        <f aca="false">IF(OR(AA327="",AC327=""),"",IF(AA327=AC327,"No","Yes"))</f>
        <v/>
      </c>
      <c r="AV327" s="81" t="str">
        <f aca="false">IF(OR(B327="",BL327="",BM327="",AB327="",AC327=""),"",IFERROR(ROUND(AI327/(ABS(AB327-AC327)/BL327*BM327),2),""))</f>
        <v/>
      </c>
      <c r="AW327" s="76" t="str">
        <f aca="false">IF(B327="","",ROUND(BK327+SUMIFS(AM$5:AM326,BJ$5:BJ326,BJ327),2))</f>
        <v/>
      </c>
      <c r="AX327" s="66" t="str">
        <f aca="false">IF(B327="","",COUNTIFS(B$6:B327,B327,BJ$6:BJ327,BJ327))</f>
        <v/>
      </c>
      <c r="AY327" s="79" t="str">
        <f aca="false">IF(B327="","",ROUND(SUMIFS(AM$5:AM326,B$5:B326,B327,BJ$5:BJ326,BJ327),2))</f>
        <v/>
      </c>
      <c r="AZ327" s="79" t="str">
        <f aca="false">IF(AM327="","",ROUND(AY327+AM327,2))</f>
        <v/>
      </c>
      <c r="BA327" s="79" t="str">
        <f aca="false">IF(B327="","",ROUND(SUMIFS(AM$5:AM326,B$5:B326,"&gt;="&amp;(B327-WEEKDAY(B327,2)+1),B$5:B326,"&lt;="&amp;B327,BJ$5:BJ326,BJ327),2))</f>
        <v/>
      </c>
      <c r="BB327" s="68" t="str">
        <f aca="false">IF(B327="","",IF(AND(AF327&lt;&gt;"",AV327&lt;&gt;"",N(AF327)&gt;N(AV327)*(1+Settings!$C$13)),"Oversized",IF(AX327&gt;Settings!$C$10,"Overtraded",IF(AY327&lt;=-Settings!$C$11*(AW327-AY327),"Daily loss hit",IF(BA327&lt;=-Settings!$C$12*(AW327-BA327),"Weekly loss hit","OK")))))</f>
        <v/>
      </c>
      <c r="BC327" s="69"/>
      <c r="BD327" s="69"/>
      <c r="BE327" s="69"/>
      <c r="BF327" s="73"/>
      <c r="BG327" s="73"/>
      <c r="BH327" s="71"/>
      <c r="BI327" s="71"/>
      <c r="BJ327" s="68" t="str">
        <f aca="false">IF(B327="","",IF(E327="",Settings!$F$5,E327))</f>
        <v/>
      </c>
      <c r="BK327" s="76" t="str">
        <f aca="false">IF(B327="","",IFERROR(INDEX(Settings!$G$5:$G$10,MATCH(BJ327,Settings!$F$5:$F$10,0)),Settings!$G$5))</f>
        <v/>
      </c>
      <c r="BL327" s="82" t="str">
        <f aca="false">IF(I327="","",IFERROR(1/(1/INDEX(Lists!$C$6:$C$17,MATCH(I327,Lists!$B$6:$B$17,0))),""))</f>
        <v/>
      </c>
      <c r="BM327" s="81" t="str">
        <f aca="false">IF(I327="","",IFERROR(1/(1/INDEX(Lists!$D$6:$D$17,MATCH(I327,Lists!$B$6:$B$17,0))),""))</f>
        <v/>
      </c>
      <c r="BN327" s="76" t="str">
        <f aca="false">IF(AN327="","",MAX(BK327,_xlfn.MAXIFS(AN$6:AN327,BJ$6:BJ327,BJ327)))</f>
        <v/>
      </c>
      <c r="BO327" s="83" t="str">
        <f aca="false">IF(AN327="","",(AN327-BN327)/BN327)</f>
        <v/>
      </c>
      <c r="BP327" s="66" t="n">
        <f aca="false">IF(OR(B327="",AL327=""),0,IF(OR(Settings!$C$28="All Accounts",BJ327=Settings!$C$28),1,0))</f>
        <v>0</v>
      </c>
      <c r="BQ327" s="66" t="str">
        <f aca="false">IF(BP327=1,SUM(BP$6:BP327),"")</f>
        <v/>
      </c>
      <c r="BR327" s="76" t="str">
        <f aca="false">IF(BP327=1,ROUND(Settings!$C$29+SUMIFS(AM$6:AM327,BP$6:BP327,1),2),"")</f>
        <v/>
      </c>
      <c r="BS327" s="76" t="str">
        <f aca="false">IF(BP327=1,MAX(Settings!$C$29,MAX(BR$6:BR327)),"")</f>
        <v/>
      </c>
      <c r="BT327" s="83" t="str">
        <f aca="false">IF(BP327=1,(BR327-BS327)/BS327,"")</f>
        <v/>
      </c>
      <c r="BU327" s="66" t="str">
        <f aca="false">IF(BP327=1,IF(AL327="Win",1+IF(BQ327=1,0,INDEX(BU$5:BU326,MATCH(BQ327-1,BQ$5:BQ326,0))),0),"")</f>
        <v/>
      </c>
      <c r="BV327" s="66" t="str">
        <f aca="false">IF(BP327=1,IF(AL327="Loss",1+IF(BQ327=1,0,INDEX(BV$5:BV326,MATCH(BQ327-1,BQ$5:BQ326,0))),0),"")</f>
        <v/>
      </c>
    </row>
    <row r="328" customFormat="false" ht="15" hidden="false" customHeight="false" outlineLevel="0" collapsed="false">
      <c r="A328" s="66" t="str">
        <f aca="false">IF(B328="","",ROW()-5)</f>
        <v/>
      </c>
      <c r="B328" s="67"/>
      <c r="C328" s="68" t="str">
        <f aca="false">IF(B328="","",CHOOSE(WEEKDAY(B328,2),"Mon","Tue","Wed","Thu","Fri","Sat","Sun"))</f>
        <v/>
      </c>
      <c r="D328" s="66" t="str">
        <f aca="false">IF(B328="","",WEEKNUM(B328,2))</f>
        <v/>
      </c>
      <c r="E328" s="69"/>
      <c r="F328" s="69"/>
      <c r="G328" s="70"/>
      <c r="H328" s="70"/>
      <c r="I328" s="69"/>
      <c r="J328" s="69"/>
      <c r="K328" s="69"/>
      <c r="L328" s="71"/>
      <c r="M328" s="69"/>
      <c r="N328" s="69"/>
      <c r="O328" s="69"/>
      <c r="P328" s="71"/>
      <c r="Q328" s="69"/>
      <c r="R328" s="69"/>
      <c r="S328" s="69"/>
      <c r="T328" s="69"/>
      <c r="U328" s="69"/>
      <c r="V328" s="69"/>
      <c r="W328" s="69"/>
      <c r="X328" s="66" t="str">
        <f aca="false">IF(B328="","",COUNTIF(Q328:W328,"Yes"))</f>
        <v/>
      </c>
      <c r="Y328" s="68" t="str">
        <f aca="false">IF(B328="","",IF(X328&gt;=Settings!$C$16,"A+",IF(X328&gt;=Settings!$C$17,"A",IF(X328&gt;=Settings!$C$18,"B","C"))))</f>
        <v/>
      </c>
      <c r="Z328" s="72"/>
      <c r="AA328" s="72"/>
      <c r="AB328" s="72"/>
      <c r="AC328" s="72"/>
      <c r="AD328" s="72"/>
      <c r="AE328" s="72"/>
      <c r="AF328" s="73"/>
      <c r="AG328" s="74"/>
      <c r="AH328" s="75"/>
      <c r="AI328" s="76" t="str">
        <f aca="false">IF(B328="","",ROUND(IF(AG328="",Settings!$C$5,AG328)*AW328,2))</f>
        <v/>
      </c>
      <c r="AJ328" s="77" t="str">
        <f aca="false">IF(OR(B328="",AB328="",AC328="",AD328=""),"",IFERROR(ROUND(ABS(AD328-AB328)/ABS(AB328-AC328),2),""))</f>
        <v/>
      </c>
      <c r="AK328" s="78" t="str">
        <f aca="false">IF(OR(B328="",AB328="",AC328="",AE328=""),"",IFERROR(ROUND(IF(J328="Short",AB328-AE328,AE328-AB328)/ABS(AB328-AC328),2),""))</f>
        <v/>
      </c>
      <c r="AL328" s="68" t="str">
        <f aca="false">IF(AK328="","",IF(ABS(AK328)&lt;=Settings!$C$6,"BE",IF(AK328&gt;0,"Win","Loss")))</f>
        <v/>
      </c>
      <c r="AM328" s="79" t="str">
        <f aca="false">IF(OR(AK328="",AI328=""),"",ROUND(AK328*AI328-N(AH328),2))</f>
        <v/>
      </c>
      <c r="AN328" s="76" t="str">
        <f aca="false">IF(AM328="","",ROUND(BK328+SUMIFS(AM$6:AM328,BJ$6:BJ328,BJ328),2))</f>
        <v/>
      </c>
      <c r="AO328" s="78" t="str">
        <f aca="false">IF(AK328="","",ROUND(SUMIFS(AK$6:AK328,BJ$6:BJ328,BJ328),2))</f>
        <v/>
      </c>
      <c r="AP328" s="80" t="str">
        <f aca="false">IF(OR(AK328="",BL328=""),"",IFERROR(ROUND(IF(J328="Short",AB328-AE328,AE328-AB328)/BL328,1),""))</f>
        <v/>
      </c>
      <c r="AQ328" s="66" t="str">
        <f aca="false">IF(OR(G328="",H328=""),"",ROUND(MOD(H328-G328,1)*1440,0))</f>
        <v/>
      </c>
      <c r="AR328" s="68" t="str">
        <f aca="false">IF(AQ328="","",IF(AQ328&lt;15,"Under 15m",IF(AQ328&lt;60,"15-60m",IF(AQ328&lt;240,"1-4 hours","4+ hours"))))</f>
        <v/>
      </c>
      <c r="AS328" s="66" t="str">
        <f aca="false">IF(G328="","",HOUR(G328))</f>
        <v/>
      </c>
      <c r="AT328" s="80" t="str">
        <f aca="false">IF(OR(Z328="",AB328="",BL328=""),"",IFERROR(ROUND(IF(J328="Short",Z328-AB328,AB328-Z328)/BL328,1),""))</f>
        <v/>
      </c>
      <c r="AU328" s="68" t="str">
        <f aca="false">IF(OR(AA328="",AC328=""),"",IF(AA328=AC328,"No","Yes"))</f>
        <v/>
      </c>
      <c r="AV328" s="81" t="str">
        <f aca="false">IF(OR(B328="",BL328="",BM328="",AB328="",AC328=""),"",IFERROR(ROUND(AI328/(ABS(AB328-AC328)/BL328*BM328),2),""))</f>
        <v/>
      </c>
      <c r="AW328" s="76" t="str">
        <f aca="false">IF(B328="","",ROUND(BK328+SUMIFS(AM$5:AM327,BJ$5:BJ327,BJ328),2))</f>
        <v/>
      </c>
      <c r="AX328" s="66" t="str">
        <f aca="false">IF(B328="","",COUNTIFS(B$6:B328,B328,BJ$6:BJ328,BJ328))</f>
        <v/>
      </c>
      <c r="AY328" s="79" t="str">
        <f aca="false">IF(B328="","",ROUND(SUMIFS(AM$5:AM327,B$5:B327,B328,BJ$5:BJ327,BJ328),2))</f>
        <v/>
      </c>
      <c r="AZ328" s="79" t="str">
        <f aca="false">IF(AM328="","",ROUND(AY328+AM328,2))</f>
        <v/>
      </c>
      <c r="BA328" s="79" t="str">
        <f aca="false">IF(B328="","",ROUND(SUMIFS(AM$5:AM327,B$5:B327,"&gt;="&amp;(B328-WEEKDAY(B328,2)+1),B$5:B327,"&lt;="&amp;B328,BJ$5:BJ327,BJ328),2))</f>
        <v/>
      </c>
      <c r="BB328" s="68" t="str">
        <f aca="false">IF(B328="","",IF(AND(AF328&lt;&gt;"",AV328&lt;&gt;"",N(AF328)&gt;N(AV328)*(1+Settings!$C$13)),"Oversized",IF(AX328&gt;Settings!$C$10,"Overtraded",IF(AY328&lt;=-Settings!$C$11*(AW328-AY328),"Daily loss hit",IF(BA328&lt;=-Settings!$C$12*(AW328-BA328),"Weekly loss hit","OK")))))</f>
        <v/>
      </c>
      <c r="BC328" s="69"/>
      <c r="BD328" s="69"/>
      <c r="BE328" s="69"/>
      <c r="BF328" s="73"/>
      <c r="BG328" s="73"/>
      <c r="BH328" s="71"/>
      <c r="BI328" s="71"/>
      <c r="BJ328" s="68" t="str">
        <f aca="false">IF(B328="","",IF(E328="",Settings!$F$5,E328))</f>
        <v/>
      </c>
      <c r="BK328" s="76" t="str">
        <f aca="false">IF(B328="","",IFERROR(INDEX(Settings!$G$5:$G$10,MATCH(BJ328,Settings!$F$5:$F$10,0)),Settings!$G$5))</f>
        <v/>
      </c>
      <c r="BL328" s="82" t="str">
        <f aca="false">IF(I328="","",IFERROR(1/(1/INDEX(Lists!$C$6:$C$17,MATCH(I328,Lists!$B$6:$B$17,0))),""))</f>
        <v/>
      </c>
      <c r="BM328" s="81" t="str">
        <f aca="false">IF(I328="","",IFERROR(1/(1/INDEX(Lists!$D$6:$D$17,MATCH(I328,Lists!$B$6:$B$17,0))),""))</f>
        <v/>
      </c>
      <c r="BN328" s="76" t="str">
        <f aca="false">IF(AN328="","",MAX(BK328,_xlfn.MAXIFS(AN$6:AN328,BJ$6:BJ328,BJ328)))</f>
        <v/>
      </c>
      <c r="BO328" s="83" t="str">
        <f aca="false">IF(AN328="","",(AN328-BN328)/BN328)</f>
        <v/>
      </c>
      <c r="BP328" s="66" t="n">
        <f aca="false">IF(OR(B328="",AL328=""),0,IF(OR(Settings!$C$28="All Accounts",BJ328=Settings!$C$28),1,0))</f>
        <v>0</v>
      </c>
      <c r="BQ328" s="66" t="str">
        <f aca="false">IF(BP328=1,SUM(BP$6:BP328),"")</f>
        <v/>
      </c>
      <c r="BR328" s="76" t="str">
        <f aca="false">IF(BP328=1,ROUND(Settings!$C$29+SUMIFS(AM$6:AM328,BP$6:BP328,1),2),"")</f>
        <v/>
      </c>
      <c r="BS328" s="76" t="str">
        <f aca="false">IF(BP328=1,MAX(Settings!$C$29,MAX(BR$6:BR328)),"")</f>
        <v/>
      </c>
      <c r="BT328" s="83" t="str">
        <f aca="false">IF(BP328=1,(BR328-BS328)/BS328,"")</f>
        <v/>
      </c>
      <c r="BU328" s="66" t="str">
        <f aca="false">IF(BP328=1,IF(AL328="Win",1+IF(BQ328=1,0,INDEX(BU$5:BU327,MATCH(BQ328-1,BQ$5:BQ327,0))),0),"")</f>
        <v/>
      </c>
      <c r="BV328" s="66" t="str">
        <f aca="false">IF(BP328=1,IF(AL328="Loss",1+IF(BQ328=1,0,INDEX(BV$5:BV327,MATCH(BQ328-1,BQ$5:BQ327,0))),0),"")</f>
        <v/>
      </c>
    </row>
    <row r="329" customFormat="false" ht="15" hidden="false" customHeight="false" outlineLevel="0" collapsed="false">
      <c r="A329" s="66" t="str">
        <f aca="false">IF(B329="","",ROW()-5)</f>
        <v/>
      </c>
      <c r="B329" s="67"/>
      <c r="C329" s="68" t="str">
        <f aca="false">IF(B329="","",CHOOSE(WEEKDAY(B329,2),"Mon","Tue","Wed","Thu","Fri","Sat","Sun"))</f>
        <v/>
      </c>
      <c r="D329" s="66" t="str">
        <f aca="false">IF(B329="","",WEEKNUM(B329,2))</f>
        <v/>
      </c>
      <c r="E329" s="69"/>
      <c r="F329" s="69"/>
      <c r="G329" s="70"/>
      <c r="H329" s="70"/>
      <c r="I329" s="69"/>
      <c r="J329" s="69"/>
      <c r="K329" s="69"/>
      <c r="L329" s="71"/>
      <c r="M329" s="69"/>
      <c r="N329" s="69"/>
      <c r="O329" s="69"/>
      <c r="P329" s="71"/>
      <c r="Q329" s="69"/>
      <c r="R329" s="69"/>
      <c r="S329" s="69"/>
      <c r="T329" s="69"/>
      <c r="U329" s="69"/>
      <c r="V329" s="69"/>
      <c r="W329" s="69"/>
      <c r="X329" s="66" t="str">
        <f aca="false">IF(B329="","",COUNTIF(Q329:W329,"Yes"))</f>
        <v/>
      </c>
      <c r="Y329" s="68" t="str">
        <f aca="false">IF(B329="","",IF(X329&gt;=Settings!$C$16,"A+",IF(X329&gt;=Settings!$C$17,"A",IF(X329&gt;=Settings!$C$18,"B","C"))))</f>
        <v/>
      </c>
      <c r="Z329" s="72"/>
      <c r="AA329" s="72"/>
      <c r="AB329" s="72"/>
      <c r="AC329" s="72"/>
      <c r="AD329" s="72"/>
      <c r="AE329" s="72"/>
      <c r="AF329" s="73"/>
      <c r="AG329" s="74"/>
      <c r="AH329" s="75"/>
      <c r="AI329" s="76" t="str">
        <f aca="false">IF(B329="","",ROUND(IF(AG329="",Settings!$C$5,AG329)*AW329,2))</f>
        <v/>
      </c>
      <c r="AJ329" s="77" t="str">
        <f aca="false">IF(OR(B329="",AB329="",AC329="",AD329=""),"",IFERROR(ROUND(ABS(AD329-AB329)/ABS(AB329-AC329),2),""))</f>
        <v/>
      </c>
      <c r="AK329" s="78" t="str">
        <f aca="false">IF(OR(B329="",AB329="",AC329="",AE329=""),"",IFERROR(ROUND(IF(J329="Short",AB329-AE329,AE329-AB329)/ABS(AB329-AC329),2),""))</f>
        <v/>
      </c>
      <c r="AL329" s="68" t="str">
        <f aca="false">IF(AK329="","",IF(ABS(AK329)&lt;=Settings!$C$6,"BE",IF(AK329&gt;0,"Win","Loss")))</f>
        <v/>
      </c>
      <c r="AM329" s="79" t="str">
        <f aca="false">IF(OR(AK329="",AI329=""),"",ROUND(AK329*AI329-N(AH329),2))</f>
        <v/>
      </c>
      <c r="AN329" s="76" t="str">
        <f aca="false">IF(AM329="","",ROUND(BK329+SUMIFS(AM$6:AM329,BJ$6:BJ329,BJ329),2))</f>
        <v/>
      </c>
      <c r="AO329" s="78" t="str">
        <f aca="false">IF(AK329="","",ROUND(SUMIFS(AK$6:AK329,BJ$6:BJ329,BJ329),2))</f>
        <v/>
      </c>
      <c r="AP329" s="80" t="str">
        <f aca="false">IF(OR(AK329="",BL329=""),"",IFERROR(ROUND(IF(J329="Short",AB329-AE329,AE329-AB329)/BL329,1),""))</f>
        <v/>
      </c>
      <c r="AQ329" s="66" t="str">
        <f aca="false">IF(OR(G329="",H329=""),"",ROUND(MOD(H329-G329,1)*1440,0))</f>
        <v/>
      </c>
      <c r="AR329" s="68" t="str">
        <f aca="false">IF(AQ329="","",IF(AQ329&lt;15,"Under 15m",IF(AQ329&lt;60,"15-60m",IF(AQ329&lt;240,"1-4 hours","4+ hours"))))</f>
        <v/>
      </c>
      <c r="AS329" s="66" t="str">
        <f aca="false">IF(G329="","",HOUR(G329))</f>
        <v/>
      </c>
      <c r="AT329" s="80" t="str">
        <f aca="false">IF(OR(Z329="",AB329="",BL329=""),"",IFERROR(ROUND(IF(J329="Short",Z329-AB329,AB329-Z329)/BL329,1),""))</f>
        <v/>
      </c>
      <c r="AU329" s="68" t="str">
        <f aca="false">IF(OR(AA329="",AC329=""),"",IF(AA329=AC329,"No","Yes"))</f>
        <v/>
      </c>
      <c r="AV329" s="81" t="str">
        <f aca="false">IF(OR(B329="",BL329="",BM329="",AB329="",AC329=""),"",IFERROR(ROUND(AI329/(ABS(AB329-AC329)/BL329*BM329),2),""))</f>
        <v/>
      </c>
      <c r="AW329" s="76" t="str">
        <f aca="false">IF(B329="","",ROUND(BK329+SUMIFS(AM$5:AM328,BJ$5:BJ328,BJ329),2))</f>
        <v/>
      </c>
      <c r="AX329" s="66" t="str">
        <f aca="false">IF(B329="","",COUNTIFS(B$6:B329,B329,BJ$6:BJ329,BJ329))</f>
        <v/>
      </c>
      <c r="AY329" s="79" t="str">
        <f aca="false">IF(B329="","",ROUND(SUMIFS(AM$5:AM328,B$5:B328,B329,BJ$5:BJ328,BJ329),2))</f>
        <v/>
      </c>
      <c r="AZ329" s="79" t="str">
        <f aca="false">IF(AM329="","",ROUND(AY329+AM329,2))</f>
        <v/>
      </c>
      <c r="BA329" s="79" t="str">
        <f aca="false">IF(B329="","",ROUND(SUMIFS(AM$5:AM328,B$5:B328,"&gt;="&amp;(B329-WEEKDAY(B329,2)+1),B$5:B328,"&lt;="&amp;B329,BJ$5:BJ328,BJ329),2))</f>
        <v/>
      </c>
      <c r="BB329" s="68" t="str">
        <f aca="false">IF(B329="","",IF(AND(AF329&lt;&gt;"",AV329&lt;&gt;"",N(AF329)&gt;N(AV329)*(1+Settings!$C$13)),"Oversized",IF(AX329&gt;Settings!$C$10,"Overtraded",IF(AY329&lt;=-Settings!$C$11*(AW329-AY329),"Daily loss hit",IF(BA329&lt;=-Settings!$C$12*(AW329-BA329),"Weekly loss hit","OK")))))</f>
        <v/>
      </c>
      <c r="BC329" s="69"/>
      <c r="BD329" s="69"/>
      <c r="BE329" s="69"/>
      <c r="BF329" s="73"/>
      <c r="BG329" s="73"/>
      <c r="BH329" s="71"/>
      <c r="BI329" s="71"/>
      <c r="BJ329" s="68" t="str">
        <f aca="false">IF(B329="","",IF(E329="",Settings!$F$5,E329))</f>
        <v/>
      </c>
      <c r="BK329" s="76" t="str">
        <f aca="false">IF(B329="","",IFERROR(INDEX(Settings!$G$5:$G$10,MATCH(BJ329,Settings!$F$5:$F$10,0)),Settings!$G$5))</f>
        <v/>
      </c>
      <c r="BL329" s="82" t="str">
        <f aca="false">IF(I329="","",IFERROR(1/(1/INDEX(Lists!$C$6:$C$17,MATCH(I329,Lists!$B$6:$B$17,0))),""))</f>
        <v/>
      </c>
      <c r="BM329" s="81" t="str">
        <f aca="false">IF(I329="","",IFERROR(1/(1/INDEX(Lists!$D$6:$D$17,MATCH(I329,Lists!$B$6:$B$17,0))),""))</f>
        <v/>
      </c>
      <c r="BN329" s="76" t="str">
        <f aca="false">IF(AN329="","",MAX(BK329,_xlfn.MAXIFS(AN$6:AN329,BJ$6:BJ329,BJ329)))</f>
        <v/>
      </c>
      <c r="BO329" s="83" t="str">
        <f aca="false">IF(AN329="","",(AN329-BN329)/BN329)</f>
        <v/>
      </c>
      <c r="BP329" s="66" t="n">
        <f aca="false">IF(OR(B329="",AL329=""),0,IF(OR(Settings!$C$28="All Accounts",BJ329=Settings!$C$28),1,0))</f>
        <v>0</v>
      </c>
      <c r="BQ329" s="66" t="str">
        <f aca="false">IF(BP329=1,SUM(BP$6:BP329),"")</f>
        <v/>
      </c>
      <c r="BR329" s="76" t="str">
        <f aca="false">IF(BP329=1,ROUND(Settings!$C$29+SUMIFS(AM$6:AM329,BP$6:BP329,1),2),"")</f>
        <v/>
      </c>
      <c r="BS329" s="76" t="str">
        <f aca="false">IF(BP329=1,MAX(Settings!$C$29,MAX(BR$6:BR329)),"")</f>
        <v/>
      </c>
      <c r="BT329" s="83" t="str">
        <f aca="false">IF(BP329=1,(BR329-BS329)/BS329,"")</f>
        <v/>
      </c>
      <c r="BU329" s="66" t="str">
        <f aca="false">IF(BP329=1,IF(AL329="Win",1+IF(BQ329=1,0,INDEX(BU$5:BU328,MATCH(BQ329-1,BQ$5:BQ328,0))),0),"")</f>
        <v/>
      </c>
      <c r="BV329" s="66" t="str">
        <f aca="false">IF(BP329=1,IF(AL329="Loss",1+IF(BQ329=1,0,INDEX(BV$5:BV328,MATCH(BQ329-1,BQ$5:BQ328,0))),0),"")</f>
        <v/>
      </c>
    </row>
    <row r="330" customFormat="false" ht="15" hidden="false" customHeight="false" outlineLevel="0" collapsed="false">
      <c r="A330" s="66" t="str">
        <f aca="false">IF(B330="","",ROW()-5)</f>
        <v/>
      </c>
      <c r="B330" s="67"/>
      <c r="C330" s="68" t="str">
        <f aca="false">IF(B330="","",CHOOSE(WEEKDAY(B330,2),"Mon","Tue","Wed","Thu","Fri","Sat","Sun"))</f>
        <v/>
      </c>
      <c r="D330" s="66" t="str">
        <f aca="false">IF(B330="","",WEEKNUM(B330,2))</f>
        <v/>
      </c>
      <c r="E330" s="69"/>
      <c r="F330" s="69"/>
      <c r="G330" s="70"/>
      <c r="H330" s="70"/>
      <c r="I330" s="69"/>
      <c r="J330" s="69"/>
      <c r="K330" s="69"/>
      <c r="L330" s="71"/>
      <c r="M330" s="69"/>
      <c r="N330" s="69"/>
      <c r="O330" s="69"/>
      <c r="P330" s="71"/>
      <c r="Q330" s="69"/>
      <c r="R330" s="69"/>
      <c r="S330" s="69"/>
      <c r="T330" s="69"/>
      <c r="U330" s="69"/>
      <c r="V330" s="69"/>
      <c r="W330" s="69"/>
      <c r="X330" s="66" t="str">
        <f aca="false">IF(B330="","",COUNTIF(Q330:W330,"Yes"))</f>
        <v/>
      </c>
      <c r="Y330" s="68" t="str">
        <f aca="false">IF(B330="","",IF(X330&gt;=Settings!$C$16,"A+",IF(X330&gt;=Settings!$C$17,"A",IF(X330&gt;=Settings!$C$18,"B","C"))))</f>
        <v/>
      </c>
      <c r="Z330" s="72"/>
      <c r="AA330" s="72"/>
      <c r="AB330" s="72"/>
      <c r="AC330" s="72"/>
      <c r="AD330" s="72"/>
      <c r="AE330" s="72"/>
      <c r="AF330" s="73"/>
      <c r="AG330" s="74"/>
      <c r="AH330" s="75"/>
      <c r="AI330" s="76" t="str">
        <f aca="false">IF(B330="","",ROUND(IF(AG330="",Settings!$C$5,AG330)*AW330,2))</f>
        <v/>
      </c>
      <c r="AJ330" s="77" t="str">
        <f aca="false">IF(OR(B330="",AB330="",AC330="",AD330=""),"",IFERROR(ROUND(ABS(AD330-AB330)/ABS(AB330-AC330),2),""))</f>
        <v/>
      </c>
      <c r="AK330" s="78" t="str">
        <f aca="false">IF(OR(B330="",AB330="",AC330="",AE330=""),"",IFERROR(ROUND(IF(J330="Short",AB330-AE330,AE330-AB330)/ABS(AB330-AC330),2),""))</f>
        <v/>
      </c>
      <c r="AL330" s="68" t="str">
        <f aca="false">IF(AK330="","",IF(ABS(AK330)&lt;=Settings!$C$6,"BE",IF(AK330&gt;0,"Win","Loss")))</f>
        <v/>
      </c>
      <c r="AM330" s="79" t="str">
        <f aca="false">IF(OR(AK330="",AI330=""),"",ROUND(AK330*AI330-N(AH330),2))</f>
        <v/>
      </c>
      <c r="AN330" s="76" t="str">
        <f aca="false">IF(AM330="","",ROUND(BK330+SUMIFS(AM$6:AM330,BJ$6:BJ330,BJ330),2))</f>
        <v/>
      </c>
      <c r="AO330" s="78" t="str">
        <f aca="false">IF(AK330="","",ROUND(SUMIFS(AK$6:AK330,BJ$6:BJ330,BJ330),2))</f>
        <v/>
      </c>
      <c r="AP330" s="80" t="str">
        <f aca="false">IF(OR(AK330="",BL330=""),"",IFERROR(ROUND(IF(J330="Short",AB330-AE330,AE330-AB330)/BL330,1),""))</f>
        <v/>
      </c>
      <c r="AQ330" s="66" t="str">
        <f aca="false">IF(OR(G330="",H330=""),"",ROUND(MOD(H330-G330,1)*1440,0))</f>
        <v/>
      </c>
      <c r="AR330" s="68" t="str">
        <f aca="false">IF(AQ330="","",IF(AQ330&lt;15,"Under 15m",IF(AQ330&lt;60,"15-60m",IF(AQ330&lt;240,"1-4 hours","4+ hours"))))</f>
        <v/>
      </c>
      <c r="AS330" s="66" t="str">
        <f aca="false">IF(G330="","",HOUR(G330))</f>
        <v/>
      </c>
      <c r="AT330" s="80" t="str">
        <f aca="false">IF(OR(Z330="",AB330="",BL330=""),"",IFERROR(ROUND(IF(J330="Short",Z330-AB330,AB330-Z330)/BL330,1),""))</f>
        <v/>
      </c>
      <c r="AU330" s="68" t="str">
        <f aca="false">IF(OR(AA330="",AC330=""),"",IF(AA330=AC330,"No","Yes"))</f>
        <v/>
      </c>
      <c r="AV330" s="81" t="str">
        <f aca="false">IF(OR(B330="",BL330="",BM330="",AB330="",AC330=""),"",IFERROR(ROUND(AI330/(ABS(AB330-AC330)/BL330*BM330),2),""))</f>
        <v/>
      </c>
      <c r="AW330" s="76" t="str">
        <f aca="false">IF(B330="","",ROUND(BK330+SUMIFS(AM$5:AM329,BJ$5:BJ329,BJ330),2))</f>
        <v/>
      </c>
      <c r="AX330" s="66" t="str">
        <f aca="false">IF(B330="","",COUNTIFS(B$6:B330,B330,BJ$6:BJ330,BJ330))</f>
        <v/>
      </c>
      <c r="AY330" s="79" t="str">
        <f aca="false">IF(B330="","",ROUND(SUMIFS(AM$5:AM329,B$5:B329,B330,BJ$5:BJ329,BJ330),2))</f>
        <v/>
      </c>
      <c r="AZ330" s="79" t="str">
        <f aca="false">IF(AM330="","",ROUND(AY330+AM330,2))</f>
        <v/>
      </c>
      <c r="BA330" s="79" t="str">
        <f aca="false">IF(B330="","",ROUND(SUMIFS(AM$5:AM329,B$5:B329,"&gt;="&amp;(B330-WEEKDAY(B330,2)+1),B$5:B329,"&lt;="&amp;B330,BJ$5:BJ329,BJ330),2))</f>
        <v/>
      </c>
      <c r="BB330" s="68" t="str">
        <f aca="false">IF(B330="","",IF(AND(AF330&lt;&gt;"",AV330&lt;&gt;"",N(AF330)&gt;N(AV330)*(1+Settings!$C$13)),"Oversized",IF(AX330&gt;Settings!$C$10,"Overtraded",IF(AY330&lt;=-Settings!$C$11*(AW330-AY330),"Daily loss hit",IF(BA330&lt;=-Settings!$C$12*(AW330-BA330),"Weekly loss hit","OK")))))</f>
        <v/>
      </c>
      <c r="BC330" s="69"/>
      <c r="BD330" s="69"/>
      <c r="BE330" s="69"/>
      <c r="BF330" s="73"/>
      <c r="BG330" s="73"/>
      <c r="BH330" s="71"/>
      <c r="BI330" s="71"/>
      <c r="BJ330" s="68" t="str">
        <f aca="false">IF(B330="","",IF(E330="",Settings!$F$5,E330))</f>
        <v/>
      </c>
      <c r="BK330" s="76" t="str">
        <f aca="false">IF(B330="","",IFERROR(INDEX(Settings!$G$5:$G$10,MATCH(BJ330,Settings!$F$5:$F$10,0)),Settings!$G$5))</f>
        <v/>
      </c>
      <c r="BL330" s="82" t="str">
        <f aca="false">IF(I330="","",IFERROR(1/(1/INDEX(Lists!$C$6:$C$17,MATCH(I330,Lists!$B$6:$B$17,0))),""))</f>
        <v/>
      </c>
      <c r="BM330" s="81" t="str">
        <f aca="false">IF(I330="","",IFERROR(1/(1/INDEX(Lists!$D$6:$D$17,MATCH(I330,Lists!$B$6:$B$17,0))),""))</f>
        <v/>
      </c>
      <c r="BN330" s="76" t="str">
        <f aca="false">IF(AN330="","",MAX(BK330,_xlfn.MAXIFS(AN$6:AN330,BJ$6:BJ330,BJ330)))</f>
        <v/>
      </c>
      <c r="BO330" s="83" t="str">
        <f aca="false">IF(AN330="","",(AN330-BN330)/BN330)</f>
        <v/>
      </c>
      <c r="BP330" s="66" t="n">
        <f aca="false">IF(OR(B330="",AL330=""),0,IF(OR(Settings!$C$28="All Accounts",BJ330=Settings!$C$28),1,0))</f>
        <v>0</v>
      </c>
      <c r="BQ330" s="66" t="str">
        <f aca="false">IF(BP330=1,SUM(BP$6:BP330),"")</f>
        <v/>
      </c>
      <c r="BR330" s="76" t="str">
        <f aca="false">IF(BP330=1,ROUND(Settings!$C$29+SUMIFS(AM$6:AM330,BP$6:BP330,1),2),"")</f>
        <v/>
      </c>
      <c r="BS330" s="76" t="str">
        <f aca="false">IF(BP330=1,MAX(Settings!$C$29,MAX(BR$6:BR330)),"")</f>
        <v/>
      </c>
      <c r="BT330" s="83" t="str">
        <f aca="false">IF(BP330=1,(BR330-BS330)/BS330,"")</f>
        <v/>
      </c>
      <c r="BU330" s="66" t="str">
        <f aca="false">IF(BP330=1,IF(AL330="Win",1+IF(BQ330=1,0,INDEX(BU$5:BU329,MATCH(BQ330-1,BQ$5:BQ329,0))),0),"")</f>
        <v/>
      </c>
      <c r="BV330" s="66" t="str">
        <f aca="false">IF(BP330=1,IF(AL330="Loss",1+IF(BQ330=1,0,INDEX(BV$5:BV329,MATCH(BQ330-1,BQ$5:BQ329,0))),0),"")</f>
        <v/>
      </c>
    </row>
    <row r="331" customFormat="false" ht="15" hidden="false" customHeight="false" outlineLevel="0" collapsed="false">
      <c r="A331" s="66" t="str">
        <f aca="false">IF(B331="","",ROW()-5)</f>
        <v/>
      </c>
      <c r="B331" s="67"/>
      <c r="C331" s="68" t="str">
        <f aca="false">IF(B331="","",CHOOSE(WEEKDAY(B331,2),"Mon","Tue","Wed","Thu","Fri","Sat","Sun"))</f>
        <v/>
      </c>
      <c r="D331" s="66" t="str">
        <f aca="false">IF(B331="","",WEEKNUM(B331,2))</f>
        <v/>
      </c>
      <c r="E331" s="69"/>
      <c r="F331" s="69"/>
      <c r="G331" s="70"/>
      <c r="H331" s="70"/>
      <c r="I331" s="69"/>
      <c r="J331" s="69"/>
      <c r="K331" s="69"/>
      <c r="L331" s="71"/>
      <c r="M331" s="69"/>
      <c r="N331" s="69"/>
      <c r="O331" s="69"/>
      <c r="P331" s="71"/>
      <c r="Q331" s="69"/>
      <c r="R331" s="69"/>
      <c r="S331" s="69"/>
      <c r="T331" s="69"/>
      <c r="U331" s="69"/>
      <c r="V331" s="69"/>
      <c r="W331" s="69"/>
      <c r="X331" s="66" t="str">
        <f aca="false">IF(B331="","",COUNTIF(Q331:W331,"Yes"))</f>
        <v/>
      </c>
      <c r="Y331" s="68" t="str">
        <f aca="false">IF(B331="","",IF(X331&gt;=Settings!$C$16,"A+",IF(X331&gt;=Settings!$C$17,"A",IF(X331&gt;=Settings!$C$18,"B","C"))))</f>
        <v/>
      </c>
      <c r="Z331" s="72"/>
      <c r="AA331" s="72"/>
      <c r="AB331" s="72"/>
      <c r="AC331" s="72"/>
      <c r="AD331" s="72"/>
      <c r="AE331" s="72"/>
      <c r="AF331" s="73"/>
      <c r="AG331" s="74"/>
      <c r="AH331" s="75"/>
      <c r="AI331" s="76" t="str">
        <f aca="false">IF(B331="","",ROUND(IF(AG331="",Settings!$C$5,AG331)*AW331,2))</f>
        <v/>
      </c>
      <c r="AJ331" s="77" t="str">
        <f aca="false">IF(OR(B331="",AB331="",AC331="",AD331=""),"",IFERROR(ROUND(ABS(AD331-AB331)/ABS(AB331-AC331),2),""))</f>
        <v/>
      </c>
      <c r="AK331" s="78" t="str">
        <f aca="false">IF(OR(B331="",AB331="",AC331="",AE331=""),"",IFERROR(ROUND(IF(J331="Short",AB331-AE331,AE331-AB331)/ABS(AB331-AC331),2),""))</f>
        <v/>
      </c>
      <c r="AL331" s="68" t="str">
        <f aca="false">IF(AK331="","",IF(ABS(AK331)&lt;=Settings!$C$6,"BE",IF(AK331&gt;0,"Win","Loss")))</f>
        <v/>
      </c>
      <c r="AM331" s="79" t="str">
        <f aca="false">IF(OR(AK331="",AI331=""),"",ROUND(AK331*AI331-N(AH331),2))</f>
        <v/>
      </c>
      <c r="AN331" s="76" t="str">
        <f aca="false">IF(AM331="","",ROUND(BK331+SUMIFS(AM$6:AM331,BJ$6:BJ331,BJ331),2))</f>
        <v/>
      </c>
      <c r="AO331" s="78" t="str">
        <f aca="false">IF(AK331="","",ROUND(SUMIFS(AK$6:AK331,BJ$6:BJ331,BJ331),2))</f>
        <v/>
      </c>
      <c r="AP331" s="80" t="str">
        <f aca="false">IF(OR(AK331="",BL331=""),"",IFERROR(ROUND(IF(J331="Short",AB331-AE331,AE331-AB331)/BL331,1),""))</f>
        <v/>
      </c>
      <c r="AQ331" s="66" t="str">
        <f aca="false">IF(OR(G331="",H331=""),"",ROUND(MOD(H331-G331,1)*1440,0))</f>
        <v/>
      </c>
      <c r="AR331" s="68" t="str">
        <f aca="false">IF(AQ331="","",IF(AQ331&lt;15,"Under 15m",IF(AQ331&lt;60,"15-60m",IF(AQ331&lt;240,"1-4 hours","4+ hours"))))</f>
        <v/>
      </c>
      <c r="AS331" s="66" t="str">
        <f aca="false">IF(G331="","",HOUR(G331))</f>
        <v/>
      </c>
      <c r="AT331" s="80" t="str">
        <f aca="false">IF(OR(Z331="",AB331="",BL331=""),"",IFERROR(ROUND(IF(J331="Short",Z331-AB331,AB331-Z331)/BL331,1),""))</f>
        <v/>
      </c>
      <c r="AU331" s="68" t="str">
        <f aca="false">IF(OR(AA331="",AC331=""),"",IF(AA331=AC331,"No","Yes"))</f>
        <v/>
      </c>
      <c r="AV331" s="81" t="str">
        <f aca="false">IF(OR(B331="",BL331="",BM331="",AB331="",AC331=""),"",IFERROR(ROUND(AI331/(ABS(AB331-AC331)/BL331*BM331),2),""))</f>
        <v/>
      </c>
      <c r="AW331" s="76" t="str">
        <f aca="false">IF(B331="","",ROUND(BK331+SUMIFS(AM$5:AM330,BJ$5:BJ330,BJ331),2))</f>
        <v/>
      </c>
      <c r="AX331" s="66" t="str">
        <f aca="false">IF(B331="","",COUNTIFS(B$6:B331,B331,BJ$6:BJ331,BJ331))</f>
        <v/>
      </c>
      <c r="AY331" s="79" t="str">
        <f aca="false">IF(B331="","",ROUND(SUMIFS(AM$5:AM330,B$5:B330,B331,BJ$5:BJ330,BJ331),2))</f>
        <v/>
      </c>
      <c r="AZ331" s="79" t="str">
        <f aca="false">IF(AM331="","",ROUND(AY331+AM331,2))</f>
        <v/>
      </c>
      <c r="BA331" s="79" t="str">
        <f aca="false">IF(B331="","",ROUND(SUMIFS(AM$5:AM330,B$5:B330,"&gt;="&amp;(B331-WEEKDAY(B331,2)+1),B$5:B330,"&lt;="&amp;B331,BJ$5:BJ330,BJ331),2))</f>
        <v/>
      </c>
      <c r="BB331" s="68" t="str">
        <f aca="false">IF(B331="","",IF(AND(AF331&lt;&gt;"",AV331&lt;&gt;"",N(AF331)&gt;N(AV331)*(1+Settings!$C$13)),"Oversized",IF(AX331&gt;Settings!$C$10,"Overtraded",IF(AY331&lt;=-Settings!$C$11*(AW331-AY331),"Daily loss hit",IF(BA331&lt;=-Settings!$C$12*(AW331-BA331),"Weekly loss hit","OK")))))</f>
        <v/>
      </c>
      <c r="BC331" s="69"/>
      <c r="BD331" s="69"/>
      <c r="BE331" s="69"/>
      <c r="BF331" s="73"/>
      <c r="BG331" s="73"/>
      <c r="BH331" s="71"/>
      <c r="BI331" s="71"/>
      <c r="BJ331" s="68" t="str">
        <f aca="false">IF(B331="","",IF(E331="",Settings!$F$5,E331))</f>
        <v/>
      </c>
      <c r="BK331" s="76" t="str">
        <f aca="false">IF(B331="","",IFERROR(INDEX(Settings!$G$5:$G$10,MATCH(BJ331,Settings!$F$5:$F$10,0)),Settings!$G$5))</f>
        <v/>
      </c>
      <c r="BL331" s="82" t="str">
        <f aca="false">IF(I331="","",IFERROR(1/(1/INDEX(Lists!$C$6:$C$17,MATCH(I331,Lists!$B$6:$B$17,0))),""))</f>
        <v/>
      </c>
      <c r="BM331" s="81" t="str">
        <f aca="false">IF(I331="","",IFERROR(1/(1/INDEX(Lists!$D$6:$D$17,MATCH(I331,Lists!$B$6:$B$17,0))),""))</f>
        <v/>
      </c>
      <c r="BN331" s="76" t="str">
        <f aca="false">IF(AN331="","",MAX(BK331,_xlfn.MAXIFS(AN$6:AN331,BJ$6:BJ331,BJ331)))</f>
        <v/>
      </c>
      <c r="BO331" s="83" t="str">
        <f aca="false">IF(AN331="","",(AN331-BN331)/BN331)</f>
        <v/>
      </c>
      <c r="BP331" s="66" t="n">
        <f aca="false">IF(OR(B331="",AL331=""),0,IF(OR(Settings!$C$28="All Accounts",BJ331=Settings!$C$28),1,0))</f>
        <v>0</v>
      </c>
      <c r="BQ331" s="66" t="str">
        <f aca="false">IF(BP331=1,SUM(BP$6:BP331),"")</f>
        <v/>
      </c>
      <c r="BR331" s="76" t="str">
        <f aca="false">IF(BP331=1,ROUND(Settings!$C$29+SUMIFS(AM$6:AM331,BP$6:BP331,1),2),"")</f>
        <v/>
      </c>
      <c r="BS331" s="76" t="str">
        <f aca="false">IF(BP331=1,MAX(Settings!$C$29,MAX(BR$6:BR331)),"")</f>
        <v/>
      </c>
      <c r="BT331" s="83" t="str">
        <f aca="false">IF(BP331=1,(BR331-BS331)/BS331,"")</f>
        <v/>
      </c>
      <c r="BU331" s="66" t="str">
        <f aca="false">IF(BP331=1,IF(AL331="Win",1+IF(BQ331=1,0,INDEX(BU$5:BU330,MATCH(BQ331-1,BQ$5:BQ330,0))),0),"")</f>
        <v/>
      </c>
      <c r="BV331" s="66" t="str">
        <f aca="false">IF(BP331=1,IF(AL331="Loss",1+IF(BQ331=1,0,INDEX(BV$5:BV330,MATCH(BQ331-1,BQ$5:BQ330,0))),0),"")</f>
        <v/>
      </c>
    </row>
    <row r="332" customFormat="false" ht="15" hidden="false" customHeight="false" outlineLevel="0" collapsed="false">
      <c r="A332" s="66" t="str">
        <f aca="false">IF(B332="","",ROW()-5)</f>
        <v/>
      </c>
      <c r="B332" s="67"/>
      <c r="C332" s="68" t="str">
        <f aca="false">IF(B332="","",CHOOSE(WEEKDAY(B332,2),"Mon","Tue","Wed","Thu","Fri","Sat","Sun"))</f>
        <v/>
      </c>
      <c r="D332" s="66" t="str">
        <f aca="false">IF(B332="","",WEEKNUM(B332,2))</f>
        <v/>
      </c>
      <c r="E332" s="69"/>
      <c r="F332" s="69"/>
      <c r="G332" s="70"/>
      <c r="H332" s="70"/>
      <c r="I332" s="69"/>
      <c r="J332" s="69"/>
      <c r="K332" s="69"/>
      <c r="L332" s="71"/>
      <c r="M332" s="69"/>
      <c r="N332" s="69"/>
      <c r="O332" s="69"/>
      <c r="P332" s="71"/>
      <c r="Q332" s="69"/>
      <c r="R332" s="69"/>
      <c r="S332" s="69"/>
      <c r="T332" s="69"/>
      <c r="U332" s="69"/>
      <c r="V332" s="69"/>
      <c r="W332" s="69"/>
      <c r="X332" s="66" t="str">
        <f aca="false">IF(B332="","",COUNTIF(Q332:W332,"Yes"))</f>
        <v/>
      </c>
      <c r="Y332" s="68" t="str">
        <f aca="false">IF(B332="","",IF(X332&gt;=Settings!$C$16,"A+",IF(X332&gt;=Settings!$C$17,"A",IF(X332&gt;=Settings!$C$18,"B","C"))))</f>
        <v/>
      </c>
      <c r="Z332" s="72"/>
      <c r="AA332" s="72"/>
      <c r="AB332" s="72"/>
      <c r="AC332" s="72"/>
      <c r="AD332" s="72"/>
      <c r="AE332" s="72"/>
      <c r="AF332" s="73"/>
      <c r="AG332" s="74"/>
      <c r="AH332" s="75"/>
      <c r="AI332" s="76" t="str">
        <f aca="false">IF(B332="","",ROUND(IF(AG332="",Settings!$C$5,AG332)*AW332,2))</f>
        <v/>
      </c>
      <c r="AJ332" s="77" t="str">
        <f aca="false">IF(OR(B332="",AB332="",AC332="",AD332=""),"",IFERROR(ROUND(ABS(AD332-AB332)/ABS(AB332-AC332),2),""))</f>
        <v/>
      </c>
      <c r="AK332" s="78" t="str">
        <f aca="false">IF(OR(B332="",AB332="",AC332="",AE332=""),"",IFERROR(ROUND(IF(J332="Short",AB332-AE332,AE332-AB332)/ABS(AB332-AC332),2),""))</f>
        <v/>
      </c>
      <c r="AL332" s="68" t="str">
        <f aca="false">IF(AK332="","",IF(ABS(AK332)&lt;=Settings!$C$6,"BE",IF(AK332&gt;0,"Win","Loss")))</f>
        <v/>
      </c>
      <c r="AM332" s="79" t="str">
        <f aca="false">IF(OR(AK332="",AI332=""),"",ROUND(AK332*AI332-N(AH332),2))</f>
        <v/>
      </c>
      <c r="AN332" s="76" t="str">
        <f aca="false">IF(AM332="","",ROUND(BK332+SUMIFS(AM$6:AM332,BJ$6:BJ332,BJ332),2))</f>
        <v/>
      </c>
      <c r="AO332" s="78" t="str">
        <f aca="false">IF(AK332="","",ROUND(SUMIFS(AK$6:AK332,BJ$6:BJ332,BJ332),2))</f>
        <v/>
      </c>
      <c r="AP332" s="80" t="str">
        <f aca="false">IF(OR(AK332="",BL332=""),"",IFERROR(ROUND(IF(J332="Short",AB332-AE332,AE332-AB332)/BL332,1),""))</f>
        <v/>
      </c>
      <c r="AQ332" s="66" t="str">
        <f aca="false">IF(OR(G332="",H332=""),"",ROUND(MOD(H332-G332,1)*1440,0))</f>
        <v/>
      </c>
      <c r="AR332" s="68" t="str">
        <f aca="false">IF(AQ332="","",IF(AQ332&lt;15,"Under 15m",IF(AQ332&lt;60,"15-60m",IF(AQ332&lt;240,"1-4 hours","4+ hours"))))</f>
        <v/>
      </c>
      <c r="AS332" s="66" t="str">
        <f aca="false">IF(G332="","",HOUR(G332))</f>
        <v/>
      </c>
      <c r="AT332" s="80" t="str">
        <f aca="false">IF(OR(Z332="",AB332="",BL332=""),"",IFERROR(ROUND(IF(J332="Short",Z332-AB332,AB332-Z332)/BL332,1),""))</f>
        <v/>
      </c>
      <c r="AU332" s="68" t="str">
        <f aca="false">IF(OR(AA332="",AC332=""),"",IF(AA332=AC332,"No","Yes"))</f>
        <v/>
      </c>
      <c r="AV332" s="81" t="str">
        <f aca="false">IF(OR(B332="",BL332="",BM332="",AB332="",AC332=""),"",IFERROR(ROUND(AI332/(ABS(AB332-AC332)/BL332*BM332),2),""))</f>
        <v/>
      </c>
      <c r="AW332" s="76" t="str">
        <f aca="false">IF(B332="","",ROUND(BK332+SUMIFS(AM$5:AM331,BJ$5:BJ331,BJ332),2))</f>
        <v/>
      </c>
      <c r="AX332" s="66" t="str">
        <f aca="false">IF(B332="","",COUNTIFS(B$6:B332,B332,BJ$6:BJ332,BJ332))</f>
        <v/>
      </c>
      <c r="AY332" s="79" t="str">
        <f aca="false">IF(B332="","",ROUND(SUMIFS(AM$5:AM331,B$5:B331,B332,BJ$5:BJ331,BJ332),2))</f>
        <v/>
      </c>
      <c r="AZ332" s="79" t="str">
        <f aca="false">IF(AM332="","",ROUND(AY332+AM332,2))</f>
        <v/>
      </c>
      <c r="BA332" s="79" t="str">
        <f aca="false">IF(B332="","",ROUND(SUMIFS(AM$5:AM331,B$5:B331,"&gt;="&amp;(B332-WEEKDAY(B332,2)+1),B$5:B331,"&lt;="&amp;B332,BJ$5:BJ331,BJ332),2))</f>
        <v/>
      </c>
      <c r="BB332" s="68" t="str">
        <f aca="false">IF(B332="","",IF(AND(AF332&lt;&gt;"",AV332&lt;&gt;"",N(AF332)&gt;N(AV332)*(1+Settings!$C$13)),"Oversized",IF(AX332&gt;Settings!$C$10,"Overtraded",IF(AY332&lt;=-Settings!$C$11*(AW332-AY332),"Daily loss hit",IF(BA332&lt;=-Settings!$C$12*(AW332-BA332),"Weekly loss hit","OK")))))</f>
        <v/>
      </c>
      <c r="BC332" s="69"/>
      <c r="BD332" s="69"/>
      <c r="BE332" s="69"/>
      <c r="BF332" s="73"/>
      <c r="BG332" s="73"/>
      <c r="BH332" s="71"/>
      <c r="BI332" s="71"/>
      <c r="BJ332" s="68" t="str">
        <f aca="false">IF(B332="","",IF(E332="",Settings!$F$5,E332))</f>
        <v/>
      </c>
      <c r="BK332" s="76" t="str">
        <f aca="false">IF(B332="","",IFERROR(INDEX(Settings!$G$5:$G$10,MATCH(BJ332,Settings!$F$5:$F$10,0)),Settings!$G$5))</f>
        <v/>
      </c>
      <c r="BL332" s="82" t="str">
        <f aca="false">IF(I332="","",IFERROR(1/(1/INDEX(Lists!$C$6:$C$17,MATCH(I332,Lists!$B$6:$B$17,0))),""))</f>
        <v/>
      </c>
      <c r="BM332" s="81" t="str">
        <f aca="false">IF(I332="","",IFERROR(1/(1/INDEX(Lists!$D$6:$D$17,MATCH(I332,Lists!$B$6:$B$17,0))),""))</f>
        <v/>
      </c>
      <c r="BN332" s="76" t="str">
        <f aca="false">IF(AN332="","",MAX(BK332,_xlfn.MAXIFS(AN$6:AN332,BJ$6:BJ332,BJ332)))</f>
        <v/>
      </c>
      <c r="BO332" s="83" t="str">
        <f aca="false">IF(AN332="","",(AN332-BN332)/BN332)</f>
        <v/>
      </c>
      <c r="BP332" s="66" t="n">
        <f aca="false">IF(OR(B332="",AL332=""),0,IF(OR(Settings!$C$28="All Accounts",BJ332=Settings!$C$28),1,0))</f>
        <v>0</v>
      </c>
      <c r="BQ332" s="66" t="str">
        <f aca="false">IF(BP332=1,SUM(BP$6:BP332),"")</f>
        <v/>
      </c>
      <c r="BR332" s="76" t="str">
        <f aca="false">IF(BP332=1,ROUND(Settings!$C$29+SUMIFS(AM$6:AM332,BP$6:BP332,1),2),"")</f>
        <v/>
      </c>
      <c r="BS332" s="76" t="str">
        <f aca="false">IF(BP332=1,MAX(Settings!$C$29,MAX(BR$6:BR332)),"")</f>
        <v/>
      </c>
      <c r="BT332" s="83" t="str">
        <f aca="false">IF(BP332=1,(BR332-BS332)/BS332,"")</f>
        <v/>
      </c>
      <c r="BU332" s="66" t="str">
        <f aca="false">IF(BP332=1,IF(AL332="Win",1+IF(BQ332=1,0,INDEX(BU$5:BU331,MATCH(BQ332-1,BQ$5:BQ331,0))),0),"")</f>
        <v/>
      </c>
      <c r="BV332" s="66" t="str">
        <f aca="false">IF(BP332=1,IF(AL332="Loss",1+IF(BQ332=1,0,INDEX(BV$5:BV331,MATCH(BQ332-1,BQ$5:BQ331,0))),0),"")</f>
        <v/>
      </c>
    </row>
    <row r="333" customFormat="false" ht="15" hidden="false" customHeight="false" outlineLevel="0" collapsed="false">
      <c r="A333" s="66" t="str">
        <f aca="false">IF(B333="","",ROW()-5)</f>
        <v/>
      </c>
      <c r="B333" s="67"/>
      <c r="C333" s="68" t="str">
        <f aca="false">IF(B333="","",CHOOSE(WEEKDAY(B333,2),"Mon","Tue","Wed","Thu","Fri","Sat","Sun"))</f>
        <v/>
      </c>
      <c r="D333" s="66" t="str">
        <f aca="false">IF(B333="","",WEEKNUM(B333,2))</f>
        <v/>
      </c>
      <c r="E333" s="69"/>
      <c r="F333" s="69"/>
      <c r="G333" s="70"/>
      <c r="H333" s="70"/>
      <c r="I333" s="69"/>
      <c r="J333" s="69"/>
      <c r="K333" s="69"/>
      <c r="L333" s="71"/>
      <c r="M333" s="69"/>
      <c r="N333" s="69"/>
      <c r="O333" s="69"/>
      <c r="P333" s="71"/>
      <c r="Q333" s="69"/>
      <c r="R333" s="69"/>
      <c r="S333" s="69"/>
      <c r="T333" s="69"/>
      <c r="U333" s="69"/>
      <c r="V333" s="69"/>
      <c r="W333" s="69"/>
      <c r="X333" s="66" t="str">
        <f aca="false">IF(B333="","",COUNTIF(Q333:W333,"Yes"))</f>
        <v/>
      </c>
      <c r="Y333" s="68" t="str">
        <f aca="false">IF(B333="","",IF(X333&gt;=Settings!$C$16,"A+",IF(X333&gt;=Settings!$C$17,"A",IF(X333&gt;=Settings!$C$18,"B","C"))))</f>
        <v/>
      </c>
      <c r="Z333" s="72"/>
      <c r="AA333" s="72"/>
      <c r="AB333" s="72"/>
      <c r="AC333" s="72"/>
      <c r="AD333" s="72"/>
      <c r="AE333" s="72"/>
      <c r="AF333" s="73"/>
      <c r="AG333" s="74"/>
      <c r="AH333" s="75"/>
      <c r="AI333" s="76" t="str">
        <f aca="false">IF(B333="","",ROUND(IF(AG333="",Settings!$C$5,AG333)*AW333,2))</f>
        <v/>
      </c>
      <c r="AJ333" s="77" t="str">
        <f aca="false">IF(OR(B333="",AB333="",AC333="",AD333=""),"",IFERROR(ROUND(ABS(AD333-AB333)/ABS(AB333-AC333),2),""))</f>
        <v/>
      </c>
      <c r="AK333" s="78" t="str">
        <f aca="false">IF(OR(B333="",AB333="",AC333="",AE333=""),"",IFERROR(ROUND(IF(J333="Short",AB333-AE333,AE333-AB333)/ABS(AB333-AC333),2),""))</f>
        <v/>
      </c>
      <c r="AL333" s="68" t="str">
        <f aca="false">IF(AK333="","",IF(ABS(AK333)&lt;=Settings!$C$6,"BE",IF(AK333&gt;0,"Win","Loss")))</f>
        <v/>
      </c>
      <c r="AM333" s="79" t="str">
        <f aca="false">IF(OR(AK333="",AI333=""),"",ROUND(AK333*AI333-N(AH333),2))</f>
        <v/>
      </c>
      <c r="AN333" s="76" t="str">
        <f aca="false">IF(AM333="","",ROUND(BK333+SUMIFS(AM$6:AM333,BJ$6:BJ333,BJ333),2))</f>
        <v/>
      </c>
      <c r="AO333" s="78" t="str">
        <f aca="false">IF(AK333="","",ROUND(SUMIFS(AK$6:AK333,BJ$6:BJ333,BJ333),2))</f>
        <v/>
      </c>
      <c r="AP333" s="80" t="str">
        <f aca="false">IF(OR(AK333="",BL333=""),"",IFERROR(ROUND(IF(J333="Short",AB333-AE333,AE333-AB333)/BL333,1),""))</f>
        <v/>
      </c>
      <c r="AQ333" s="66" t="str">
        <f aca="false">IF(OR(G333="",H333=""),"",ROUND(MOD(H333-G333,1)*1440,0))</f>
        <v/>
      </c>
      <c r="AR333" s="68" t="str">
        <f aca="false">IF(AQ333="","",IF(AQ333&lt;15,"Under 15m",IF(AQ333&lt;60,"15-60m",IF(AQ333&lt;240,"1-4 hours","4+ hours"))))</f>
        <v/>
      </c>
      <c r="AS333" s="66" t="str">
        <f aca="false">IF(G333="","",HOUR(G333))</f>
        <v/>
      </c>
      <c r="AT333" s="80" t="str">
        <f aca="false">IF(OR(Z333="",AB333="",BL333=""),"",IFERROR(ROUND(IF(J333="Short",Z333-AB333,AB333-Z333)/BL333,1),""))</f>
        <v/>
      </c>
      <c r="AU333" s="68" t="str">
        <f aca="false">IF(OR(AA333="",AC333=""),"",IF(AA333=AC333,"No","Yes"))</f>
        <v/>
      </c>
      <c r="AV333" s="81" t="str">
        <f aca="false">IF(OR(B333="",BL333="",BM333="",AB333="",AC333=""),"",IFERROR(ROUND(AI333/(ABS(AB333-AC333)/BL333*BM333),2),""))</f>
        <v/>
      </c>
      <c r="AW333" s="76" t="str">
        <f aca="false">IF(B333="","",ROUND(BK333+SUMIFS(AM$5:AM332,BJ$5:BJ332,BJ333),2))</f>
        <v/>
      </c>
      <c r="AX333" s="66" t="str">
        <f aca="false">IF(B333="","",COUNTIFS(B$6:B333,B333,BJ$6:BJ333,BJ333))</f>
        <v/>
      </c>
      <c r="AY333" s="79" t="str">
        <f aca="false">IF(B333="","",ROUND(SUMIFS(AM$5:AM332,B$5:B332,B333,BJ$5:BJ332,BJ333),2))</f>
        <v/>
      </c>
      <c r="AZ333" s="79" t="str">
        <f aca="false">IF(AM333="","",ROUND(AY333+AM333,2))</f>
        <v/>
      </c>
      <c r="BA333" s="79" t="str">
        <f aca="false">IF(B333="","",ROUND(SUMIFS(AM$5:AM332,B$5:B332,"&gt;="&amp;(B333-WEEKDAY(B333,2)+1),B$5:B332,"&lt;="&amp;B333,BJ$5:BJ332,BJ333),2))</f>
        <v/>
      </c>
      <c r="BB333" s="68" t="str">
        <f aca="false">IF(B333="","",IF(AND(AF333&lt;&gt;"",AV333&lt;&gt;"",N(AF333)&gt;N(AV333)*(1+Settings!$C$13)),"Oversized",IF(AX333&gt;Settings!$C$10,"Overtraded",IF(AY333&lt;=-Settings!$C$11*(AW333-AY333),"Daily loss hit",IF(BA333&lt;=-Settings!$C$12*(AW333-BA333),"Weekly loss hit","OK")))))</f>
        <v/>
      </c>
      <c r="BC333" s="69"/>
      <c r="BD333" s="69"/>
      <c r="BE333" s="69"/>
      <c r="BF333" s="73"/>
      <c r="BG333" s="73"/>
      <c r="BH333" s="71"/>
      <c r="BI333" s="71"/>
      <c r="BJ333" s="68" t="str">
        <f aca="false">IF(B333="","",IF(E333="",Settings!$F$5,E333))</f>
        <v/>
      </c>
      <c r="BK333" s="76" t="str">
        <f aca="false">IF(B333="","",IFERROR(INDEX(Settings!$G$5:$G$10,MATCH(BJ333,Settings!$F$5:$F$10,0)),Settings!$G$5))</f>
        <v/>
      </c>
      <c r="BL333" s="82" t="str">
        <f aca="false">IF(I333="","",IFERROR(1/(1/INDEX(Lists!$C$6:$C$17,MATCH(I333,Lists!$B$6:$B$17,0))),""))</f>
        <v/>
      </c>
      <c r="BM333" s="81" t="str">
        <f aca="false">IF(I333="","",IFERROR(1/(1/INDEX(Lists!$D$6:$D$17,MATCH(I333,Lists!$B$6:$B$17,0))),""))</f>
        <v/>
      </c>
      <c r="BN333" s="76" t="str">
        <f aca="false">IF(AN333="","",MAX(BK333,_xlfn.MAXIFS(AN$6:AN333,BJ$6:BJ333,BJ333)))</f>
        <v/>
      </c>
      <c r="BO333" s="83" t="str">
        <f aca="false">IF(AN333="","",(AN333-BN333)/BN333)</f>
        <v/>
      </c>
      <c r="BP333" s="66" t="n">
        <f aca="false">IF(OR(B333="",AL333=""),0,IF(OR(Settings!$C$28="All Accounts",BJ333=Settings!$C$28),1,0))</f>
        <v>0</v>
      </c>
      <c r="BQ333" s="66" t="str">
        <f aca="false">IF(BP333=1,SUM(BP$6:BP333),"")</f>
        <v/>
      </c>
      <c r="BR333" s="76" t="str">
        <f aca="false">IF(BP333=1,ROUND(Settings!$C$29+SUMIFS(AM$6:AM333,BP$6:BP333,1),2),"")</f>
        <v/>
      </c>
      <c r="BS333" s="76" t="str">
        <f aca="false">IF(BP333=1,MAX(Settings!$C$29,MAX(BR$6:BR333)),"")</f>
        <v/>
      </c>
      <c r="BT333" s="83" t="str">
        <f aca="false">IF(BP333=1,(BR333-BS333)/BS333,"")</f>
        <v/>
      </c>
      <c r="BU333" s="66" t="str">
        <f aca="false">IF(BP333=1,IF(AL333="Win",1+IF(BQ333=1,0,INDEX(BU$5:BU332,MATCH(BQ333-1,BQ$5:BQ332,0))),0),"")</f>
        <v/>
      </c>
      <c r="BV333" s="66" t="str">
        <f aca="false">IF(BP333=1,IF(AL333="Loss",1+IF(BQ333=1,0,INDEX(BV$5:BV332,MATCH(BQ333-1,BQ$5:BQ332,0))),0),"")</f>
        <v/>
      </c>
    </row>
    <row r="334" customFormat="false" ht="15" hidden="false" customHeight="false" outlineLevel="0" collapsed="false">
      <c r="A334" s="66" t="str">
        <f aca="false">IF(B334="","",ROW()-5)</f>
        <v/>
      </c>
      <c r="B334" s="67"/>
      <c r="C334" s="68" t="str">
        <f aca="false">IF(B334="","",CHOOSE(WEEKDAY(B334,2),"Mon","Tue","Wed","Thu","Fri","Sat","Sun"))</f>
        <v/>
      </c>
      <c r="D334" s="66" t="str">
        <f aca="false">IF(B334="","",WEEKNUM(B334,2))</f>
        <v/>
      </c>
      <c r="E334" s="69"/>
      <c r="F334" s="69"/>
      <c r="G334" s="70"/>
      <c r="H334" s="70"/>
      <c r="I334" s="69"/>
      <c r="J334" s="69"/>
      <c r="K334" s="69"/>
      <c r="L334" s="71"/>
      <c r="M334" s="69"/>
      <c r="N334" s="69"/>
      <c r="O334" s="69"/>
      <c r="P334" s="71"/>
      <c r="Q334" s="69"/>
      <c r="R334" s="69"/>
      <c r="S334" s="69"/>
      <c r="T334" s="69"/>
      <c r="U334" s="69"/>
      <c r="V334" s="69"/>
      <c r="W334" s="69"/>
      <c r="X334" s="66" t="str">
        <f aca="false">IF(B334="","",COUNTIF(Q334:W334,"Yes"))</f>
        <v/>
      </c>
      <c r="Y334" s="68" t="str">
        <f aca="false">IF(B334="","",IF(X334&gt;=Settings!$C$16,"A+",IF(X334&gt;=Settings!$C$17,"A",IF(X334&gt;=Settings!$C$18,"B","C"))))</f>
        <v/>
      </c>
      <c r="Z334" s="72"/>
      <c r="AA334" s="72"/>
      <c r="AB334" s="72"/>
      <c r="AC334" s="72"/>
      <c r="AD334" s="72"/>
      <c r="AE334" s="72"/>
      <c r="AF334" s="73"/>
      <c r="AG334" s="74"/>
      <c r="AH334" s="75"/>
      <c r="AI334" s="76" t="str">
        <f aca="false">IF(B334="","",ROUND(IF(AG334="",Settings!$C$5,AG334)*AW334,2))</f>
        <v/>
      </c>
      <c r="AJ334" s="77" t="str">
        <f aca="false">IF(OR(B334="",AB334="",AC334="",AD334=""),"",IFERROR(ROUND(ABS(AD334-AB334)/ABS(AB334-AC334),2),""))</f>
        <v/>
      </c>
      <c r="AK334" s="78" t="str">
        <f aca="false">IF(OR(B334="",AB334="",AC334="",AE334=""),"",IFERROR(ROUND(IF(J334="Short",AB334-AE334,AE334-AB334)/ABS(AB334-AC334),2),""))</f>
        <v/>
      </c>
      <c r="AL334" s="68" t="str">
        <f aca="false">IF(AK334="","",IF(ABS(AK334)&lt;=Settings!$C$6,"BE",IF(AK334&gt;0,"Win","Loss")))</f>
        <v/>
      </c>
      <c r="AM334" s="79" t="str">
        <f aca="false">IF(OR(AK334="",AI334=""),"",ROUND(AK334*AI334-N(AH334),2))</f>
        <v/>
      </c>
      <c r="AN334" s="76" t="str">
        <f aca="false">IF(AM334="","",ROUND(BK334+SUMIFS(AM$6:AM334,BJ$6:BJ334,BJ334),2))</f>
        <v/>
      </c>
      <c r="AO334" s="78" t="str">
        <f aca="false">IF(AK334="","",ROUND(SUMIFS(AK$6:AK334,BJ$6:BJ334,BJ334),2))</f>
        <v/>
      </c>
      <c r="AP334" s="80" t="str">
        <f aca="false">IF(OR(AK334="",BL334=""),"",IFERROR(ROUND(IF(J334="Short",AB334-AE334,AE334-AB334)/BL334,1),""))</f>
        <v/>
      </c>
      <c r="AQ334" s="66" t="str">
        <f aca="false">IF(OR(G334="",H334=""),"",ROUND(MOD(H334-G334,1)*1440,0))</f>
        <v/>
      </c>
      <c r="AR334" s="68" t="str">
        <f aca="false">IF(AQ334="","",IF(AQ334&lt;15,"Under 15m",IF(AQ334&lt;60,"15-60m",IF(AQ334&lt;240,"1-4 hours","4+ hours"))))</f>
        <v/>
      </c>
      <c r="AS334" s="66" t="str">
        <f aca="false">IF(G334="","",HOUR(G334))</f>
        <v/>
      </c>
      <c r="AT334" s="80" t="str">
        <f aca="false">IF(OR(Z334="",AB334="",BL334=""),"",IFERROR(ROUND(IF(J334="Short",Z334-AB334,AB334-Z334)/BL334,1),""))</f>
        <v/>
      </c>
      <c r="AU334" s="68" t="str">
        <f aca="false">IF(OR(AA334="",AC334=""),"",IF(AA334=AC334,"No","Yes"))</f>
        <v/>
      </c>
      <c r="AV334" s="81" t="str">
        <f aca="false">IF(OR(B334="",BL334="",BM334="",AB334="",AC334=""),"",IFERROR(ROUND(AI334/(ABS(AB334-AC334)/BL334*BM334),2),""))</f>
        <v/>
      </c>
      <c r="AW334" s="76" t="str">
        <f aca="false">IF(B334="","",ROUND(BK334+SUMIFS(AM$5:AM333,BJ$5:BJ333,BJ334),2))</f>
        <v/>
      </c>
      <c r="AX334" s="66" t="str">
        <f aca="false">IF(B334="","",COUNTIFS(B$6:B334,B334,BJ$6:BJ334,BJ334))</f>
        <v/>
      </c>
      <c r="AY334" s="79" t="str">
        <f aca="false">IF(B334="","",ROUND(SUMIFS(AM$5:AM333,B$5:B333,B334,BJ$5:BJ333,BJ334),2))</f>
        <v/>
      </c>
      <c r="AZ334" s="79" t="str">
        <f aca="false">IF(AM334="","",ROUND(AY334+AM334,2))</f>
        <v/>
      </c>
      <c r="BA334" s="79" t="str">
        <f aca="false">IF(B334="","",ROUND(SUMIFS(AM$5:AM333,B$5:B333,"&gt;="&amp;(B334-WEEKDAY(B334,2)+1),B$5:B333,"&lt;="&amp;B334,BJ$5:BJ333,BJ334),2))</f>
        <v/>
      </c>
      <c r="BB334" s="68" t="str">
        <f aca="false">IF(B334="","",IF(AND(AF334&lt;&gt;"",AV334&lt;&gt;"",N(AF334)&gt;N(AV334)*(1+Settings!$C$13)),"Oversized",IF(AX334&gt;Settings!$C$10,"Overtraded",IF(AY334&lt;=-Settings!$C$11*(AW334-AY334),"Daily loss hit",IF(BA334&lt;=-Settings!$C$12*(AW334-BA334),"Weekly loss hit","OK")))))</f>
        <v/>
      </c>
      <c r="BC334" s="69"/>
      <c r="BD334" s="69"/>
      <c r="BE334" s="69"/>
      <c r="BF334" s="73"/>
      <c r="BG334" s="73"/>
      <c r="BH334" s="71"/>
      <c r="BI334" s="71"/>
      <c r="BJ334" s="68" t="str">
        <f aca="false">IF(B334="","",IF(E334="",Settings!$F$5,E334))</f>
        <v/>
      </c>
      <c r="BK334" s="76" t="str">
        <f aca="false">IF(B334="","",IFERROR(INDEX(Settings!$G$5:$G$10,MATCH(BJ334,Settings!$F$5:$F$10,0)),Settings!$G$5))</f>
        <v/>
      </c>
      <c r="BL334" s="82" t="str">
        <f aca="false">IF(I334="","",IFERROR(1/(1/INDEX(Lists!$C$6:$C$17,MATCH(I334,Lists!$B$6:$B$17,0))),""))</f>
        <v/>
      </c>
      <c r="BM334" s="81" t="str">
        <f aca="false">IF(I334="","",IFERROR(1/(1/INDEX(Lists!$D$6:$D$17,MATCH(I334,Lists!$B$6:$B$17,0))),""))</f>
        <v/>
      </c>
      <c r="BN334" s="76" t="str">
        <f aca="false">IF(AN334="","",MAX(BK334,_xlfn.MAXIFS(AN$6:AN334,BJ$6:BJ334,BJ334)))</f>
        <v/>
      </c>
      <c r="BO334" s="83" t="str">
        <f aca="false">IF(AN334="","",(AN334-BN334)/BN334)</f>
        <v/>
      </c>
      <c r="BP334" s="66" t="n">
        <f aca="false">IF(OR(B334="",AL334=""),0,IF(OR(Settings!$C$28="All Accounts",BJ334=Settings!$C$28),1,0))</f>
        <v>0</v>
      </c>
      <c r="BQ334" s="66" t="str">
        <f aca="false">IF(BP334=1,SUM(BP$6:BP334),"")</f>
        <v/>
      </c>
      <c r="BR334" s="76" t="str">
        <f aca="false">IF(BP334=1,ROUND(Settings!$C$29+SUMIFS(AM$6:AM334,BP$6:BP334,1),2),"")</f>
        <v/>
      </c>
      <c r="BS334" s="76" t="str">
        <f aca="false">IF(BP334=1,MAX(Settings!$C$29,MAX(BR$6:BR334)),"")</f>
        <v/>
      </c>
      <c r="BT334" s="83" t="str">
        <f aca="false">IF(BP334=1,(BR334-BS334)/BS334,"")</f>
        <v/>
      </c>
      <c r="BU334" s="66" t="str">
        <f aca="false">IF(BP334=1,IF(AL334="Win",1+IF(BQ334=1,0,INDEX(BU$5:BU333,MATCH(BQ334-1,BQ$5:BQ333,0))),0),"")</f>
        <v/>
      </c>
      <c r="BV334" s="66" t="str">
        <f aca="false">IF(BP334=1,IF(AL334="Loss",1+IF(BQ334=1,0,INDEX(BV$5:BV333,MATCH(BQ334-1,BQ$5:BQ333,0))),0),"")</f>
        <v/>
      </c>
    </row>
    <row r="335" customFormat="false" ht="15" hidden="false" customHeight="false" outlineLevel="0" collapsed="false">
      <c r="A335" s="66" t="str">
        <f aca="false">IF(B335="","",ROW()-5)</f>
        <v/>
      </c>
      <c r="B335" s="67"/>
      <c r="C335" s="68" t="str">
        <f aca="false">IF(B335="","",CHOOSE(WEEKDAY(B335,2),"Mon","Tue","Wed","Thu","Fri","Sat","Sun"))</f>
        <v/>
      </c>
      <c r="D335" s="66" t="str">
        <f aca="false">IF(B335="","",WEEKNUM(B335,2))</f>
        <v/>
      </c>
      <c r="E335" s="69"/>
      <c r="F335" s="69"/>
      <c r="G335" s="70"/>
      <c r="H335" s="70"/>
      <c r="I335" s="69"/>
      <c r="J335" s="69"/>
      <c r="K335" s="69"/>
      <c r="L335" s="71"/>
      <c r="M335" s="69"/>
      <c r="N335" s="69"/>
      <c r="O335" s="69"/>
      <c r="P335" s="71"/>
      <c r="Q335" s="69"/>
      <c r="R335" s="69"/>
      <c r="S335" s="69"/>
      <c r="T335" s="69"/>
      <c r="U335" s="69"/>
      <c r="V335" s="69"/>
      <c r="W335" s="69"/>
      <c r="X335" s="66" t="str">
        <f aca="false">IF(B335="","",COUNTIF(Q335:W335,"Yes"))</f>
        <v/>
      </c>
      <c r="Y335" s="68" t="str">
        <f aca="false">IF(B335="","",IF(X335&gt;=Settings!$C$16,"A+",IF(X335&gt;=Settings!$C$17,"A",IF(X335&gt;=Settings!$C$18,"B","C"))))</f>
        <v/>
      </c>
      <c r="Z335" s="72"/>
      <c r="AA335" s="72"/>
      <c r="AB335" s="72"/>
      <c r="AC335" s="72"/>
      <c r="AD335" s="72"/>
      <c r="AE335" s="72"/>
      <c r="AF335" s="73"/>
      <c r="AG335" s="74"/>
      <c r="AH335" s="75"/>
      <c r="AI335" s="76" t="str">
        <f aca="false">IF(B335="","",ROUND(IF(AG335="",Settings!$C$5,AG335)*AW335,2))</f>
        <v/>
      </c>
      <c r="AJ335" s="77" t="str">
        <f aca="false">IF(OR(B335="",AB335="",AC335="",AD335=""),"",IFERROR(ROUND(ABS(AD335-AB335)/ABS(AB335-AC335),2),""))</f>
        <v/>
      </c>
      <c r="AK335" s="78" t="str">
        <f aca="false">IF(OR(B335="",AB335="",AC335="",AE335=""),"",IFERROR(ROUND(IF(J335="Short",AB335-AE335,AE335-AB335)/ABS(AB335-AC335),2),""))</f>
        <v/>
      </c>
      <c r="AL335" s="68" t="str">
        <f aca="false">IF(AK335="","",IF(ABS(AK335)&lt;=Settings!$C$6,"BE",IF(AK335&gt;0,"Win","Loss")))</f>
        <v/>
      </c>
      <c r="AM335" s="79" t="str">
        <f aca="false">IF(OR(AK335="",AI335=""),"",ROUND(AK335*AI335-N(AH335),2))</f>
        <v/>
      </c>
      <c r="AN335" s="76" t="str">
        <f aca="false">IF(AM335="","",ROUND(BK335+SUMIFS(AM$6:AM335,BJ$6:BJ335,BJ335),2))</f>
        <v/>
      </c>
      <c r="AO335" s="78" t="str">
        <f aca="false">IF(AK335="","",ROUND(SUMIFS(AK$6:AK335,BJ$6:BJ335,BJ335),2))</f>
        <v/>
      </c>
      <c r="AP335" s="80" t="str">
        <f aca="false">IF(OR(AK335="",BL335=""),"",IFERROR(ROUND(IF(J335="Short",AB335-AE335,AE335-AB335)/BL335,1),""))</f>
        <v/>
      </c>
      <c r="AQ335" s="66" t="str">
        <f aca="false">IF(OR(G335="",H335=""),"",ROUND(MOD(H335-G335,1)*1440,0))</f>
        <v/>
      </c>
      <c r="AR335" s="68" t="str">
        <f aca="false">IF(AQ335="","",IF(AQ335&lt;15,"Under 15m",IF(AQ335&lt;60,"15-60m",IF(AQ335&lt;240,"1-4 hours","4+ hours"))))</f>
        <v/>
      </c>
      <c r="AS335" s="66" t="str">
        <f aca="false">IF(G335="","",HOUR(G335))</f>
        <v/>
      </c>
      <c r="AT335" s="80" t="str">
        <f aca="false">IF(OR(Z335="",AB335="",BL335=""),"",IFERROR(ROUND(IF(J335="Short",Z335-AB335,AB335-Z335)/BL335,1),""))</f>
        <v/>
      </c>
      <c r="AU335" s="68" t="str">
        <f aca="false">IF(OR(AA335="",AC335=""),"",IF(AA335=AC335,"No","Yes"))</f>
        <v/>
      </c>
      <c r="AV335" s="81" t="str">
        <f aca="false">IF(OR(B335="",BL335="",BM335="",AB335="",AC335=""),"",IFERROR(ROUND(AI335/(ABS(AB335-AC335)/BL335*BM335),2),""))</f>
        <v/>
      </c>
      <c r="AW335" s="76" t="str">
        <f aca="false">IF(B335="","",ROUND(BK335+SUMIFS(AM$5:AM334,BJ$5:BJ334,BJ335),2))</f>
        <v/>
      </c>
      <c r="AX335" s="66" t="str">
        <f aca="false">IF(B335="","",COUNTIFS(B$6:B335,B335,BJ$6:BJ335,BJ335))</f>
        <v/>
      </c>
      <c r="AY335" s="79" t="str">
        <f aca="false">IF(B335="","",ROUND(SUMIFS(AM$5:AM334,B$5:B334,B335,BJ$5:BJ334,BJ335),2))</f>
        <v/>
      </c>
      <c r="AZ335" s="79" t="str">
        <f aca="false">IF(AM335="","",ROUND(AY335+AM335,2))</f>
        <v/>
      </c>
      <c r="BA335" s="79" t="str">
        <f aca="false">IF(B335="","",ROUND(SUMIFS(AM$5:AM334,B$5:B334,"&gt;="&amp;(B335-WEEKDAY(B335,2)+1),B$5:B334,"&lt;="&amp;B335,BJ$5:BJ334,BJ335),2))</f>
        <v/>
      </c>
      <c r="BB335" s="68" t="str">
        <f aca="false">IF(B335="","",IF(AND(AF335&lt;&gt;"",AV335&lt;&gt;"",N(AF335)&gt;N(AV335)*(1+Settings!$C$13)),"Oversized",IF(AX335&gt;Settings!$C$10,"Overtraded",IF(AY335&lt;=-Settings!$C$11*(AW335-AY335),"Daily loss hit",IF(BA335&lt;=-Settings!$C$12*(AW335-BA335),"Weekly loss hit","OK")))))</f>
        <v/>
      </c>
      <c r="BC335" s="69"/>
      <c r="BD335" s="69"/>
      <c r="BE335" s="69"/>
      <c r="BF335" s="73"/>
      <c r="BG335" s="73"/>
      <c r="BH335" s="71"/>
      <c r="BI335" s="71"/>
      <c r="BJ335" s="68" t="str">
        <f aca="false">IF(B335="","",IF(E335="",Settings!$F$5,E335))</f>
        <v/>
      </c>
      <c r="BK335" s="76" t="str">
        <f aca="false">IF(B335="","",IFERROR(INDEX(Settings!$G$5:$G$10,MATCH(BJ335,Settings!$F$5:$F$10,0)),Settings!$G$5))</f>
        <v/>
      </c>
      <c r="BL335" s="82" t="str">
        <f aca="false">IF(I335="","",IFERROR(1/(1/INDEX(Lists!$C$6:$C$17,MATCH(I335,Lists!$B$6:$B$17,0))),""))</f>
        <v/>
      </c>
      <c r="BM335" s="81" t="str">
        <f aca="false">IF(I335="","",IFERROR(1/(1/INDEX(Lists!$D$6:$D$17,MATCH(I335,Lists!$B$6:$B$17,0))),""))</f>
        <v/>
      </c>
      <c r="BN335" s="76" t="str">
        <f aca="false">IF(AN335="","",MAX(BK335,_xlfn.MAXIFS(AN$6:AN335,BJ$6:BJ335,BJ335)))</f>
        <v/>
      </c>
      <c r="BO335" s="83" t="str">
        <f aca="false">IF(AN335="","",(AN335-BN335)/BN335)</f>
        <v/>
      </c>
      <c r="BP335" s="66" t="n">
        <f aca="false">IF(OR(B335="",AL335=""),0,IF(OR(Settings!$C$28="All Accounts",BJ335=Settings!$C$28),1,0))</f>
        <v>0</v>
      </c>
      <c r="BQ335" s="66" t="str">
        <f aca="false">IF(BP335=1,SUM(BP$6:BP335),"")</f>
        <v/>
      </c>
      <c r="BR335" s="76" t="str">
        <f aca="false">IF(BP335=1,ROUND(Settings!$C$29+SUMIFS(AM$6:AM335,BP$6:BP335,1),2),"")</f>
        <v/>
      </c>
      <c r="BS335" s="76" t="str">
        <f aca="false">IF(BP335=1,MAX(Settings!$C$29,MAX(BR$6:BR335)),"")</f>
        <v/>
      </c>
      <c r="BT335" s="83" t="str">
        <f aca="false">IF(BP335=1,(BR335-BS335)/BS335,"")</f>
        <v/>
      </c>
      <c r="BU335" s="66" t="str">
        <f aca="false">IF(BP335=1,IF(AL335="Win",1+IF(BQ335=1,0,INDEX(BU$5:BU334,MATCH(BQ335-1,BQ$5:BQ334,0))),0),"")</f>
        <v/>
      </c>
      <c r="BV335" s="66" t="str">
        <f aca="false">IF(BP335=1,IF(AL335="Loss",1+IF(BQ335=1,0,INDEX(BV$5:BV334,MATCH(BQ335-1,BQ$5:BQ334,0))),0),"")</f>
        <v/>
      </c>
    </row>
    <row r="336" customFormat="false" ht="15" hidden="false" customHeight="false" outlineLevel="0" collapsed="false">
      <c r="A336" s="66" t="str">
        <f aca="false">IF(B336="","",ROW()-5)</f>
        <v/>
      </c>
      <c r="B336" s="67"/>
      <c r="C336" s="68" t="str">
        <f aca="false">IF(B336="","",CHOOSE(WEEKDAY(B336,2),"Mon","Tue","Wed","Thu","Fri","Sat","Sun"))</f>
        <v/>
      </c>
      <c r="D336" s="66" t="str">
        <f aca="false">IF(B336="","",WEEKNUM(B336,2))</f>
        <v/>
      </c>
      <c r="E336" s="69"/>
      <c r="F336" s="69"/>
      <c r="G336" s="70"/>
      <c r="H336" s="70"/>
      <c r="I336" s="69"/>
      <c r="J336" s="69"/>
      <c r="K336" s="69"/>
      <c r="L336" s="71"/>
      <c r="M336" s="69"/>
      <c r="N336" s="69"/>
      <c r="O336" s="69"/>
      <c r="P336" s="71"/>
      <c r="Q336" s="69"/>
      <c r="R336" s="69"/>
      <c r="S336" s="69"/>
      <c r="T336" s="69"/>
      <c r="U336" s="69"/>
      <c r="V336" s="69"/>
      <c r="W336" s="69"/>
      <c r="X336" s="66" t="str">
        <f aca="false">IF(B336="","",COUNTIF(Q336:W336,"Yes"))</f>
        <v/>
      </c>
      <c r="Y336" s="68" t="str">
        <f aca="false">IF(B336="","",IF(X336&gt;=Settings!$C$16,"A+",IF(X336&gt;=Settings!$C$17,"A",IF(X336&gt;=Settings!$C$18,"B","C"))))</f>
        <v/>
      </c>
      <c r="Z336" s="72"/>
      <c r="AA336" s="72"/>
      <c r="AB336" s="72"/>
      <c r="AC336" s="72"/>
      <c r="AD336" s="72"/>
      <c r="AE336" s="72"/>
      <c r="AF336" s="73"/>
      <c r="AG336" s="74"/>
      <c r="AH336" s="75"/>
      <c r="AI336" s="76" t="str">
        <f aca="false">IF(B336="","",ROUND(IF(AG336="",Settings!$C$5,AG336)*AW336,2))</f>
        <v/>
      </c>
      <c r="AJ336" s="77" t="str">
        <f aca="false">IF(OR(B336="",AB336="",AC336="",AD336=""),"",IFERROR(ROUND(ABS(AD336-AB336)/ABS(AB336-AC336),2),""))</f>
        <v/>
      </c>
      <c r="AK336" s="78" t="str">
        <f aca="false">IF(OR(B336="",AB336="",AC336="",AE336=""),"",IFERROR(ROUND(IF(J336="Short",AB336-AE336,AE336-AB336)/ABS(AB336-AC336),2),""))</f>
        <v/>
      </c>
      <c r="AL336" s="68" t="str">
        <f aca="false">IF(AK336="","",IF(ABS(AK336)&lt;=Settings!$C$6,"BE",IF(AK336&gt;0,"Win","Loss")))</f>
        <v/>
      </c>
      <c r="AM336" s="79" t="str">
        <f aca="false">IF(OR(AK336="",AI336=""),"",ROUND(AK336*AI336-N(AH336),2))</f>
        <v/>
      </c>
      <c r="AN336" s="76" t="str">
        <f aca="false">IF(AM336="","",ROUND(BK336+SUMIFS(AM$6:AM336,BJ$6:BJ336,BJ336),2))</f>
        <v/>
      </c>
      <c r="AO336" s="78" t="str">
        <f aca="false">IF(AK336="","",ROUND(SUMIFS(AK$6:AK336,BJ$6:BJ336,BJ336),2))</f>
        <v/>
      </c>
      <c r="AP336" s="80" t="str">
        <f aca="false">IF(OR(AK336="",BL336=""),"",IFERROR(ROUND(IF(J336="Short",AB336-AE336,AE336-AB336)/BL336,1),""))</f>
        <v/>
      </c>
      <c r="AQ336" s="66" t="str">
        <f aca="false">IF(OR(G336="",H336=""),"",ROUND(MOD(H336-G336,1)*1440,0))</f>
        <v/>
      </c>
      <c r="AR336" s="68" t="str">
        <f aca="false">IF(AQ336="","",IF(AQ336&lt;15,"Under 15m",IF(AQ336&lt;60,"15-60m",IF(AQ336&lt;240,"1-4 hours","4+ hours"))))</f>
        <v/>
      </c>
      <c r="AS336" s="66" t="str">
        <f aca="false">IF(G336="","",HOUR(G336))</f>
        <v/>
      </c>
      <c r="AT336" s="80" t="str">
        <f aca="false">IF(OR(Z336="",AB336="",BL336=""),"",IFERROR(ROUND(IF(J336="Short",Z336-AB336,AB336-Z336)/BL336,1),""))</f>
        <v/>
      </c>
      <c r="AU336" s="68" t="str">
        <f aca="false">IF(OR(AA336="",AC336=""),"",IF(AA336=AC336,"No","Yes"))</f>
        <v/>
      </c>
      <c r="AV336" s="81" t="str">
        <f aca="false">IF(OR(B336="",BL336="",BM336="",AB336="",AC336=""),"",IFERROR(ROUND(AI336/(ABS(AB336-AC336)/BL336*BM336),2),""))</f>
        <v/>
      </c>
      <c r="AW336" s="76" t="str">
        <f aca="false">IF(B336="","",ROUND(BK336+SUMIFS(AM$5:AM335,BJ$5:BJ335,BJ336),2))</f>
        <v/>
      </c>
      <c r="AX336" s="66" t="str">
        <f aca="false">IF(B336="","",COUNTIFS(B$6:B336,B336,BJ$6:BJ336,BJ336))</f>
        <v/>
      </c>
      <c r="AY336" s="79" t="str">
        <f aca="false">IF(B336="","",ROUND(SUMIFS(AM$5:AM335,B$5:B335,B336,BJ$5:BJ335,BJ336),2))</f>
        <v/>
      </c>
      <c r="AZ336" s="79" t="str">
        <f aca="false">IF(AM336="","",ROUND(AY336+AM336,2))</f>
        <v/>
      </c>
      <c r="BA336" s="79" t="str">
        <f aca="false">IF(B336="","",ROUND(SUMIFS(AM$5:AM335,B$5:B335,"&gt;="&amp;(B336-WEEKDAY(B336,2)+1),B$5:B335,"&lt;="&amp;B336,BJ$5:BJ335,BJ336),2))</f>
        <v/>
      </c>
      <c r="BB336" s="68" t="str">
        <f aca="false">IF(B336="","",IF(AND(AF336&lt;&gt;"",AV336&lt;&gt;"",N(AF336)&gt;N(AV336)*(1+Settings!$C$13)),"Oversized",IF(AX336&gt;Settings!$C$10,"Overtraded",IF(AY336&lt;=-Settings!$C$11*(AW336-AY336),"Daily loss hit",IF(BA336&lt;=-Settings!$C$12*(AW336-BA336),"Weekly loss hit","OK")))))</f>
        <v/>
      </c>
      <c r="BC336" s="69"/>
      <c r="BD336" s="69"/>
      <c r="BE336" s="69"/>
      <c r="BF336" s="73"/>
      <c r="BG336" s="73"/>
      <c r="BH336" s="71"/>
      <c r="BI336" s="71"/>
      <c r="BJ336" s="68" t="str">
        <f aca="false">IF(B336="","",IF(E336="",Settings!$F$5,E336))</f>
        <v/>
      </c>
      <c r="BK336" s="76" t="str">
        <f aca="false">IF(B336="","",IFERROR(INDEX(Settings!$G$5:$G$10,MATCH(BJ336,Settings!$F$5:$F$10,0)),Settings!$G$5))</f>
        <v/>
      </c>
      <c r="BL336" s="82" t="str">
        <f aca="false">IF(I336="","",IFERROR(1/(1/INDEX(Lists!$C$6:$C$17,MATCH(I336,Lists!$B$6:$B$17,0))),""))</f>
        <v/>
      </c>
      <c r="BM336" s="81" t="str">
        <f aca="false">IF(I336="","",IFERROR(1/(1/INDEX(Lists!$D$6:$D$17,MATCH(I336,Lists!$B$6:$B$17,0))),""))</f>
        <v/>
      </c>
      <c r="BN336" s="76" t="str">
        <f aca="false">IF(AN336="","",MAX(BK336,_xlfn.MAXIFS(AN$6:AN336,BJ$6:BJ336,BJ336)))</f>
        <v/>
      </c>
      <c r="BO336" s="83" t="str">
        <f aca="false">IF(AN336="","",(AN336-BN336)/BN336)</f>
        <v/>
      </c>
      <c r="BP336" s="66" t="n">
        <f aca="false">IF(OR(B336="",AL336=""),0,IF(OR(Settings!$C$28="All Accounts",BJ336=Settings!$C$28),1,0))</f>
        <v>0</v>
      </c>
      <c r="BQ336" s="66" t="str">
        <f aca="false">IF(BP336=1,SUM(BP$6:BP336),"")</f>
        <v/>
      </c>
      <c r="BR336" s="76" t="str">
        <f aca="false">IF(BP336=1,ROUND(Settings!$C$29+SUMIFS(AM$6:AM336,BP$6:BP336,1),2),"")</f>
        <v/>
      </c>
      <c r="BS336" s="76" t="str">
        <f aca="false">IF(BP336=1,MAX(Settings!$C$29,MAX(BR$6:BR336)),"")</f>
        <v/>
      </c>
      <c r="BT336" s="83" t="str">
        <f aca="false">IF(BP336=1,(BR336-BS336)/BS336,"")</f>
        <v/>
      </c>
      <c r="BU336" s="66" t="str">
        <f aca="false">IF(BP336=1,IF(AL336="Win",1+IF(BQ336=1,0,INDEX(BU$5:BU335,MATCH(BQ336-1,BQ$5:BQ335,0))),0),"")</f>
        <v/>
      </c>
      <c r="BV336" s="66" t="str">
        <f aca="false">IF(BP336=1,IF(AL336="Loss",1+IF(BQ336=1,0,INDEX(BV$5:BV335,MATCH(BQ336-1,BQ$5:BQ335,0))),0),"")</f>
        <v/>
      </c>
    </row>
    <row r="337" customFormat="false" ht="15" hidden="false" customHeight="false" outlineLevel="0" collapsed="false">
      <c r="A337" s="66" t="str">
        <f aca="false">IF(B337="","",ROW()-5)</f>
        <v/>
      </c>
      <c r="B337" s="67"/>
      <c r="C337" s="68" t="str">
        <f aca="false">IF(B337="","",CHOOSE(WEEKDAY(B337,2),"Mon","Tue","Wed","Thu","Fri","Sat","Sun"))</f>
        <v/>
      </c>
      <c r="D337" s="66" t="str">
        <f aca="false">IF(B337="","",WEEKNUM(B337,2))</f>
        <v/>
      </c>
      <c r="E337" s="69"/>
      <c r="F337" s="69"/>
      <c r="G337" s="70"/>
      <c r="H337" s="70"/>
      <c r="I337" s="69"/>
      <c r="J337" s="69"/>
      <c r="K337" s="69"/>
      <c r="L337" s="71"/>
      <c r="M337" s="69"/>
      <c r="N337" s="69"/>
      <c r="O337" s="69"/>
      <c r="P337" s="71"/>
      <c r="Q337" s="69"/>
      <c r="R337" s="69"/>
      <c r="S337" s="69"/>
      <c r="T337" s="69"/>
      <c r="U337" s="69"/>
      <c r="V337" s="69"/>
      <c r="W337" s="69"/>
      <c r="X337" s="66" t="str">
        <f aca="false">IF(B337="","",COUNTIF(Q337:W337,"Yes"))</f>
        <v/>
      </c>
      <c r="Y337" s="68" t="str">
        <f aca="false">IF(B337="","",IF(X337&gt;=Settings!$C$16,"A+",IF(X337&gt;=Settings!$C$17,"A",IF(X337&gt;=Settings!$C$18,"B","C"))))</f>
        <v/>
      </c>
      <c r="Z337" s="72"/>
      <c r="AA337" s="72"/>
      <c r="AB337" s="72"/>
      <c r="AC337" s="72"/>
      <c r="AD337" s="72"/>
      <c r="AE337" s="72"/>
      <c r="AF337" s="73"/>
      <c r="AG337" s="74"/>
      <c r="AH337" s="75"/>
      <c r="AI337" s="76" t="str">
        <f aca="false">IF(B337="","",ROUND(IF(AG337="",Settings!$C$5,AG337)*AW337,2))</f>
        <v/>
      </c>
      <c r="AJ337" s="77" t="str">
        <f aca="false">IF(OR(B337="",AB337="",AC337="",AD337=""),"",IFERROR(ROUND(ABS(AD337-AB337)/ABS(AB337-AC337),2),""))</f>
        <v/>
      </c>
      <c r="AK337" s="78" t="str">
        <f aca="false">IF(OR(B337="",AB337="",AC337="",AE337=""),"",IFERROR(ROUND(IF(J337="Short",AB337-AE337,AE337-AB337)/ABS(AB337-AC337),2),""))</f>
        <v/>
      </c>
      <c r="AL337" s="68" t="str">
        <f aca="false">IF(AK337="","",IF(ABS(AK337)&lt;=Settings!$C$6,"BE",IF(AK337&gt;0,"Win","Loss")))</f>
        <v/>
      </c>
      <c r="AM337" s="79" t="str">
        <f aca="false">IF(OR(AK337="",AI337=""),"",ROUND(AK337*AI337-N(AH337),2))</f>
        <v/>
      </c>
      <c r="AN337" s="76" t="str">
        <f aca="false">IF(AM337="","",ROUND(BK337+SUMIFS(AM$6:AM337,BJ$6:BJ337,BJ337),2))</f>
        <v/>
      </c>
      <c r="AO337" s="78" t="str">
        <f aca="false">IF(AK337="","",ROUND(SUMIFS(AK$6:AK337,BJ$6:BJ337,BJ337),2))</f>
        <v/>
      </c>
      <c r="AP337" s="80" t="str">
        <f aca="false">IF(OR(AK337="",BL337=""),"",IFERROR(ROUND(IF(J337="Short",AB337-AE337,AE337-AB337)/BL337,1),""))</f>
        <v/>
      </c>
      <c r="AQ337" s="66" t="str">
        <f aca="false">IF(OR(G337="",H337=""),"",ROUND(MOD(H337-G337,1)*1440,0))</f>
        <v/>
      </c>
      <c r="AR337" s="68" t="str">
        <f aca="false">IF(AQ337="","",IF(AQ337&lt;15,"Under 15m",IF(AQ337&lt;60,"15-60m",IF(AQ337&lt;240,"1-4 hours","4+ hours"))))</f>
        <v/>
      </c>
      <c r="AS337" s="66" t="str">
        <f aca="false">IF(G337="","",HOUR(G337))</f>
        <v/>
      </c>
      <c r="AT337" s="80" t="str">
        <f aca="false">IF(OR(Z337="",AB337="",BL337=""),"",IFERROR(ROUND(IF(J337="Short",Z337-AB337,AB337-Z337)/BL337,1),""))</f>
        <v/>
      </c>
      <c r="AU337" s="68" t="str">
        <f aca="false">IF(OR(AA337="",AC337=""),"",IF(AA337=AC337,"No","Yes"))</f>
        <v/>
      </c>
      <c r="AV337" s="81" t="str">
        <f aca="false">IF(OR(B337="",BL337="",BM337="",AB337="",AC337=""),"",IFERROR(ROUND(AI337/(ABS(AB337-AC337)/BL337*BM337),2),""))</f>
        <v/>
      </c>
      <c r="AW337" s="76" t="str">
        <f aca="false">IF(B337="","",ROUND(BK337+SUMIFS(AM$5:AM336,BJ$5:BJ336,BJ337),2))</f>
        <v/>
      </c>
      <c r="AX337" s="66" t="str">
        <f aca="false">IF(B337="","",COUNTIFS(B$6:B337,B337,BJ$6:BJ337,BJ337))</f>
        <v/>
      </c>
      <c r="AY337" s="79" t="str">
        <f aca="false">IF(B337="","",ROUND(SUMIFS(AM$5:AM336,B$5:B336,B337,BJ$5:BJ336,BJ337),2))</f>
        <v/>
      </c>
      <c r="AZ337" s="79" t="str">
        <f aca="false">IF(AM337="","",ROUND(AY337+AM337,2))</f>
        <v/>
      </c>
      <c r="BA337" s="79" t="str">
        <f aca="false">IF(B337="","",ROUND(SUMIFS(AM$5:AM336,B$5:B336,"&gt;="&amp;(B337-WEEKDAY(B337,2)+1),B$5:B336,"&lt;="&amp;B337,BJ$5:BJ336,BJ337),2))</f>
        <v/>
      </c>
      <c r="BB337" s="68" t="str">
        <f aca="false">IF(B337="","",IF(AND(AF337&lt;&gt;"",AV337&lt;&gt;"",N(AF337)&gt;N(AV337)*(1+Settings!$C$13)),"Oversized",IF(AX337&gt;Settings!$C$10,"Overtraded",IF(AY337&lt;=-Settings!$C$11*(AW337-AY337),"Daily loss hit",IF(BA337&lt;=-Settings!$C$12*(AW337-BA337),"Weekly loss hit","OK")))))</f>
        <v/>
      </c>
      <c r="BC337" s="69"/>
      <c r="BD337" s="69"/>
      <c r="BE337" s="69"/>
      <c r="BF337" s="73"/>
      <c r="BG337" s="73"/>
      <c r="BH337" s="71"/>
      <c r="BI337" s="71"/>
      <c r="BJ337" s="68" t="str">
        <f aca="false">IF(B337="","",IF(E337="",Settings!$F$5,E337))</f>
        <v/>
      </c>
      <c r="BK337" s="76" t="str">
        <f aca="false">IF(B337="","",IFERROR(INDEX(Settings!$G$5:$G$10,MATCH(BJ337,Settings!$F$5:$F$10,0)),Settings!$G$5))</f>
        <v/>
      </c>
      <c r="BL337" s="82" t="str">
        <f aca="false">IF(I337="","",IFERROR(1/(1/INDEX(Lists!$C$6:$C$17,MATCH(I337,Lists!$B$6:$B$17,0))),""))</f>
        <v/>
      </c>
      <c r="BM337" s="81" t="str">
        <f aca="false">IF(I337="","",IFERROR(1/(1/INDEX(Lists!$D$6:$D$17,MATCH(I337,Lists!$B$6:$B$17,0))),""))</f>
        <v/>
      </c>
      <c r="BN337" s="76" t="str">
        <f aca="false">IF(AN337="","",MAX(BK337,_xlfn.MAXIFS(AN$6:AN337,BJ$6:BJ337,BJ337)))</f>
        <v/>
      </c>
      <c r="BO337" s="83" t="str">
        <f aca="false">IF(AN337="","",(AN337-BN337)/BN337)</f>
        <v/>
      </c>
      <c r="BP337" s="66" t="n">
        <f aca="false">IF(OR(B337="",AL337=""),0,IF(OR(Settings!$C$28="All Accounts",BJ337=Settings!$C$28),1,0))</f>
        <v>0</v>
      </c>
      <c r="BQ337" s="66" t="str">
        <f aca="false">IF(BP337=1,SUM(BP$6:BP337),"")</f>
        <v/>
      </c>
      <c r="BR337" s="76" t="str">
        <f aca="false">IF(BP337=1,ROUND(Settings!$C$29+SUMIFS(AM$6:AM337,BP$6:BP337,1),2),"")</f>
        <v/>
      </c>
      <c r="BS337" s="76" t="str">
        <f aca="false">IF(BP337=1,MAX(Settings!$C$29,MAX(BR$6:BR337)),"")</f>
        <v/>
      </c>
      <c r="BT337" s="83" t="str">
        <f aca="false">IF(BP337=1,(BR337-BS337)/BS337,"")</f>
        <v/>
      </c>
      <c r="BU337" s="66" t="str">
        <f aca="false">IF(BP337=1,IF(AL337="Win",1+IF(BQ337=1,0,INDEX(BU$5:BU336,MATCH(BQ337-1,BQ$5:BQ336,0))),0),"")</f>
        <v/>
      </c>
      <c r="BV337" s="66" t="str">
        <f aca="false">IF(BP337=1,IF(AL337="Loss",1+IF(BQ337=1,0,INDEX(BV$5:BV336,MATCH(BQ337-1,BQ$5:BQ336,0))),0),"")</f>
        <v/>
      </c>
    </row>
    <row r="338" customFormat="false" ht="15" hidden="false" customHeight="false" outlineLevel="0" collapsed="false">
      <c r="A338" s="66" t="str">
        <f aca="false">IF(B338="","",ROW()-5)</f>
        <v/>
      </c>
      <c r="B338" s="67"/>
      <c r="C338" s="68" t="str">
        <f aca="false">IF(B338="","",CHOOSE(WEEKDAY(B338,2),"Mon","Tue","Wed","Thu","Fri","Sat","Sun"))</f>
        <v/>
      </c>
      <c r="D338" s="66" t="str">
        <f aca="false">IF(B338="","",WEEKNUM(B338,2))</f>
        <v/>
      </c>
      <c r="E338" s="69"/>
      <c r="F338" s="69"/>
      <c r="G338" s="70"/>
      <c r="H338" s="70"/>
      <c r="I338" s="69"/>
      <c r="J338" s="69"/>
      <c r="K338" s="69"/>
      <c r="L338" s="71"/>
      <c r="M338" s="69"/>
      <c r="N338" s="69"/>
      <c r="O338" s="69"/>
      <c r="P338" s="71"/>
      <c r="Q338" s="69"/>
      <c r="R338" s="69"/>
      <c r="S338" s="69"/>
      <c r="T338" s="69"/>
      <c r="U338" s="69"/>
      <c r="V338" s="69"/>
      <c r="W338" s="69"/>
      <c r="X338" s="66" t="str">
        <f aca="false">IF(B338="","",COUNTIF(Q338:W338,"Yes"))</f>
        <v/>
      </c>
      <c r="Y338" s="68" t="str">
        <f aca="false">IF(B338="","",IF(X338&gt;=Settings!$C$16,"A+",IF(X338&gt;=Settings!$C$17,"A",IF(X338&gt;=Settings!$C$18,"B","C"))))</f>
        <v/>
      </c>
      <c r="Z338" s="72"/>
      <c r="AA338" s="72"/>
      <c r="AB338" s="72"/>
      <c r="AC338" s="72"/>
      <c r="AD338" s="72"/>
      <c r="AE338" s="72"/>
      <c r="AF338" s="73"/>
      <c r="AG338" s="74"/>
      <c r="AH338" s="75"/>
      <c r="AI338" s="76" t="str">
        <f aca="false">IF(B338="","",ROUND(IF(AG338="",Settings!$C$5,AG338)*AW338,2))</f>
        <v/>
      </c>
      <c r="AJ338" s="77" t="str">
        <f aca="false">IF(OR(B338="",AB338="",AC338="",AD338=""),"",IFERROR(ROUND(ABS(AD338-AB338)/ABS(AB338-AC338),2),""))</f>
        <v/>
      </c>
      <c r="AK338" s="78" t="str">
        <f aca="false">IF(OR(B338="",AB338="",AC338="",AE338=""),"",IFERROR(ROUND(IF(J338="Short",AB338-AE338,AE338-AB338)/ABS(AB338-AC338),2),""))</f>
        <v/>
      </c>
      <c r="AL338" s="68" t="str">
        <f aca="false">IF(AK338="","",IF(ABS(AK338)&lt;=Settings!$C$6,"BE",IF(AK338&gt;0,"Win","Loss")))</f>
        <v/>
      </c>
      <c r="AM338" s="79" t="str">
        <f aca="false">IF(OR(AK338="",AI338=""),"",ROUND(AK338*AI338-N(AH338),2))</f>
        <v/>
      </c>
      <c r="AN338" s="76" t="str">
        <f aca="false">IF(AM338="","",ROUND(BK338+SUMIFS(AM$6:AM338,BJ$6:BJ338,BJ338),2))</f>
        <v/>
      </c>
      <c r="AO338" s="78" t="str">
        <f aca="false">IF(AK338="","",ROUND(SUMIFS(AK$6:AK338,BJ$6:BJ338,BJ338),2))</f>
        <v/>
      </c>
      <c r="AP338" s="80" t="str">
        <f aca="false">IF(OR(AK338="",BL338=""),"",IFERROR(ROUND(IF(J338="Short",AB338-AE338,AE338-AB338)/BL338,1),""))</f>
        <v/>
      </c>
      <c r="AQ338" s="66" t="str">
        <f aca="false">IF(OR(G338="",H338=""),"",ROUND(MOD(H338-G338,1)*1440,0))</f>
        <v/>
      </c>
      <c r="AR338" s="68" t="str">
        <f aca="false">IF(AQ338="","",IF(AQ338&lt;15,"Under 15m",IF(AQ338&lt;60,"15-60m",IF(AQ338&lt;240,"1-4 hours","4+ hours"))))</f>
        <v/>
      </c>
      <c r="AS338" s="66" t="str">
        <f aca="false">IF(G338="","",HOUR(G338))</f>
        <v/>
      </c>
      <c r="AT338" s="80" t="str">
        <f aca="false">IF(OR(Z338="",AB338="",BL338=""),"",IFERROR(ROUND(IF(J338="Short",Z338-AB338,AB338-Z338)/BL338,1),""))</f>
        <v/>
      </c>
      <c r="AU338" s="68" t="str">
        <f aca="false">IF(OR(AA338="",AC338=""),"",IF(AA338=AC338,"No","Yes"))</f>
        <v/>
      </c>
      <c r="AV338" s="81" t="str">
        <f aca="false">IF(OR(B338="",BL338="",BM338="",AB338="",AC338=""),"",IFERROR(ROUND(AI338/(ABS(AB338-AC338)/BL338*BM338),2),""))</f>
        <v/>
      </c>
      <c r="AW338" s="76" t="str">
        <f aca="false">IF(B338="","",ROUND(BK338+SUMIFS(AM$5:AM337,BJ$5:BJ337,BJ338),2))</f>
        <v/>
      </c>
      <c r="AX338" s="66" t="str">
        <f aca="false">IF(B338="","",COUNTIFS(B$6:B338,B338,BJ$6:BJ338,BJ338))</f>
        <v/>
      </c>
      <c r="AY338" s="79" t="str">
        <f aca="false">IF(B338="","",ROUND(SUMIFS(AM$5:AM337,B$5:B337,B338,BJ$5:BJ337,BJ338),2))</f>
        <v/>
      </c>
      <c r="AZ338" s="79" t="str">
        <f aca="false">IF(AM338="","",ROUND(AY338+AM338,2))</f>
        <v/>
      </c>
      <c r="BA338" s="79" t="str">
        <f aca="false">IF(B338="","",ROUND(SUMIFS(AM$5:AM337,B$5:B337,"&gt;="&amp;(B338-WEEKDAY(B338,2)+1),B$5:B337,"&lt;="&amp;B338,BJ$5:BJ337,BJ338),2))</f>
        <v/>
      </c>
      <c r="BB338" s="68" t="str">
        <f aca="false">IF(B338="","",IF(AND(AF338&lt;&gt;"",AV338&lt;&gt;"",N(AF338)&gt;N(AV338)*(1+Settings!$C$13)),"Oversized",IF(AX338&gt;Settings!$C$10,"Overtraded",IF(AY338&lt;=-Settings!$C$11*(AW338-AY338),"Daily loss hit",IF(BA338&lt;=-Settings!$C$12*(AW338-BA338),"Weekly loss hit","OK")))))</f>
        <v/>
      </c>
      <c r="BC338" s="69"/>
      <c r="BD338" s="69"/>
      <c r="BE338" s="69"/>
      <c r="BF338" s="73"/>
      <c r="BG338" s="73"/>
      <c r="BH338" s="71"/>
      <c r="BI338" s="71"/>
      <c r="BJ338" s="68" t="str">
        <f aca="false">IF(B338="","",IF(E338="",Settings!$F$5,E338))</f>
        <v/>
      </c>
      <c r="BK338" s="76" t="str">
        <f aca="false">IF(B338="","",IFERROR(INDEX(Settings!$G$5:$G$10,MATCH(BJ338,Settings!$F$5:$F$10,0)),Settings!$G$5))</f>
        <v/>
      </c>
      <c r="BL338" s="82" t="str">
        <f aca="false">IF(I338="","",IFERROR(1/(1/INDEX(Lists!$C$6:$C$17,MATCH(I338,Lists!$B$6:$B$17,0))),""))</f>
        <v/>
      </c>
      <c r="BM338" s="81" t="str">
        <f aca="false">IF(I338="","",IFERROR(1/(1/INDEX(Lists!$D$6:$D$17,MATCH(I338,Lists!$B$6:$B$17,0))),""))</f>
        <v/>
      </c>
      <c r="BN338" s="76" t="str">
        <f aca="false">IF(AN338="","",MAX(BK338,_xlfn.MAXIFS(AN$6:AN338,BJ$6:BJ338,BJ338)))</f>
        <v/>
      </c>
      <c r="BO338" s="83" t="str">
        <f aca="false">IF(AN338="","",(AN338-BN338)/BN338)</f>
        <v/>
      </c>
      <c r="BP338" s="66" t="n">
        <f aca="false">IF(OR(B338="",AL338=""),0,IF(OR(Settings!$C$28="All Accounts",BJ338=Settings!$C$28),1,0))</f>
        <v>0</v>
      </c>
      <c r="BQ338" s="66" t="str">
        <f aca="false">IF(BP338=1,SUM(BP$6:BP338),"")</f>
        <v/>
      </c>
      <c r="BR338" s="76" t="str">
        <f aca="false">IF(BP338=1,ROUND(Settings!$C$29+SUMIFS(AM$6:AM338,BP$6:BP338,1),2),"")</f>
        <v/>
      </c>
      <c r="BS338" s="76" t="str">
        <f aca="false">IF(BP338=1,MAX(Settings!$C$29,MAX(BR$6:BR338)),"")</f>
        <v/>
      </c>
      <c r="BT338" s="83" t="str">
        <f aca="false">IF(BP338=1,(BR338-BS338)/BS338,"")</f>
        <v/>
      </c>
      <c r="BU338" s="66" t="str">
        <f aca="false">IF(BP338=1,IF(AL338="Win",1+IF(BQ338=1,0,INDEX(BU$5:BU337,MATCH(BQ338-1,BQ$5:BQ337,0))),0),"")</f>
        <v/>
      </c>
      <c r="BV338" s="66" t="str">
        <f aca="false">IF(BP338=1,IF(AL338="Loss",1+IF(BQ338=1,0,INDEX(BV$5:BV337,MATCH(BQ338-1,BQ$5:BQ337,0))),0),"")</f>
        <v/>
      </c>
    </row>
    <row r="339" customFormat="false" ht="15" hidden="false" customHeight="false" outlineLevel="0" collapsed="false">
      <c r="A339" s="66" t="str">
        <f aca="false">IF(B339="","",ROW()-5)</f>
        <v/>
      </c>
      <c r="B339" s="67"/>
      <c r="C339" s="68" t="str">
        <f aca="false">IF(B339="","",CHOOSE(WEEKDAY(B339,2),"Mon","Tue","Wed","Thu","Fri","Sat","Sun"))</f>
        <v/>
      </c>
      <c r="D339" s="66" t="str">
        <f aca="false">IF(B339="","",WEEKNUM(B339,2))</f>
        <v/>
      </c>
      <c r="E339" s="69"/>
      <c r="F339" s="69"/>
      <c r="G339" s="70"/>
      <c r="H339" s="70"/>
      <c r="I339" s="69"/>
      <c r="J339" s="69"/>
      <c r="K339" s="69"/>
      <c r="L339" s="71"/>
      <c r="M339" s="69"/>
      <c r="N339" s="69"/>
      <c r="O339" s="69"/>
      <c r="P339" s="71"/>
      <c r="Q339" s="69"/>
      <c r="R339" s="69"/>
      <c r="S339" s="69"/>
      <c r="T339" s="69"/>
      <c r="U339" s="69"/>
      <c r="V339" s="69"/>
      <c r="W339" s="69"/>
      <c r="X339" s="66" t="str">
        <f aca="false">IF(B339="","",COUNTIF(Q339:W339,"Yes"))</f>
        <v/>
      </c>
      <c r="Y339" s="68" t="str">
        <f aca="false">IF(B339="","",IF(X339&gt;=Settings!$C$16,"A+",IF(X339&gt;=Settings!$C$17,"A",IF(X339&gt;=Settings!$C$18,"B","C"))))</f>
        <v/>
      </c>
      <c r="Z339" s="72"/>
      <c r="AA339" s="72"/>
      <c r="AB339" s="72"/>
      <c r="AC339" s="72"/>
      <c r="AD339" s="72"/>
      <c r="AE339" s="72"/>
      <c r="AF339" s="73"/>
      <c r="AG339" s="74"/>
      <c r="AH339" s="75"/>
      <c r="AI339" s="76" t="str">
        <f aca="false">IF(B339="","",ROUND(IF(AG339="",Settings!$C$5,AG339)*AW339,2))</f>
        <v/>
      </c>
      <c r="AJ339" s="77" t="str">
        <f aca="false">IF(OR(B339="",AB339="",AC339="",AD339=""),"",IFERROR(ROUND(ABS(AD339-AB339)/ABS(AB339-AC339),2),""))</f>
        <v/>
      </c>
      <c r="AK339" s="78" t="str">
        <f aca="false">IF(OR(B339="",AB339="",AC339="",AE339=""),"",IFERROR(ROUND(IF(J339="Short",AB339-AE339,AE339-AB339)/ABS(AB339-AC339),2),""))</f>
        <v/>
      </c>
      <c r="AL339" s="68" t="str">
        <f aca="false">IF(AK339="","",IF(ABS(AK339)&lt;=Settings!$C$6,"BE",IF(AK339&gt;0,"Win","Loss")))</f>
        <v/>
      </c>
      <c r="AM339" s="79" t="str">
        <f aca="false">IF(OR(AK339="",AI339=""),"",ROUND(AK339*AI339-N(AH339),2))</f>
        <v/>
      </c>
      <c r="AN339" s="76" t="str">
        <f aca="false">IF(AM339="","",ROUND(BK339+SUMIFS(AM$6:AM339,BJ$6:BJ339,BJ339),2))</f>
        <v/>
      </c>
      <c r="AO339" s="78" t="str">
        <f aca="false">IF(AK339="","",ROUND(SUMIFS(AK$6:AK339,BJ$6:BJ339,BJ339),2))</f>
        <v/>
      </c>
      <c r="AP339" s="80" t="str">
        <f aca="false">IF(OR(AK339="",BL339=""),"",IFERROR(ROUND(IF(J339="Short",AB339-AE339,AE339-AB339)/BL339,1),""))</f>
        <v/>
      </c>
      <c r="AQ339" s="66" t="str">
        <f aca="false">IF(OR(G339="",H339=""),"",ROUND(MOD(H339-G339,1)*1440,0))</f>
        <v/>
      </c>
      <c r="AR339" s="68" t="str">
        <f aca="false">IF(AQ339="","",IF(AQ339&lt;15,"Under 15m",IF(AQ339&lt;60,"15-60m",IF(AQ339&lt;240,"1-4 hours","4+ hours"))))</f>
        <v/>
      </c>
      <c r="AS339" s="66" t="str">
        <f aca="false">IF(G339="","",HOUR(G339))</f>
        <v/>
      </c>
      <c r="AT339" s="80" t="str">
        <f aca="false">IF(OR(Z339="",AB339="",BL339=""),"",IFERROR(ROUND(IF(J339="Short",Z339-AB339,AB339-Z339)/BL339,1),""))</f>
        <v/>
      </c>
      <c r="AU339" s="68" t="str">
        <f aca="false">IF(OR(AA339="",AC339=""),"",IF(AA339=AC339,"No","Yes"))</f>
        <v/>
      </c>
      <c r="AV339" s="81" t="str">
        <f aca="false">IF(OR(B339="",BL339="",BM339="",AB339="",AC339=""),"",IFERROR(ROUND(AI339/(ABS(AB339-AC339)/BL339*BM339),2),""))</f>
        <v/>
      </c>
      <c r="AW339" s="76" t="str">
        <f aca="false">IF(B339="","",ROUND(BK339+SUMIFS(AM$5:AM338,BJ$5:BJ338,BJ339),2))</f>
        <v/>
      </c>
      <c r="AX339" s="66" t="str">
        <f aca="false">IF(B339="","",COUNTIFS(B$6:B339,B339,BJ$6:BJ339,BJ339))</f>
        <v/>
      </c>
      <c r="AY339" s="79" t="str">
        <f aca="false">IF(B339="","",ROUND(SUMIFS(AM$5:AM338,B$5:B338,B339,BJ$5:BJ338,BJ339),2))</f>
        <v/>
      </c>
      <c r="AZ339" s="79" t="str">
        <f aca="false">IF(AM339="","",ROUND(AY339+AM339,2))</f>
        <v/>
      </c>
      <c r="BA339" s="79" t="str">
        <f aca="false">IF(B339="","",ROUND(SUMIFS(AM$5:AM338,B$5:B338,"&gt;="&amp;(B339-WEEKDAY(B339,2)+1),B$5:B338,"&lt;="&amp;B339,BJ$5:BJ338,BJ339),2))</f>
        <v/>
      </c>
      <c r="BB339" s="68" t="str">
        <f aca="false">IF(B339="","",IF(AND(AF339&lt;&gt;"",AV339&lt;&gt;"",N(AF339)&gt;N(AV339)*(1+Settings!$C$13)),"Oversized",IF(AX339&gt;Settings!$C$10,"Overtraded",IF(AY339&lt;=-Settings!$C$11*(AW339-AY339),"Daily loss hit",IF(BA339&lt;=-Settings!$C$12*(AW339-BA339),"Weekly loss hit","OK")))))</f>
        <v/>
      </c>
      <c r="BC339" s="69"/>
      <c r="BD339" s="69"/>
      <c r="BE339" s="69"/>
      <c r="BF339" s="73"/>
      <c r="BG339" s="73"/>
      <c r="BH339" s="71"/>
      <c r="BI339" s="71"/>
      <c r="BJ339" s="68" t="str">
        <f aca="false">IF(B339="","",IF(E339="",Settings!$F$5,E339))</f>
        <v/>
      </c>
      <c r="BK339" s="76" t="str">
        <f aca="false">IF(B339="","",IFERROR(INDEX(Settings!$G$5:$G$10,MATCH(BJ339,Settings!$F$5:$F$10,0)),Settings!$G$5))</f>
        <v/>
      </c>
      <c r="BL339" s="82" t="str">
        <f aca="false">IF(I339="","",IFERROR(1/(1/INDEX(Lists!$C$6:$C$17,MATCH(I339,Lists!$B$6:$B$17,0))),""))</f>
        <v/>
      </c>
      <c r="BM339" s="81" t="str">
        <f aca="false">IF(I339="","",IFERROR(1/(1/INDEX(Lists!$D$6:$D$17,MATCH(I339,Lists!$B$6:$B$17,0))),""))</f>
        <v/>
      </c>
      <c r="BN339" s="76" t="str">
        <f aca="false">IF(AN339="","",MAX(BK339,_xlfn.MAXIFS(AN$6:AN339,BJ$6:BJ339,BJ339)))</f>
        <v/>
      </c>
      <c r="BO339" s="83" t="str">
        <f aca="false">IF(AN339="","",(AN339-BN339)/BN339)</f>
        <v/>
      </c>
      <c r="BP339" s="66" t="n">
        <f aca="false">IF(OR(B339="",AL339=""),0,IF(OR(Settings!$C$28="All Accounts",BJ339=Settings!$C$28),1,0))</f>
        <v>0</v>
      </c>
      <c r="BQ339" s="66" t="str">
        <f aca="false">IF(BP339=1,SUM(BP$6:BP339),"")</f>
        <v/>
      </c>
      <c r="BR339" s="76" t="str">
        <f aca="false">IF(BP339=1,ROUND(Settings!$C$29+SUMIFS(AM$6:AM339,BP$6:BP339,1),2),"")</f>
        <v/>
      </c>
      <c r="BS339" s="76" t="str">
        <f aca="false">IF(BP339=1,MAX(Settings!$C$29,MAX(BR$6:BR339)),"")</f>
        <v/>
      </c>
      <c r="BT339" s="83" t="str">
        <f aca="false">IF(BP339=1,(BR339-BS339)/BS339,"")</f>
        <v/>
      </c>
      <c r="BU339" s="66" t="str">
        <f aca="false">IF(BP339=1,IF(AL339="Win",1+IF(BQ339=1,0,INDEX(BU$5:BU338,MATCH(BQ339-1,BQ$5:BQ338,0))),0),"")</f>
        <v/>
      </c>
      <c r="BV339" s="66" t="str">
        <f aca="false">IF(BP339=1,IF(AL339="Loss",1+IF(BQ339=1,0,INDEX(BV$5:BV338,MATCH(BQ339-1,BQ$5:BQ338,0))),0),"")</f>
        <v/>
      </c>
    </row>
    <row r="340" customFormat="false" ht="15" hidden="false" customHeight="false" outlineLevel="0" collapsed="false">
      <c r="A340" s="66" t="str">
        <f aca="false">IF(B340="","",ROW()-5)</f>
        <v/>
      </c>
      <c r="B340" s="67"/>
      <c r="C340" s="68" t="str">
        <f aca="false">IF(B340="","",CHOOSE(WEEKDAY(B340,2),"Mon","Tue","Wed","Thu","Fri","Sat","Sun"))</f>
        <v/>
      </c>
      <c r="D340" s="66" t="str">
        <f aca="false">IF(B340="","",WEEKNUM(B340,2))</f>
        <v/>
      </c>
      <c r="E340" s="69"/>
      <c r="F340" s="69"/>
      <c r="G340" s="70"/>
      <c r="H340" s="70"/>
      <c r="I340" s="69"/>
      <c r="J340" s="69"/>
      <c r="K340" s="69"/>
      <c r="L340" s="71"/>
      <c r="M340" s="69"/>
      <c r="N340" s="69"/>
      <c r="O340" s="69"/>
      <c r="P340" s="71"/>
      <c r="Q340" s="69"/>
      <c r="R340" s="69"/>
      <c r="S340" s="69"/>
      <c r="T340" s="69"/>
      <c r="U340" s="69"/>
      <c r="V340" s="69"/>
      <c r="W340" s="69"/>
      <c r="X340" s="66" t="str">
        <f aca="false">IF(B340="","",COUNTIF(Q340:W340,"Yes"))</f>
        <v/>
      </c>
      <c r="Y340" s="68" t="str">
        <f aca="false">IF(B340="","",IF(X340&gt;=Settings!$C$16,"A+",IF(X340&gt;=Settings!$C$17,"A",IF(X340&gt;=Settings!$C$18,"B","C"))))</f>
        <v/>
      </c>
      <c r="Z340" s="72"/>
      <c r="AA340" s="72"/>
      <c r="AB340" s="72"/>
      <c r="AC340" s="72"/>
      <c r="AD340" s="72"/>
      <c r="AE340" s="72"/>
      <c r="AF340" s="73"/>
      <c r="AG340" s="74"/>
      <c r="AH340" s="75"/>
      <c r="AI340" s="76" t="str">
        <f aca="false">IF(B340="","",ROUND(IF(AG340="",Settings!$C$5,AG340)*AW340,2))</f>
        <v/>
      </c>
      <c r="AJ340" s="77" t="str">
        <f aca="false">IF(OR(B340="",AB340="",AC340="",AD340=""),"",IFERROR(ROUND(ABS(AD340-AB340)/ABS(AB340-AC340),2),""))</f>
        <v/>
      </c>
      <c r="AK340" s="78" t="str">
        <f aca="false">IF(OR(B340="",AB340="",AC340="",AE340=""),"",IFERROR(ROUND(IF(J340="Short",AB340-AE340,AE340-AB340)/ABS(AB340-AC340),2),""))</f>
        <v/>
      </c>
      <c r="AL340" s="68" t="str">
        <f aca="false">IF(AK340="","",IF(ABS(AK340)&lt;=Settings!$C$6,"BE",IF(AK340&gt;0,"Win","Loss")))</f>
        <v/>
      </c>
      <c r="AM340" s="79" t="str">
        <f aca="false">IF(OR(AK340="",AI340=""),"",ROUND(AK340*AI340-N(AH340),2))</f>
        <v/>
      </c>
      <c r="AN340" s="76" t="str">
        <f aca="false">IF(AM340="","",ROUND(BK340+SUMIFS(AM$6:AM340,BJ$6:BJ340,BJ340),2))</f>
        <v/>
      </c>
      <c r="AO340" s="78" t="str">
        <f aca="false">IF(AK340="","",ROUND(SUMIFS(AK$6:AK340,BJ$6:BJ340,BJ340),2))</f>
        <v/>
      </c>
      <c r="AP340" s="80" t="str">
        <f aca="false">IF(OR(AK340="",BL340=""),"",IFERROR(ROUND(IF(J340="Short",AB340-AE340,AE340-AB340)/BL340,1),""))</f>
        <v/>
      </c>
      <c r="AQ340" s="66" t="str">
        <f aca="false">IF(OR(G340="",H340=""),"",ROUND(MOD(H340-G340,1)*1440,0))</f>
        <v/>
      </c>
      <c r="AR340" s="68" t="str">
        <f aca="false">IF(AQ340="","",IF(AQ340&lt;15,"Under 15m",IF(AQ340&lt;60,"15-60m",IF(AQ340&lt;240,"1-4 hours","4+ hours"))))</f>
        <v/>
      </c>
      <c r="AS340" s="66" t="str">
        <f aca="false">IF(G340="","",HOUR(G340))</f>
        <v/>
      </c>
      <c r="AT340" s="80" t="str">
        <f aca="false">IF(OR(Z340="",AB340="",BL340=""),"",IFERROR(ROUND(IF(J340="Short",Z340-AB340,AB340-Z340)/BL340,1),""))</f>
        <v/>
      </c>
      <c r="AU340" s="68" t="str">
        <f aca="false">IF(OR(AA340="",AC340=""),"",IF(AA340=AC340,"No","Yes"))</f>
        <v/>
      </c>
      <c r="AV340" s="81" t="str">
        <f aca="false">IF(OR(B340="",BL340="",BM340="",AB340="",AC340=""),"",IFERROR(ROUND(AI340/(ABS(AB340-AC340)/BL340*BM340),2),""))</f>
        <v/>
      </c>
      <c r="AW340" s="76" t="str">
        <f aca="false">IF(B340="","",ROUND(BK340+SUMIFS(AM$5:AM339,BJ$5:BJ339,BJ340),2))</f>
        <v/>
      </c>
      <c r="AX340" s="66" t="str">
        <f aca="false">IF(B340="","",COUNTIFS(B$6:B340,B340,BJ$6:BJ340,BJ340))</f>
        <v/>
      </c>
      <c r="AY340" s="79" t="str">
        <f aca="false">IF(B340="","",ROUND(SUMIFS(AM$5:AM339,B$5:B339,B340,BJ$5:BJ339,BJ340),2))</f>
        <v/>
      </c>
      <c r="AZ340" s="79" t="str">
        <f aca="false">IF(AM340="","",ROUND(AY340+AM340,2))</f>
        <v/>
      </c>
      <c r="BA340" s="79" t="str">
        <f aca="false">IF(B340="","",ROUND(SUMIFS(AM$5:AM339,B$5:B339,"&gt;="&amp;(B340-WEEKDAY(B340,2)+1),B$5:B339,"&lt;="&amp;B340,BJ$5:BJ339,BJ340),2))</f>
        <v/>
      </c>
      <c r="BB340" s="68" t="str">
        <f aca="false">IF(B340="","",IF(AND(AF340&lt;&gt;"",AV340&lt;&gt;"",N(AF340)&gt;N(AV340)*(1+Settings!$C$13)),"Oversized",IF(AX340&gt;Settings!$C$10,"Overtraded",IF(AY340&lt;=-Settings!$C$11*(AW340-AY340),"Daily loss hit",IF(BA340&lt;=-Settings!$C$12*(AW340-BA340),"Weekly loss hit","OK")))))</f>
        <v/>
      </c>
      <c r="BC340" s="69"/>
      <c r="BD340" s="69"/>
      <c r="BE340" s="69"/>
      <c r="BF340" s="73"/>
      <c r="BG340" s="73"/>
      <c r="BH340" s="71"/>
      <c r="BI340" s="71"/>
      <c r="BJ340" s="68" t="str">
        <f aca="false">IF(B340="","",IF(E340="",Settings!$F$5,E340))</f>
        <v/>
      </c>
      <c r="BK340" s="76" t="str">
        <f aca="false">IF(B340="","",IFERROR(INDEX(Settings!$G$5:$G$10,MATCH(BJ340,Settings!$F$5:$F$10,0)),Settings!$G$5))</f>
        <v/>
      </c>
      <c r="BL340" s="82" t="str">
        <f aca="false">IF(I340="","",IFERROR(1/(1/INDEX(Lists!$C$6:$C$17,MATCH(I340,Lists!$B$6:$B$17,0))),""))</f>
        <v/>
      </c>
      <c r="BM340" s="81" t="str">
        <f aca="false">IF(I340="","",IFERROR(1/(1/INDEX(Lists!$D$6:$D$17,MATCH(I340,Lists!$B$6:$B$17,0))),""))</f>
        <v/>
      </c>
      <c r="BN340" s="76" t="str">
        <f aca="false">IF(AN340="","",MAX(BK340,_xlfn.MAXIFS(AN$6:AN340,BJ$6:BJ340,BJ340)))</f>
        <v/>
      </c>
      <c r="BO340" s="83" t="str">
        <f aca="false">IF(AN340="","",(AN340-BN340)/BN340)</f>
        <v/>
      </c>
      <c r="BP340" s="66" t="n">
        <f aca="false">IF(OR(B340="",AL340=""),0,IF(OR(Settings!$C$28="All Accounts",BJ340=Settings!$C$28),1,0))</f>
        <v>0</v>
      </c>
      <c r="BQ340" s="66" t="str">
        <f aca="false">IF(BP340=1,SUM(BP$6:BP340),"")</f>
        <v/>
      </c>
      <c r="BR340" s="76" t="str">
        <f aca="false">IF(BP340=1,ROUND(Settings!$C$29+SUMIFS(AM$6:AM340,BP$6:BP340,1),2),"")</f>
        <v/>
      </c>
      <c r="BS340" s="76" t="str">
        <f aca="false">IF(BP340=1,MAX(Settings!$C$29,MAX(BR$6:BR340)),"")</f>
        <v/>
      </c>
      <c r="BT340" s="83" t="str">
        <f aca="false">IF(BP340=1,(BR340-BS340)/BS340,"")</f>
        <v/>
      </c>
      <c r="BU340" s="66" t="str">
        <f aca="false">IF(BP340=1,IF(AL340="Win",1+IF(BQ340=1,0,INDEX(BU$5:BU339,MATCH(BQ340-1,BQ$5:BQ339,0))),0),"")</f>
        <v/>
      </c>
      <c r="BV340" s="66" t="str">
        <f aca="false">IF(BP340=1,IF(AL340="Loss",1+IF(BQ340=1,0,INDEX(BV$5:BV339,MATCH(BQ340-1,BQ$5:BQ339,0))),0),"")</f>
        <v/>
      </c>
    </row>
    <row r="341" customFormat="false" ht="15" hidden="false" customHeight="false" outlineLevel="0" collapsed="false">
      <c r="A341" s="66" t="str">
        <f aca="false">IF(B341="","",ROW()-5)</f>
        <v/>
      </c>
      <c r="B341" s="67"/>
      <c r="C341" s="68" t="str">
        <f aca="false">IF(B341="","",CHOOSE(WEEKDAY(B341,2),"Mon","Tue","Wed","Thu","Fri","Sat","Sun"))</f>
        <v/>
      </c>
      <c r="D341" s="66" t="str">
        <f aca="false">IF(B341="","",WEEKNUM(B341,2))</f>
        <v/>
      </c>
      <c r="E341" s="69"/>
      <c r="F341" s="69"/>
      <c r="G341" s="70"/>
      <c r="H341" s="70"/>
      <c r="I341" s="69"/>
      <c r="J341" s="69"/>
      <c r="K341" s="69"/>
      <c r="L341" s="71"/>
      <c r="M341" s="69"/>
      <c r="N341" s="69"/>
      <c r="O341" s="69"/>
      <c r="P341" s="71"/>
      <c r="Q341" s="69"/>
      <c r="R341" s="69"/>
      <c r="S341" s="69"/>
      <c r="T341" s="69"/>
      <c r="U341" s="69"/>
      <c r="V341" s="69"/>
      <c r="W341" s="69"/>
      <c r="X341" s="66" t="str">
        <f aca="false">IF(B341="","",COUNTIF(Q341:W341,"Yes"))</f>
        <v/>
      </c>
      <c r="Y341" s="68" t="str">
        <f aca="false">IF(B341="","",IF(X341&gt;=Settings!$C$16,"A+",IF(X341&gt;=Settings!$C$17,"A",IF(X341&gt;=Settings!$C$18,"B","C"))))</f>
        <v/>
      </c>
      <c r="Z341" s="72"/>
      <c r="AA341" s="72"/>
      <c r="AB341" s="72"/>
      <c r="AC341" s="72"/>
      <c r="AD341" s="72"/>
      <c r="AE341" s="72"/>
      <c r="AF341" s="73"/>
      <c r="AG341" s="74"/>
      <c r="AH341" s="75"/>
      <c r="AI341" s="76" t="str">
        <f aca="false">IF(B341="","",ROUND(IF(AG341="",Settings!$C$5,AG341)*AW341,2))</f>
        <v/>
      </c>
      <c r="AJ341" s="77" t="str">
        <f aca="false">IF(OR(B341="",AB341="",AC341="",AD341=""),"",IFERROR(ROUND(ABS(AD341-AB341)/ABS(AB341-AC341),2),""))</f>
        <v/>
      </c>
      <c r="AK341" s="78" t="str">
        <f aca="false">IF(OR(B341="",AB341="",AC341="",AE341=""),"",IFERROR(ROUND(IF(J341="Short",AB341-AE341,AE341-AB341)/ABS(AB341-AC341),2),""))</f>
        <v/>
      </c>
      <c r="AL341" s="68" t="str">
        <f aca="false">IF(AK341="","",IF(ABS(AK341)&lt;=Settings!$C$6,"BE",IF(AK341&gt;0,"Win","Loss")))</f>
        <v/>
      </c>
      <c r="AM341" s="79" t="str">
        <f aca="false">IF(OR(AK341="",AI341=""),"",ROUND(AK341*AI341-N(AH341),2))</f>
        <v/>
      </c>
      <c r="AN341" s="76" t="str">
        <f aca="false">IF(AM341="","",ROUND(BK341+SUMIFS(AM$6:AM341,BJ$6:BJ341,BJ341),2))</f>
        <v/>
      </c>
      <c r="AO341" s="78" t="str">
        <f aca="false">IF(AK341="","",ROUND(SUMIFS(AK$6:AK341,BJ$6:BJ341,BJ341),2))</f>
        <v/>
      </c>
      <c r="AP341" s="80" t="str">
        <f aca="false">IF(OR(AK341="",BL341=""),"",IFERROR(ROUND(IF(J341="Short",AB341-AE341,AE341-AB341)/BL341,1),""))</f>
        <v/>
      </c>
      <c r="AQ341" s="66" t="str">
        <f aca="false">IF(OR(G341="",H341=""),"",ROUND(MOD(H341-G341,1)*1440,0))</f>
        <v/>
      </c>
      <c r="AR341" s="68" t="str">
        <f aca="false">IF(AQ341="","",IF(AQ341&lt;15,"Under 15m",IF(AQ341&lt;60,"15-60m",IF(AQ341&lt;240,"1-4 hours","4+ hours"))))</f>
        <v/>
      </c>
      <c r="AS341" s="66" t="str">
        <f aca="false">IF(G341="","",HOUR(G341))</f>
        <v/>
      </c>
      <c r="AT341" s="80" t="str">
        <f aca="false">IF(OR(Z341="",AB341="",BL341=""),"",IFERROR(ROUND(IF(J341="Short",Z341-AB341,AB341-Z341)/BL341,1),""))</f>
        <v/>
      </c>
      <c r="AU341" s="68" t="str">
        <f aca="false">IF(OR(AA341="",AC341=""),"",IF(AA341=AC341,"No","Yes"))</f>
        <v/>
      </c>
      <c r="AV341" s="81" t="str">
        <f aca="false">IF(OR(B341="",BL341="",BM341="",AB341="",AC341=""),"",IFERROR(ROUND(AI341/(ABS(AB341-AC341)/BL341*BM341),2),""))</f>
        <v/>
      </c>
      <c r="AW341" s="76" t="str">
        <f aca="false">IF(B341="","",ROUND(BK341+SUMIFS(AM$5:AM340,BJ$5:BJ340,BJ341),2))</f>
        <v/>
      </c>
      <c r="AX341" s="66" t="str">
        <f aca="false">IF(B341="","",COUNTIFS(B$6:B341,B341,BJ$6:BJ341,BJ341))</f>
        <v/>
      </c>
      <c r="AY341" s="79" t="str">
        <f aca="false">IF(B341="","",ROUND(SUMIFS(AM$5:AM340,B$5:B340,B341,BJ$5:BJ340,BJ341),2))</f>
        <v/>
      </c>
      <c r="AZ341" s="79" t="str">
        <f aca="false">IF(AM341="","",ROUND(AY341+AM341,2))</f>
        <v/>
      </c>
      <c r="BA341" s="79" t="str">
        <f aca="false">IF(B341="","",ROUND(SUMIFS(AM$5:AM340,B$5:B340,"&gt;="&amp;(B341-WEEKDAY(B341,2)+1),B$5:B340,"&lt;="&amp;B341,BJ$5:BJ340,BJ341),2))</f>
        <v/>
      </c>
      <c r="BB341" s="68" t="str">
        <f aca="false">IF(B341="","",IF(AND(AF341&lt;&gt;"",AV341&lt;&gt;"",N(AF341)&gt;N(AV341)*(1+Settings!$C$13)),"Oversized",IF(AX341&gt;Settings!$C$10,"Overtraded",IF(AY341&lt;=-Settings!$C$11*(AW341-AY341),"Daily loss hit",IF(BA341&lt;=-Settings!$C$12*(AW341-BA341),"Weekly loss hit","OK")))))</f>
        <v/>
      </c>
      <c r="BC341" s="69"/>
      <c r="BD341" s="69"/>
      <c r="BE341" s="69"/>
      <c r="BF341" s="73"/>
      <c r="BG341" s="73"/>
      <c r="BH341" s="71"/>
      <c r="BI341" s="71"/>
      <c r="BJ341" s="68" t="str">
        <f aca="false">IF(B341="","",IF(E341="",Settings!$F$5,E341))</f>
        <v/>
      </c>
      <c r="BK341" s="76" t="str">
        <f aca="false">IF(B341="","",IFERROR(INDEX(Settings!$G$5:$G$10,MATCH(BJ341,Settings!$F$5:$F$10,0)),Settings!$G$5))</f>
        <v/>
      </c>
      <c r="BL341" s="82" t="str">
        <f aca="false">IF(I341="","",IFERROR(1/(1/INDEX(Lists!$C$6:$C$17,MATCH(I341,Lists!$B$6:$B$17,0))),""))</f>
        <v/>
      </c>
      <c r="BM341" s="81" t="str">
        <f aca="false">IF(I341="","",IFERROR(1/(1/INDEX(Lists!$D$6:$D$17,MATCH(I341,Lists!$B$6:$B$17,0))),""))</f>
        <v/>
      </c>
      <c r="BN341" s="76" t="str">
        <f aca="false">IF(AN341="","",MAX(BK341,_xlfn.MAXIFS(AN$6:AN341,BJ$6:BJ341,BJ341)))</f>
        <v/>
      </c>
      <c r="BO341" s="83" t="str">
        <f aca="false">IF(AN341="","",(AN341-BN341)/BN341)</f>
        <v/>
      </c>
      <c r="BP341" s="66" t="n">
        <f aca="false">IF(OR(B341="",AL341=""),0,IF(OR(Settings!$C$28="All Accounts",BJ341=Settings!$C$28),1,0))</f>
        <v>0</v>
      </c>
      <c r="BQ341" s="66" t="str">
        <f aca="false">IF(BP341=1,SUM(BP$6:BP341),"")</f>
        <v/>
      </c>
      <c r="BR341" s="76" t="str">
        <f aca="false">IF(BP341=1,ROUND(Settings!$C$29+SUMIFS(AM$6:AM341,BP$6:BP341,1),2),"")</f>
        <v/>
      </c>
      <c r="BS341" s="76" t="str">
        <f aca="false">IF(BP341=1,MAX(Settings!$C$29,MAX(BR$6:BR341)),"")</f>
        <v/>
      </c>
      <c r="BT341" s="83" t="str">
        <f aca="false">IF(BP341=1,(BR341-BS341)/BS341,"")</f>
        <v/>
      </c>
      <c r="BU341" s="66" t="str">
        <f aca="false">IF(BP341=1,IF(AL341="Win",1+IF(BQ341=1,0,INDEX(BU$5:BU340,MATCH(BQ341-1,BQ$5:BQ340,0))),0),"")</f>
        <v/>
      </c>
      <c r="BV341" s="66" t="str">
        <f aca="false">IF(BP341=1,IF(AL341="Loss",1+IF(BQ341=1,0,INDEX(BV$5:BV340,MATCH(BQ341-1,BQ$5:BQ340,0))),0),"")</f>
        <v/>
      </c>
    </row>
    <row r="342" customFormat="false" ht="15" hidden="false" customHeight="false" outlineLevel="0" collapsed="false">
      <c r="A342" s="66" t="str">
        <f aca="false">IF(B342="","",ROW()-5)</f>
        <v/>
      </c>
      <c r="B342" s="67"/>
      <c r="C342" s="68" t="str">
        <f aca="false">IF(B342="","",CHOOSE(WEEKDAY(B342,2),"Mon","Tue","Wed","Thu","Fri","Sat","Sun"))</f>
        <v/>
      </c>
      <c r="D342" s="66" t="str">
        <f aca="false">IF(B342="","",WEEKNUM(B342,2))</f>
        <v/>
      </c>
      <c r="E342" s="69"/>
      <c r="F342" s="69"/>
      <c r="G342" s="70"/>
      <c r="H342" s="70"/>
      <c r="I342" s="69"/>
      <c r="J342" s="69"/>
      <c r="K342" s="69"/>
      <c r="L342" s="71"/>
      <c r="M342" s="69"/>
      <c r="N342" s="69"/>
      <c r="O342" s="69"/>
      <c r="P342" s="71"/>
      <c r="Q342" s="69"/>
      <c r="R342" s="69"/>
      <c r="S342" s="69"/>
      <c r="T342" s="69"/>
      <c r="U342" s="69"/>
      <c r="V342" s="69"/>
      <c r="W342" s="69"/>
      <c r="X342" s="66" t="str">
        <f aca="false">IF(B342="","",COUNTIF(Q342:W342,"Yes"))</f>
        <v/>
      </c>
      <c r="Y342" s="68" t="str">
        <f aca="false">IF(B342="","",IF(X342&gt;=Settings!$C$16,"A+",IF(X342&gt;=Settings!$C$17,"A",IF(X342&gt;=Settings!$C$18,"B","C"))))</f>
        <v/>
      </c>
      <c r="Z342" s="72"/>
      <c r="AA342" s="72"/>
      <c r="AB342" s="72"/>
      <c r="AC342" s="72"/>
      <c r="AD342" s="72"/>
      <c r="AE342" s="72"/>
      <c r="AF342" s="73"/>
      <c r="AG342" s="74"/>
      <c r="AH342" s="75"/>
      <c r="AI342" s="76" t="str">
        <f aca="false">IF(B342="","",ROUND(IF(AG342="",Settings!$C$5,AG342)*AW342,2))</f>
        <v/>
      </c>
      <c r="AJ342" s="77" t="str">
        <f aca="false">IF(OR(B342="",AB342="",AC342="",AD342=""),"",IFERROR(ROUND(ABS(AD342-AB342)/ABS(AB342-AC342),2),""))</f>
        <v/>
      </c>
      <c r="AK342" s="78" t="str">
        <f aca="false">IF(OR(B342="",AB342="",AC342="",AE342=""),"",IFERROR(ROUND(IF(J342="Short",AB342-AE342,AE342-AB342)/ABS(AB342-AC342),2),""))</f>
        <v/>
      </c>
      <c r="AL342" s="68" t="str">
        <f aca="false">IF(AK342="","",IF(ABS(AK342)&lt;=Settings!$C$6,"BE",IF(AK342&gt;0,"Win","Loss")))</f>
        <v/>
      </c>
      <c r="AM342" s="79" t="str">
        <f aca="false">IF(OR(AK342="",AI342=""),"",ROUND(AK342*AI342-N(AH342),2))</f>
        <v/>
      </c>
      <c r="AN342" s="76" t="str">
        <f aca="false">IF(AM342="","",ROUND(BK342+SUMIFS(AM$6:AM342,BJ$6:BJ342,BJ342),2))</f>
        <v/>
      </c>
      <c r="AO342" s="78" t="str">
        <f aca="false">IF(AK342="","",ROUND(SUMIFS(AK$6:AK342,BJ$6:BJ342,BJ342),2))</f>
        <v/>
      </c>
      <c r="AP342" s="80" t="str">
        <f aca="false">IF(OR(AK342="",BL342=""),"",IFERROR(ROUND(IF(J342="Short",AB342-AE342,AE342-AB342)/BL342,1),""))</f>
        <v/>
      </c>
      <c r="AQ342" s="66" t="str">
        <f aca="false">IF(OR(G342="",H342=""),"",ROUND(MOD(H342-G342,1)*1440,0))</f>
        <v/>
      </c>
      <c r="AR342" s="68" t="str">
        <f aca="false">IF(AQ342="","",IF(AQ342&lt;15,"Under 15m",IF(AQ342&lt;60,"15-60m",IF(AQ342&lt;240,"1-4 hours","4+ hours"))))</f>
        <v/>
      </c>
      <c r="AS342" s="66" t="str">
        <f aca="false">IF(G342="","",HOUR(G342))</f>
        <v/>
      </c>
      <c r="AT342" s="80" t="str">
        <f aca="false">IF(OR(Z342="",AB342="",BL342=""),"",IFERROR(ROUND(IF(J342="Short",Z342-AB342,AB342-Z342)/BL342,1),""))</f>
        <v/>
      </c>
      <c r="AU342" s="68" t="str">
        <f aca="false">IF(OR(AA342="",AC342=""),"",IF(AA342=AC342,"No","Yes"))</f>
        <v/>
      </c>
      <c r="AV342" s="81" t="str">
        <f aca="false">IF(OR(B342="",BL342="",BM342="",AB342="",AC342=""),"",IFERROR(ROUND(AI342/(ABS(AB342-AC342)/BL342*BM342),2),""))</f>
        <v/>
      </c>
      <c r="AW342" s="76" t="str">
        <f aca="false">IF(B342="","",ROUND(BK342+SUMIFS(AM$5:AM341,BJ$5:BJ341,BJ342),2))</f>
        <v/>
      </c>
      <c r="AX342" s="66" t="str">
        <f aca="false">IF(B342="","",COUNTIFS(B$6:B342,B342,BJ$6:BJ342,BJ342))</f>
        <v/>
      </c>
      <c r="AY342" s="79" t="str">
        <f aca="false">IF(B342="","",ROUND(SUMIFS(AM$5:AM341,B$5:B341,B342,BJ$5:BJ341,BJ342),2))</f>
        <v/>
      </c>
      <c r="AZ342" s="79" t="str">
        <f aca="false">IF(AM342="","",ROUND(AY342+AM342,2))</f>
        <v/>
      </c>
      <c r="BA342" s="79" t="str">
        <f aca="false">IF(B342="","",ROUND(SUMIFS(AM$5:AM341,B$5:B341,"&gt;="&amp;(B342-WEEKDAY(B342,2)+1),B$5:B341,"&lt;="&amp;B342,BJ$5:BJ341,BJ342),2))</f>
        <v/>
      </c>
      <c r="BB342" s="68" t="str">
        <f aca="false">IF(B342="","",IF(AND(AF342&lt;&gt;"",AV342&lt;&gt;"",N(AF342)&gt;N(AV342)*(1+Settings!$C$13)),"Oversized",IF(AX342&gt;Settings!$C$10,"Overtraded",IF(AY342&lt;=-Settings!$C$11*(AW342-AY342),"Daily loss hit",IF(BA342&lt;=-Settings!$C$12*(AW342-BA342),"Weekly loss hit","OK")))))</f>
        <v/>
      </c>
      <c r="BC342" s="69"/>
      <c r="BD342" s="69"/>
      <c r="BE342" s="69"/>
      <c r="BF342" s="73"/>
      <c r="BG342" s="73"/>
      <c r="BH342" s="71"/>
      <c r="BI342" s="71"/>
      <c r="BJ342" s="68" t="str">
        <f aca="false">IF(B342="","",IF(E342="",Settings!$F$5,E342))</f>
        <v/>
      </c>
      <c r="BK342" s="76" t="str">
        <f aca="false">IF(B342="","",IFERROR(INDEX(Settings!$G$5:$G$10,MATCH(BJ342,Settings!$F$5:$F$10,0)),Settings!$G$5))</f>
        <v/>
      </c>
      <c r="BL342" s="82" t="str">
        <f aca="false">IF(I342="","",IFERROR(1/(1/INDEX(Lists!$C$6:$C$17,MATCH(I342,Lists!$B$6:$B$17,0))),""))</f>
        <v/>
      </c>
      <c r="BM342" s="81" t="str">
        <f aca="false">IF(I342="","",IFERROR(1/(1/INDEX(Lists!$D$6:$D$17,MATCH(I342,Lists!$B$6:$B$17,0))),""))</f>
        <v/>
      </c>
      <c r="BN342" s="76" t="str">
        <f aca="false">IF(AN342="","",MAX(BK342,_xlfn.MAXIFS(AN$6:AN342,BJ$6:BJ342,BJ342)))</f>
        <v/>
      </c>
      <c r="BO342" s="83" t="str">
        <f aca="false">IF(AN342="","",(AN342-BN342)/BN342)</f>
        <v/>
      </c>
      <c r="BP342" s="66" t="n">
        <f aca="false">IF(OR(B342="",AL342=""),0,IF(OR(Settings!$C$28="All Accounts",BJ342=Settings!$C$28),1,0))</f>
        <v>0</v>
      </c>
      <c r="BQ342" s="66" t="str">
        <f aca="false">IF(BP342=1,SUM(BP$6:BP342),"")</f>
        <v/>
      </c>
      <c r="BR342" s="76" t="str">
        <f aca="false">IF(BP342=1,ROUND(Settings!$C$29+SUMIFS(AM$6:AM342,BP$6:BP342,1),2),"")</f>
        <v/>
      </c>
      <c r="BS342" s="76" t="str">
        <f aca="false">IF(BP342=1,MAX(Settings!$C$29,MAX(BR$6:BR342)),"")</f>
        <v/>
      </c>
      <c r="BT342" s="83" t="str">
        <f aca="false">IF(BP342=1,(BR342-BS342)/BS342,"")</f>
        <v/>
      </c>
      <c r="BU342" s="66" t="str">
        <f aca="false">IF(BP342=1,IF(AL342="Win",1+IF(BQ342=1,0,INDEX(BU$5:BU341,MATCH(BQ342-1,BQ$5:BQ341,0))),0),"")</f>
        <v/>
      </c>
      <c r="BV342" s="66" t="str">
        <f aca="false">IF(BP342=1,IF(AL342="Loss",1+IF(BQ342=1,0,INDEX(BV$5:BV341,MATCH(BQ342-1,BQ$5:BQ341,0))),0),"")</f>
        <v/>
      </c>
    </row>
    <row r="343" customFormat="false" ht="15" hidden="false" customHeight="false" outlineLevel="0" collapsed="false">
      <c r="A343" s="66" t="str">
        <f aca="false">IF(B343="","",ROW()-5)</f>
        <v/>
      </c>
      <c r="B343" s="67"/>
      <c r="C343" s="68" t="str">
        <f aca="false">IF(B343="","",CHOOSE(WEEKDAY(B343,2),"Mon","Tue","Wed","Thu","Fri","Sat","Sun"))</f>
        <v/>
      </c>
      <c r="D343" s="66" t="str">
        <f aca="false">IF(B343="","",WEEKNUM(B343,2))</f>
        <v/>
      </c>
      <c r="E343" s="69"/>
      <c r="F343" s="69"/>
      <c r="G343" s="70"/>
      <c r="H343" s="70"/>
      <c r="I343" s="69"/>
      <c r="J343" s="69"/>
      <c r="K343" s="69"/>
      <c r="L343" s="71"/>
      <c r="M343" s="69"/>
      <c r="N343" s="69"/>
      <c r="O343" s="69"/>
      <c r="P343" s="71"/>
      <c r="Q343" s="69"/>
      <c r="R343" s="69"/>
      <c r="S343" s="69"/>
      <c r="T343" s="69"/>
      <c r="U343" s="69"/>
      <c r="V343" s="69"/>
      <c r="W343" s="69"/>
      <c r="X343" s="66" t="str">
        <f aca="false">IF(B343="","",COUNTIF(Q343:W343,"Yes"))</f>
        <v/>
      </c>
      <c r="Y343" s="68" t="str">
        <f aca="false">IF(B343="","",IF(X343&gt;=Settings!$C$16,"A+",IF(X343&gt;=Settings!$C$17,"A",IF(X343&gt;=Settings!$C$18,"B","C"))))</f>
        <v/>
      </c>
      <c r="Z343" s="72"/>
      <c r="AA343" s="72"/>
      <c r="AB343" s="72"/>
      <c r="AC343" s="72"/>
      <c r="AD343" s="72"/>
      <c r="AE343" s="72"/>
      <c r="AF343" s="73"/>
      <c r="AG343" s="74"/>
      <c r="AH343" s="75"/>
      <c r="AI343" s="76" t="str">
        <f aca="false">IF(B343="","",ROUND(IF(AG343="",Settings!$C$5,AG343)*AW343,2))</f>
        <v/>
      </c>
      <c r="AJ343" s="77" t="str">
        <f aca="false">IF(OR(B343="",AB343="",AC343="",AD343=""),"",IFERROR(ROUND(ABS(AD343-AB343)/ABS(AB343-AC343),2),""))</f>
        <v/>
      </c>
      <c r="AK343" s="78" t="str">
        <f aca="false">IF(OR(B343="",AB343="",AC343="",AE343=""),"",IFERROR(ROUND(IF(J343="Short",AB343-AE343,AE343-AB343)/ABS(AB343-AC343),2),""))</f>
        <v/>
      </c>
      <c r="AL343" s="68" t="str">
        <f aca="false">IF(AK343="","",IF(ABS(AK343)&lt;=Settings!$C$6,"BE",IF(AK343&gt;0,"Win","Loss")))</f>
        <v/>
      </c>
      <c r="AM343" s="79" t="str">
        <f aca="false">IF(OR(AK343="",AI343=""),"",ROUND(AK343*AI343-N(AH343),2))</f>
        <v/>
      </c>
      <c r="AN343" s="76" t="str">
        <f aca="false">IF(AM343="","",ROUND(BK343+SUMIFS(AM$6:AM343,BJ$6:BJ343,BJ343),2))</f>
        <v/>
      </c>
      <c r="AO343" s="78" t="str">
        <f aca="false">IF(AK343="","",ROUND(SUMIFS(AK$6:AK343,BJ$6:BJ343,BJ343),2))</f>
        <v/>
      </c>
      <c r="AP343" s="80" t="str">
        <f aca="false">IF(OR(AK343="",BL343=""),"",IFERROR(ROUND(IF(J343="Short",AB343-AE343,AE343-AB343)/BL343,1),""))</f>
        <v/>
      </c>
      <c r="AQ343" s="66" t="str">
        <f aca="false">IF(OR(G343="",H343=""),"",ROUND(MOD(H343-G343,1)*1440,0))</f>
        <v/>
      </c>
      <c r="AR343" s="68" t="str">
        <f aca="false">IF(AQ343="","",IF(AQ343&lt;15,"Under 15m",IF(AQ343&lt;60,"15-60m",IF(AQ343&lt;240,"1-4 hours","4+ hours"))))</f>
        <v/>
      </c>
      <c r="AS343" s="66" t="str">
        <f aca="false">IF(G343="","",HOUR(G343))</f>
        <v/>
      </c>
      <c r="AT343" s="80" t="str">
        <f aca="false">IF(OR(Z343="",AB343="",BL343=""),"",IFERROR(ROUND(IF(J343="Short",Z343-AB343,AB343-Z343)/BL343,1),""))</f>
        <v/>
      </c>
      <c r="AU343" s="68" t="str">
        <f aca="false">IF(OR(AA343="",AC343=""),"",IF(AA343=AC343,"No","Yes"))</f>
        <v/>
      </c>
      <c r="AV343" s="81" t="str">
        <f aca="false">IF(OR(B343="",BL343="",BM343="",AB343="",AC343=""),"",IFERROR(ROUND(AI343/(ABS(AB343-AC343)/BL343*BM343),2),""))</f>
        <v/>
      </c>
      <c r="AW343" s="76" t="str">
        <f aca="false">IF(B343="","",ROUND(BK343+SUMIFS(AM$5:AM342,BJ$5:BJ342,BJ343),2))</f>
        <v/>
      </c>
      <c r="AX343" s="66" t="str">
        <f aca="false">IF(B343="","",COUNTIFS(B$6:B343,B343,BJ$6:BJ343,BJ343))</f>
        <v/>
      </c>
      <c r="AY343" s="79" t="str">
        <f aca="false">IF(B343="","",ROUND(SUMIFS(AM$5:AM342,B$5:B342,B343,BJ$5:BJ342,BJ343),2))</f>
        <v/>
      </c>
      <c r="AZ343" s="79" t="str">
        <f aca="false">IF(AM343="","",ROUND(AY343+AM343,2))</f>
        <v/>
      </c>
      <c r="BA343" s="79" t="str">
        <f aca="false">IF(B343="","",ROUND(SUMIFS(AM$5:AM342,B$5:B342,"&gt;="&amp;(B343-WEEKDAY(B343,2)+1),B$5:B342,"&lt;="&amp;B343,BJ$5:BJ342,BJ343),2))</f>
        <v/>
      </c>
      <c r="BB343" s="68" t="str">
        <f aca="false">IF(B343="","",IF(AND(AF343&lt;&gt;"",AV343&lt;&gt;"",N(AF343)&gt;N(AV343)*(1+Settings!$C$13)),"Oversized",IF(AX343&gt;Settings!$C$10,"Overtraded",IF(AY343&lt;=-Settings!$C$11*(AW343-AY343),"Daily loss hit",IF(BA343&lt;=-Settings!$C$12*(AW343-BA343),"Weekly loss hit","OK")))))</f>
        <v/>
      </c>
      <c r="BC343" s="69"/>
      <c r="BD343" s="69"/>
      <c r="BE343" s="69"/>
      <c r="BF343" s="73"/>
      <c r="BG343" s="73"/>
      <c r="BH343" s="71"/>
      <c r="BI343" s="71"/>
      <c r="BJ343" s="68" t="str">
        <f aca="false">IF(B343="","",IF(E343="",Settings!$F$5,E343))</f>
        <v/>
      </c>
      <c r="BK343" s="76" t="str">
        <f aca="false">IF(B343="","",IFERROR(INDEX(Settings!$G$5:$G$10,MATCH(BJ343,Settings!$F$5:$F$10,0)),Settings!$G$5))</f>
        <v/>
      </c>
      <c r="BL343" s="82" t="str">
        <f aca="false">IF(I343="","",IFERROR(1/(1/INDEX(Lists!$C$6:$C$17,MATCH(I343,Lists!$B$6:$B$17,0))),""))</f>
        <v/>
      </c>
      <c r="BM343" s="81" t="str">
        <f aca="false">IF(I343="","",IFERROR(1/(1/INDEX(Lists!$D$6:$D$17,MATCH(I343,Lists!$B$6:$B$17,0))),""))</f>
        <v/>
      </c>
      <c r="BN343" s="76" t="str">
        <f aca="false">IF(AN343="","",MAX(BK343,_xlfn.MAXIFS(AN$6:AN343,BJ$6:BJ343,BJ343)))</f>
        <v/>
      </c>
      <c r="BO343" s="83" t="str">
        <f aca="false">IF(AN343="","",(AN343-BN343)/BN343)</f>
        <v/>
      </c>
      <c r="BP343" s="66" t="n">
        <f aca="false">IF(OR(B343="",AL343=""),0,IF(OR(Settings!$C$28="All Accounts",BJ343=Settings!$C$28),1,0))</f>
        <v>0</v>
      </c>
      <c r="BQ343" s="66" t="str">
        <f aca="false">IF(BP343=1,SUM(BP$6:BP343),"")</f>
        <v/>
      </c>
      <c r="BR343" s="76" t="str">
        <f aca="false">IF(BP343=1,ROUND(Settings!$C$29+SUMIFS(AM$6:AM343,BP$6:BP343,1),2),"")</f>
        <v/>
      </c>
      <c r="BS343" s="76" t="str">
        <f aca="false">IF(BP343=1,MAX(Settings!$C$29,MAX(BR$6:BR343)),"")</f>
        <v/>
      </c>
      <c r="BT343" s="83" t="str">
        <f aca="false">IF(BP343=1,(BR343-BS343)/BS343,"")</f>
        <v/>
      </c>
      <c r="BU343" s="66" t="str">
        <f aca="false">IF(BP343=1,IF(AL343="Win",1+IF(BQ343=1,0,INDEX(BU$5:BU342,MATCH(BQ343-1,BQ$5:BQ342,0))),0),"")</f>
        <v/>
      </c>
      <c r="BV343" s="66" t="str">
        <f aca="false">IF(BP343=1,IF(AL343="Loss",1+IF(BQ343=1,0,INDEX(BV$5:BV342,MATCH(BQ343-1,BQ$5:BQ342,0))),0),"")</f>
        <v/>
      </c>
    </row>
    <row r="344" customFormat="false" ht="15" hidden="false" customHeight="false" outlineLevel="0" collapsed="false">
      <c r="A344" s="66" t="str">
        <f aca="false">IF(B344="","",ROW()-5)</f>
        <v/>
      </c>
      <c r="B344" s="67"/>
      <c r="C344" s="68" t="str">
        <f aca="false">IF(B344="","",CHOOSE(WEEKDAY(B344,2),"Mon","Tue","Wed","Thu","Fri","Sat","Sun"))</f>
        <v/>
      </c>
      <c r="D344" s="66" t="str">
        <f aca="false">IF(B344="","",WEEKNUM(B344,2))</f>
        <v/>
      </c>
      <c r="E344" s="69"/>
      <c r="F344" s="69"/>
      <c r="G344" s="70"/>
      <c r="H344" s="70"/>
      <c r="I344" s="69"/>
      <c r="J344" s="69"/>
      <c r="K344" s="69"/>
      <c r="L344" s="71"/>
      <c r="M344" s="69"/>
      <c r="N344" s="69"/>
      <c r="O344" s="69"/>
      <c r="P344" s="71"/>
      <c r="Q344" s="69"/>
      <c r="R344" s="69"/>
      <c r="S344" s="69"/>
      <c r="T344" s="69"/>
      <c r="U344" s="69"/>
      <c r="V344" s="69"/>
      <c r="W344" s="69"/>
      <c r="X344" s="66" t="str">
        <f aca="false">IF(B344="","",COUNTIF(Q344:W344,"Yes"))</f>
        <v/>
      </c>
      <c r="Y344" s="68" t="str">
        <f aca="false">IF(B344="","",IF(X344&gt;=Settings!$C$16,"A+",IF(X344&gt;=Settings!$C$17,"A",IF(X344&gt;=Settings!$C$18,"B","C"))))</f>
        <v/>
      </c>
      <c r="Z344" s="72"/>
      <c r="AA344" s="72"/>
      <c r="AB344" s="72"/>
      <c r="AC344" s="72"/>
      <c r="AD344" s="72"/>
      <c r="AE344" s="72"/>
      <c r="AF344" s="73"/>
      <c r="AG344" s="74"/>
      <c r="AH344" s="75"/>
      <c r="AI344" s="76" t="str">
        <f aca="false">IF(B344="","",ROUND(IF(AG344="",Settings!$C$5,AG344)*AW344,2))</f>
        <v/>
      </c>
      <c r="AJ344" s="77" t="str">
        <f aca="false">IF(OR(B344="",AB344="",AC344="",AD344=""),"",IFERROR(ROUND(ABS(AD344-AB344)/ABS(AB344-AC344),2),""))</f>
        <v/>
      </c>
      <c r="AK344" s="78" t="str">
        <f aca="false">IF(OR(B344="",AB344="",AC344="",AE344=""),"",IFERROR(ROUND(IF(J344="Short",AB344-AE344,AE344-AB344)/ABS(AB344-AC344),2),""))</f>
        <v/>
      </c>
      <c r="AL344" s="68" t="str">
        <f aca="false">IF(AK344="","",IF(ABS(AK344)&lt;=Settings!$C$6,"BE",IF(AK344&gt;0,"Win","Loss")))</f>
        <v/>
      </c>
      <c r="AM344" s="79" t="str">
        <f aca="false">IF(OR(AK344="",AI344=""),"",ROUND(AK344*AI344-N(AH344),2))</f>
        <v/>
      </c>
      <c r="AN344" s="76" t="str">
        <f aca="false">IF(AM344="","",ROUND(BK344+SUMIFS(AM$6:AM344,BJ$6:BJ344,BJ344),2))</f>
        <v/>
      </c>
      <c r="AO344" s="78" t="str">
        <f aca="false">IF(AK344="","",ROUND(SUMIFS(AK$6:AK344,BJ$6:BJ344,BJ344),2))</f>
        <v/>
      </c>
      <c r="AP344" s="80" t="str">
        <f aca="false">IF(OR(AK344="",BL344=""),"",IFERROR(ROUND(IF(J344="Short",AB344-AE344,AE344-AB344)/BL344,1),""))</f>
        <v/>
      </c>
      <c r="AQ344" s="66" t="str">
        <f aca="false">IF(OR(G344="",H344=""),"",ROUND(MOD(H344-G344,1)*1440,0))</f>
        <v/>
      </c>
      <c r="AR344" s="68" t="str">
        <f aca="false">IF(AQ344="","",IF(AQ344&lt;15,"Under 15m",IF(AQ344&lt;60,"15-60m",IF(AQ344&lt;240,"1-4 hours","4+ hours"))))</f>
        <v/>
      </c>
      <c r="AS344" s="66" t="str">
        <f aca="false">IF(G344="","",HOUR(G344))</f>
        <v/>
      </c>
      <c r="AT344" s="80" t="str">
        <f aca="false">IF(OR(Z344="",AB344="",BL344=""),"",IFERROR(ROUND(IF(J344="Short",Z344-AB344,AB344-Z344)/BL344,1),""))</f>
        <v/>
      </c>
      <c r="AU344" s="68" t="str">
        <f aca="false">IF(OR(AA344="",AC344=""),"",IF(AA344=AC344,"No","Yes"))</f>
        <v/>
      </c>
      <c r="AV344" s="81" t="str">
        <f aca="false">IF(OR(B344="",BL344="",BM344="",AB344="",AC344=""),"",IFERROR(ROUND(AI344/(ABS(AB344-AC344)/BL344*BM344),2),""))</f>
        <v/>
      </c>
      <c r="AW344" s="76" t="str">
        <f aca="false">IF(B344="","",ROUND(BK344+SUMIFS(AM$5:AM343,BJ$5:BJ343,BJ344),2))</f>
        <v/>
      </c>
      <c r="AX344" s="66" t="str">
        <f aca="false">IF(B344="","",COUNTIFS(B$6:B344,B344,BJ$6:BJ344,BJ344))</f>
        <v/>
      </c>
      <c r="AY344" s="79" t="str">
        <f aca="false">IF(B344="","",ROUND(SUMIFS(AM$5:AM343,B$5:B343,B344,BJ$5:BJ343,BJ344),2))</f>
        <v/>
      </c>
      <c r="AZ344" s="79" t="str">
        <f aca="false">IF(AM344="","",ROUND(AY344+AM344,2))</f>
        <v/>
      </c>
      <c r="BA344" s="79" t="str">
        <f aca="false">IF(B344="","",ROUND(SUMIFS(AM$5:AM343,B$5:B343,"&gt;="&amp;(B344-WEEKDAY(B344,2)+1),B$5:B343,"&lt;="&amp;B344,BJ$5:BJ343,BJ344),2))</f>
        <v/>
      </c>
      <c r="BB344" s="68" t="str">
        <f aca="false">IF(B344="","",IF(AND(AF344&lt;&gt;"",AV344&lt;&gt;"",N(AF344)&gt;N(AV344)*(1+Settings!$C$13)),"Oversized",IF(AX344&gt;Settings!$C$10,"Overtraded",IF(AY344&lt;=-Settings!$C$11*(AW344-AY344),"Daily loss hit",IF(BA344&lt;=-Settings!$C$12*(AW344-BA344),"Weekly loss hit","OK")))))</f>
        <v/>
      </c>
      <c r="BC344" s="69"/>
      <c r="BD344" s="69"/>
      <c r="BE344" s="69"/>
      <c r="BF344" s="73"/>
      <c r="BG344" s="73"/>
      <c r="BH344" s="71"/>
      <c r="BI344" s="71"/>
      <c r="BJ344" s="68" t="str">
        <f aca="false">IF(B344="","",IF(E344="",Settings!$F$5,E344))</f>
        <v/>
      </c>
      <c r="BK344" s="76" t="str">
        <f aca="false">IF(B344="","",IFERROR(INDEX(Settings!$G$5:$G$10,MATCH(BJ344,Settings!$F$5:$F$10,0)),Settings!$G$5))</f>
        <v/>
      </c>
      <c r="BL344" s="82" t="str">
        <f aca="false">IF(I344="","",IFERROR(1/(1/INDEX(Lists!$C$6:$C$17,MATCH(I344,Lists!$B$6:$B$17,0))),""))</f>
        <v/>
      </c>
      <c r="BM344" s="81" t="str">
        <f aca="false">IF(I344="","",IFERROR(1/(1/INDEX(Lists!$D$6:$D$17,MATCH(I344,Lists!$B$6:$B$17,0))),""))</f>
        <v/>
      </c>
      <c r="BN344" s="76" t="str">
        <f aca="false">IF(AN344="","",MAX(BK344,_xlfn.MAXIFS(AN$6:AN344,BJ$6:BJ344,BJ344)))</f>
        <v/>
      </c>
      <c r="BO344" s="83" t="str">
        <f aca="false">IF(AN344="","",(AN344-BN344)/BN344)</f>
        <v/>
      </c>
      <c r="BP344" s="66" t="n">
        <f aca="false">IF(OR(B344="",AL344=""),0,IF(OR(Settings!$C$28="All Accounts",BJ344=Settings!$C$28),1,0))</f>
        <v>0</v>
      </c>
      <c r="BQ344" s="66" t="str">
        <f aca="false">IF(BP344=1,SUM(BP$6:BP344),"")</f>
        <v/>
      </c>
      <c r="BR344" s="76" t="str">
        <f aca="false">IF(BP344=1,ROUND(Settings!$C$29+SUMIFS(AM$6:AM344,BP$6:BP344,1),2),"")</f>
        <v/>
      </c>
      <c r="BS344" s="76" t="str">
        <f aca="false">IF(BP344=1,MAX(Settings!$C$29,MAX(BR$6:BR344)),"")</f>
        <v/>
      </c>
      <c r="BT344" s="83" t="str">
        <f aca="false">IF(BP344=1,(BR344-BS344)/BS344,"")</f>
        <v/>
      </c>
      <c r="BU344" s="66" t="str">
        <f aca="false">IF(BP344=1,IF(AL344="Win",1+IF(BQ344=1,0,INDEX(BU$5:BU343,MATCH(BQ344-1,BQ$5:BQ343,0))),0),"")</f>
        <v/>
      </c>
      <c r="BV344" s="66" t="str">
        <f aca="false">IF(BP344=1,IF(AL344="Loss",1+IF(BQ344=1,0,INDEX(BV$5:BV343,MATCH(BQ344-1,BQ$5:BQ343,0))),0),"")</f>
        <v/>
      </c>
    </row>
    <row r="345" customFormat="false" ht="15" hidden="false" customHeight="false" outlineLevel="0" collapsed="false">
      <c r="A345" s="66" t="str">
        <f aca="false">IF(B345="","",ROW()-5)</f>
        <v/>
      </c>
      <c r="B345" s="67"/>
      <c r="C345" s="68" t="str">
        <f aca="false">IF(B345="","",CHOOSE(WEEKDAY(B345,2),"Mon","Tue","Wed","Thu","Fri","Sat","Sun"))</f>
        <v/>
      </c>
      <c r="D345" s="66" t="str">
        <f aca="false">IF(B345="","",WEEKNUM(B345,2))</f>
        <v/>
      </c>
      <c r="E345" s="69"/>
      <c r="F345" s="69"/>
      <c r="G345" s="70"/>
      <c r="H345" s="70"/>
      <c r="I345" s="69"/>
      <c r="J345" s="69"/>
      <c r="K345" s="69"/>
      <c r="L345" s="71"/>
      <c r="M345" s="69"/>
      <c r="N345" s="69"/>
      <c r="O345" s="69"/>
      <c r="P345" s="71"/>
      <c r="Q345" s="69"/>
      <c r="R345" s="69"/>
      <c r="S345" s="69"/>
      <c r="T345" s="69"/>
      <c r="U345" s="69"/>
      <c r="V345" s="69"/>
      <c r="W345" s="69"/>
      <c r="X345" s="66" t="str">
        <f aca="false">IF(B345="","",COUNTIF(Q345:W345,"Yes"))</f>
        <v/>
      </c>
      <c r="Y345" s="68" t="str">
        <f aca="false">IF(B345="","",IF(X345&gt;=Settings!$C$16,"A+",IF(X345&gt;=Settings!$C$17,"A",IF(X345&gt;=Settings!$C$18,"B","C"))))</f>
        <v/>
      </c>
      <c r="Z345" s="72"/>
      <c r="AA345" s="72"/>
      <c r="AB345" s="72"/>
      <c r="AC345" s="72"/>
      <c r="AD345" s="72"/>
      <c r="AE345" s="72"/>
      <c r="AF345" s="73"/>
      <c r="AG345" s="74"/>
      <c r="AH345" s="75"/>
      <c r="AI345" s="76" t="str">
        <f aca="false">IF(B345="","",ROUND(IF(AG345="",Settings!$C$5,AG345)*AW345,2))</f>
        <v/>
      </c>
      <c r="AJ345" s="77" t="str">
        <f aca="false">IF(OR(B345="",AB345="",AC345="",AD345=""),"",IFERROR(ROUND(ABS(AD345-AB345)/ABS(AB345-AC345),2),""))</f>
        <v/>
      </c>
      <c r="AK345" s="78" t="str">
        <f aca="false">IF(OR(B345="",AB345="",AC345="",AE345=""),"",IFERROR(ROUND(IF(J345="Short",AB345-AE345,AE345-AB345)/ABS(AB345-AC345),2),""))</f>
        <v/>
      </c>
      <c r="AL345" s="68" t="str">
        <f aca="false">IF(AK345="","",IF(ABS(AK345)&lt;=Settings!$C$6,"BE",IF(AK345&gt;0,"Win","Loss")))</f>
        <v/>
      </c>
      <c r="AM345" s="79" t="str">
        <f aca="false">IF(OR(AK345="",AI345=""),"",ROUND(AK345*AI345-N(AH345),2))</f>
        <v/>
      </c>
      <c r="AN345" s="76" t="str">
        <f aca="false">IF(AM345="","",ROUND(BK345+SUMIFS(AM$6:AM345,BJ$6:BJ345,BJ345),2))</f>
        <v/>
      </c>
      <c r="AO345" s="78" t="str">
        <f aca="false">IF(AK345="","",ROUND(SUMIFS(AK$6:AK345,BJ$6:BJ345,BJ345),2))</f>
        <v/>
      </c>
      <c r="AP345" s="80" t="str">
        <f aca="false">IF(OR(AK345="",BL345=""),"",IFERROR(ROUND(IF(J345="Short",AB345-AE345,AE345-AB345)/BL345,1),""))</f>
        <v/>
      </c>
      <c r="AQ345" s="66" t="str">
        <f aca="false">IF(OR(G345="",H345=""),"",ROUND(MOD(H345-G345,1)*1440,0))</f>
        <v/>
      </c>
      <c r="AR345" s="68" t="str">
        <f aca="false">IF(AQ345="","",IF(AQ345&lt;15,"Under 15m",IF(AQ345&lt;60,"15-60m",IF(AQ345&lt;240,"1-4 hours","4+ hours"))))</f>
        <v/>
      </c>
      <c r="AS345" s="66" t="str">
        <f aca="false">IF(G345="","",HOUR(G345))</f>
        <v/>
      </c>
      <c r="AT345" s="80" t="str">
        <f aca="false">IF(OR(Z345="",AB345="",BL345=""),"",IFERROR(ROUND(IF(J345="Short",Z345-AB345,AB345-Z345)/BL345,1),""))</f>
        <v/>
      </c>
      <c r="AU345" s="68" t="str">
        <f aca="false">IF(OR(AA345="",AC345=""),"",IF(AA345=AC345,"No","Yes"))</f>
        <v/>
      </c>
      <c r="AV345" s="81" t="str">
        <f aca="false">IF(OR(B345="",BL345="",BM345="",AB345="",AC345=""),"",IFERROR(ROUND(AI345/(ABS(AB345-AC345)/BL345*BM345),2),""))</f>
        <v/>
      </c>
      <c r="AW345" s="76" t="str">
        <f aca="false">IF(B345="","",ROUND(BK345+SUMIFS(AM$5:AM344,BJ$5:BJ344,BJ345),2))</f>
        <v/>
      </c>
      <c r="AX345" s="66" t="str">
        <f aca="false">IF(B345="","",COUNTIFS(B$6:B345,B345,BJ$6:BJ345,BJ345))</f>
        <v/>
      </c>
      <c r="AY345" s="79" t="str">
        <f aca="false">IF(B345="","",ROUND(SUMIFS(AM$5:AM344,B$5:B344,B345,BJ$5:BJ344,BJ345),2))</f>
        <v/>
      </c>
      <c r="AZ345" s="79" t="str">
        <f aca="false">IF(AM345="","",ROUND(AY345+AM345,2))</f>
        <v/>
      </c>
      <c r="BA345" s="79" t="str">
        <f aca="false">IF(B345="","",ROUND(SUMIFS(AM$5:AM344,B$5:B344,"&gt;="&amp;(B345-WEEKDAY(B345,2)+1),B$5:B344,"&lt;="&amp;B345,BJ$5:BJ344,BJ345),2))</f>
        <v/>
      </c>
      <c r="BB345" s="68" t="str">
        <f aca="false">IF(B345="","",IF(AND(AF345&lt;&gt;"",AV345&lt;&gt;"",N(AF345)&gt;N(AV345)*(1+Settings!$C$13)),"Oversized",IF(AX345&gt;Settings!$C$10,"Overtraded",IF(AY345&lt;=-Settings!$C$11*(AW345-AY345),"Daily loss hit",IF(BA345&lt;=-Settings!$C$12*(AW345-BA345),"Weekly loss hit","OK")))))</f>
        <v/>
      </c>
      <c r="BC345" s="69"/>
      <c r="BD345" s="69"/>
      <c r="BE345" s="69"/>
      <c r="BF345" s="73"/>
      <c r="BG345" s="73"/>
      <c r="BH345" s="71"/>
      <c r="BI345" s="71"/>
      <c r="BJ345" s="68" t="str">
        <f aca="false">IF(B345="","",IF(E345="",Settings!$F$5,E345))</f>
        <v/>
      </c>
      <c r="BK345" s="76" t="str">
        <f aca="false">IF(B345="","",IFERROR(INDEX(Settings!$G$5:$G$10,MATCH(BJ345,Settings!$F$5:$F$10,0)),Settings!$G$5))</f>
        <v/>
      </c>
      <c r="BL345" s="82" t="str">
        <f aca="false">IF(I345="","",IFERROR(1/(1/INDEX(Lists!$C$6:$C$17,MATCH(I345,Lists!$B$6:$B$17,0))),""))</f>
        <v/>
      </c>
      <c r="BM345" s="81" t="str">
        <f aca="false">IF(I345="","",IFERROR(1/(1/INDEX(Lists!$D$6:$D$17,MATCH(I345,Lists!$B$6:$B$17,0))),""))</f>
        <v/>
      </c>
      <c r="BN345" s="76" t="str">
        <f aca="false">IF(AN345="","",MAX(BK345,_xlfn.MAXIFS(AN$6:AN345,BJ$6:BJ345,BJ345)))</f>
        <v/>
      </c>
      <c r="BO345" s="83" t="str">
        <f aca="false">IF(AN345="","",(AN345-BN345)/BN345)</f>
        <v/>
      </c>
      <c r="BP345" s="66" t="n">
        <f aca="false">IF(OR(B345="",AL345=""),0,IF(OR(Settings!$C$28="All Accounts",BJ345=Settings!$C$28),1,0))</f>
        <v>0</v>
      </c>
      <c r="BQ345" s="66" t="str">
        <f aca="false">IF(BP345=1,SUM(BP$6:BP345),"")</f>
        <v/>
      </c>
      <c r="BR345" s="76" t="str">
        <f aca="false">IF(BP345=1,ROUND(Settings!$C$29+SUMIFS(AM$6:AM345,BP$6:BP345,1),2),"")</f>
        <v/>
      </c>
      <c r="BS345" s="76" t="str">
        <f aca="false">IF(BP345=1,MAX(Settings!$C$29,MAX(BR$6:BR345)),"")</f>
        <v/>
      </c>
      <c r="BT345" s="83" t="str">
        <f aca="false">IF(BP345=1,(BR345-BS345)/BS345,"")</f>
        <v/>
      </c>
      <c r="BU345" s="66" t="str">
        <f aca="false">IF(BP345=1,IF(AL345="Win",1+IF(BQ345=1,0,INDEX(BU$5:BU344,MATCH(BQ345-1,BQ$5:BQ344,0))),0),"")</f>
        <v/>
      </c>
      <c r="BV345" s="66" t="str">
        <f aca="false">IF(BP345=1,IF(AL345="Loss",1+IF(BQ345=1,0,INDEX(BV$5:BV344,MATCH(BQ345-1,BQ$5:BQ344,0))),0),"")</f>
        <v/>
      </c>
    </row>
    <row r="346" customFormat="false" ht="15" hidden="false" customHeight="false" outlineLevel="0" collapsed="false">
      <c r="A346" s="66" t="str">
        <f aca="false">IF(B346="","",ROW()-5)</f>
        <v/>
      </c>
      <c r="B346" s="67"/>
      <c r="C346" s="68" t="str">
        <f aca="false">IF(B346="","",CHOOSE(WEEKDAY(B346,2),"Mon","Tue","Wed","Thu","Fri","Sat","Sun"))</f>
        <v/>
      </c>
      <c r="D346" s="66" t="str">
        <f aca="false">IF(B346="","",WEEKNUM(B346,2))</f>
        <v/>
      </c>
      <c r="E346" s="69"/>
      <c r="F346" s="69"/>
      <c r="G346" s="70"/>
      <c r="H346" s="70"/>
      <c r="I346" s="69"/>
      <c r="J346" s="69"/>
      <c r="K346" s="69"/>
      <c r="L346" s="71"/>
      <c r="M346" s="69"/>
      <c r="N346" s="69"/>
      <c r="O346" s="69"/>
      <c r="P346" s="71"/>
      <c r="Q346" s="69"/>
      <c r="R346" s="69"/>
      <c r="S346" s="69"/>
      <c r="T346" s="69"/>
      <c r="U346" s="69"/>
      <c r="V346" s="69"/>
      <c r="W346" s="69"/>
      <c r="X346" s="66" t="str">
        <f aca="false">IF(B346="","",COUNTIF(Q346:W346,"Yes"))</f>
        <v/>
      </c>
      <c r="Y346" s="68" t="str">
        <f aca="false">IF(B346="","",IF(X346&gt;=Settings!$C$16,"A+",IF(X346&gt;=Settings!$C$17,"A",IF(X346&gt;=Settings!$C$18,"B","C"))))</f>
        <v/>
      </c>
      <c r="Z346" s="72"/>
      <c r="AA346" s="72"/>
      <c r="AB346" s="72"/>
      <c r="AC346" s="72"/>
      <c r="AD346" s="72"/>
      <c r="AE346" s="72"/>
      <c r="AF346" s="73"/>
      <c r="AG346" s="74"/>
      <c r="AH346" s="75"/>
      <c r="AI346" s="76" t="str">
        <f aca="false">IF(B346="","",ROUND(IF(AG346="",Settings!$C$5,AG346)*AW346,2))</f>
        <v/>
      </c>
      <c r="AJ346" s="77" t="str">
        <f aca="false">IF(OR(B346="",AB346="",AC346="",AD346=""),"",IFERROR(ROUND(ABS(AD346-AB346)/ABS(AB346-AC346),2),""))</f>
        <v/>
      </c>
      <c r="AK346" s="78" t="str">
        <f aca="false">IF(OR(B346="",AB346="",AC346="",AE346=""),"",IFERROR(ROUND(IF(J346="Short",AB346-AE346,AE346-AB346)/ABS(AB346-AC346),2),""))</f>
        <v/>
      </c>
      <c r="AL346" s="68" t="str">
        <f aca="false">IF(AK346="","",IF(ABS(AK346)&lt;=Settings!$C$6,"BE",IF(AK346&gt;0,"Win","Loss")))</f>
        <v/>
      </c>
      <c r="AM346" s="79" t="str">
        <f aca="false">IF(OR(AK346="",AI346=""),"",ROUND(AK346*AI346-N(AH346),2))</f>
        <v/>
      </c>
      <c r="AN346" s="76" t="str">
        <f aca="false">IF(AM346="","",ROUND(BK346+SUMIFS(AM$6:AM346,BJ$6:BJ346,BJ346),2))</f>
        <v/>
      </c>
      <c r="AO346" s="78" t="str">
        <f aca="false">IF(AK346="","",ROUND(SUMIFS(AK$6:AK346,BJ$6:BJ346,BJ346),2))</f>
        <v/>
      </c>
      <c r="AP346" s="80" t="str">
        <f aca="false">IF(OR(AK346="",BL346=""),"",IFERROR(ROUND(IF(J346="Short",AB346-AE346,AE346-AB346)/BL346,1),""))</f>
        <v/>
      </c>
      <c r="AQ346" s="66" t="str">
        <f aca="false">IF(OR(G346="",H346=""),"",ROUND(MOD(H346-G346,1)*1440,0))</f>
        <v/>
      </c>
      <c r="AR346" s="68" t="str">
        <f aca="false">IF(AQ346="","",IF(AQ346&lt;15,"Under 15m",IF(AQ346&lt;60,"15-60m",IF(AQ346&lt;240,"1-4 hours","4+ hours"))))</f>
        <v/>
      </c>
      <c r="AS346" s="66" t="str">
        <f aca="false">IF(G346="","",HOUR(G346))</f>
        <v/>
      </c>
      <c r="AT346" s="80" t="str">
        <f aca="false">IF(OR(Z346="",AB346="",BL346=""),"",IFERROR(ROUND(IF(J346="Short",Z346-AB346,AB346-Z346)/BL346,1),""))</f>
        <v/>
      </c>
      <c r="AU346" s="68" t="str">
        <f aca="false">IF(OR(AA346="",AC346=""),"",IF(AA346=AC346,"No","Yes"))</f>
        <v/>
      </c>
      <c r="AV346" s="81" t="str">
        <f aca="false">IF(OR(B346="",BL346="",BM346="",AB346="",AC346=""),"",IFERROR(ROUND(AI346/(ABS(AB346-AC346)/BL346*BM346),2),""))</f>
        <v/>
      </c>
      <c r="AW346" s="76" t="str">
        <f aca="false">IF(B346="","",ROUND(BK346+SUMIFS(AM$5:AM345,BJ$5:BJ345,BJ346),2))</f>
        <v/>
      </c>
      <c r="AX346" s="66" t="str">
        <f aca="false">IF(B346="","",COUNTIFS(B$6:B346,B346,BJ$6:BJ346,BJ346))</f>
        <v/>
      </c>
      <c r="AY346" s="79" t="str">
        <f aca="false">IF(B346="","",ROUND(SUMIFS(AM$5:AM345,B$5:B345,B346,BJ$5:BJ345,BJ346),2))</f>
        <v/>
      </c>
      <c r="AZ346" s="79" t="str">
        <f aca="false">IF(AM346="","",ROUND(AY346+AM346,2))</f>
        <v/>
      </c>
      <c r="BA346" s="79" t="str">
        <f aca="false">IF(B346="","",ROUND(SUMIFS(AM$5:AM345,B$5:B345,"&gt;="&amp;(B346-WEEKDAY(B346,2)+1),B$5:B345,"&lt;="&amp;B346,BJ$5:BJ345,BJ346),2))</f>
        <v/>
      </c>
      <c r="BB346" s="68" t="str">
        <f aca="false">IF(B346="","",IF(AND(AF346&lt;&gt;"",AV346&lt;&gt;"",N(AF346)&gt;N(AV346)*(1+Settings!$C$13)),"Oversized",IF(AX346&gt;Settings!$C$10,"Overtraded",IF(AY346&lt;=-Settings!$C$11*(AW346-AY346),"Daily loss hit",IF(BA346&lt;=-Settings!$C$12*(AW346-BA346),"Weekly loss hit","OK")))))</f>
        <v/>
      </c>
      <c r="BC346" s="69"/>
      <c r="BD346" s="69"/>
      <c r="BE346" s="69"/>
      <c r="BF346" s="73"/>
      <c r="BG346" s="73"/>
      <c r="BH346" s="71"/>
      <c r="BI346" s="71"/>
      <c r="BJ346" s="68" t="str">
        <f aca="false">IF(B346="","",IF(E346="",Settings!$F$5,E346))</f>
        <v/>
      </c>
      <c r="BK346" s="76" t="str">
        <f aca="false">IF(B346="","",IFERROR(INDEX(Settings!$G$5:$G$10,MATCH(BJ346,Settings!$F$5:$F$10,0)),Settings!$G$5))</f>
        <v/>
      </c>
      <c r="BL346" s="82" t="str">
        <f aca="false">IF(I346="","",IFERROR(1/(1/INDEX(Lists!$C$6:$C$17,MATCH(I346,Lists!$B$6:$B$17,0))),""))</f>
        <v/>
      </c>
      <c r="BM346" s="81" t="str">
        <f aca="false">IF(I346="","",IFERROR(1/(1/INDEX(Lists!$D$6:$D$17,MATCH(I346,Lists!$B$6:$B$17,0))),""))</f>
        <v/>
      </c>
      <c r="BN346" s="76" t="str">
        <f aca="false">IF(AN346="","",MAX(BK346,_xlfn.MAXIFS(AN$6:AN346,BJ$6:BJ346,BJ346)))</f>
        <v/>
      </c>
      <c r="BO346" s="83" t="str">
        <f aca="false">IF(AN346="","",(AN346-BN346)/BN346)</f>
        <v/>
      </c>
      <c r="BP346" s="66" t="n">
        <f aca="false">IF(OR(B346="",AL346=""),0,IF(OR(Settings!$C$28="All Accounts",BJ346=Settings!$C$28),1,0))</f>
        <v>0</v>
      </c>
      <c r="BQ346" s="66" t="str">
        <f aca="false">IF(BP346=1,SUM(BP$6:BP346),"")</f>
        <v/>
      </c>
      <c r="BR346" s="76" t="str">
        <f aca="false">IF(BP346=1,ROUND(Settings!$C$29+SUMIFS(AM$6:AM346,BP$6:BP346,1),2),"")</f>
        <v/>
      </c>
      <c r="BS346" s="76" t="str">
        <f aca="false">IF(BP346=1,MAX(Settings!$C$29,MAX(BR$6:BR346)),"")</f>
        <v/>
      </c>
      <c r="BT346" s="83" t="str">
        <f aca="false">IF(BP346=1,(BR346-BS346)/BS346,"")</f>
        <v/>
      </c>
      <c r="BU346" s="66" t="str">
        <f aca="false">IF(BP346=1,IF(AL346="Win",1+IF(BQ346=1,0,INDEX(BU$5:BU345,MATCH(BQ346-1,BQ$5:BQ345,0))),0),"")</f>
        <v/>
      </c>
      <c r="BV346" s="66" t="str">
        <f aca="false">IF(BP346=1,IF(AL346="Loss",1+IF(BQ346=1,0,INDEX(BV$5:BV345,MATCH(BQ346-1,BQ$5:BQ345,0))),0),"")</f>
        <v/>
      </c>
    </row>
    <row r="347" customFormat="false" ht="15" hidden="false" customHeight="false" outlineLevel="0" collapsed="false">
      <c r="A347" s="66" t="str">
        <f aca="false">IF(B347="","",ROW()-5)</f>
        <v/>
      </c>
      <c r="B347" s="67"/>
      <c r="C347" s="68" t="str">
        <f aca="false">IF(B347="","",CHOOSE(WEEKDAY(B347,2),"Mon","Tue","Wed","Thu","Fri","Sat","Sun"))</f>
        <v/>
      </c>
      <c r="D347" s="66" t="str">
        <f aca="false">IF(B347="","",WEEKNUM(B347,2))</f>
        <v/>
      </c>
      <c r="E347" s="69"/>
      <c r="F347" s="69"/>
      <c r="G347" s="70"/>
      <c r="H347" s="70"/>
      <c r="I347" s="69"/>
      <c r="J347" s="69"/>
      <c r="K347" s="69"/>
      <c r="L347" s="71"/>
      <c r="M347" s="69"/>
      <c r="N347" s="69"/>
      <c r="O347" s="69"/>
      <c r="P347" s="71"/>
      <c r="Q347" s="69"/>
      <c r="R347" s="69"/>
      <c r="S347" s="69"/>
      <c r="T347" s="69"/>
      <c r="U347" s="69"/>
      <c r="V347" s="69"/>
      <c r="W347" s="69"/>
      <c r="X347" s="66" t="str">
        <f aca="false">IF(B347="","",COUNTIF(Q347:W347,"Yes"))</f>
        <v/>
      </c>
      <c r="Y347" s="68" t="str">
        <f aca="false">IF(B347="","",IF(X347&gt;=Settings!$C$16,"A+",IF(X347&gt;=Settings!$C$17,"A",IF(X347&gt;=Settings!$C$18,"B","C"))))</f>
        <v/>
      </c>
      <c r="Z347" s="72"/>
      <c r="AA347" s="72"/>
      <c r="AB347" s="72"/>
      <c r="AC347" s="72"/>
      <c r="AD347" s="72"/>
      <c r="AE347" s="72"/>
      <c r="AF347" s="73"/>
      <c r="AG347" s="74"/>
      <c r="AH347" s="75"/>
      <c r="AI347" s="76" t="str">
        <f aca="false">IF(B347="","",ROUND(IF(AG347="",Settings!$C$5,AG347)*AW347,2))</f>
        <v/>
      </c>
      <c r="AJ347" s="77" t="str">
        <f aca="false">IF(OR(B347="",AB347="",AC347="",AD347=""),"",IFERROR(ROUND(ABS(AD347-AB347)/ABS(AB347-AC347),2),""))</f>
        <v/>
      </c>
      <c r="AK347" s="78" t="str">
        <f aca="false">IF(OR(B347="",AB347="",AC347="",AE347=""),"",IFERROR(ROUND(IF(J347="Short",AB347-AE347,AE347-AB347)/ABS(AB347-AC347),2),""))</f>
        <v/>
      </c>
      <c r="AL347" s="68" t="str">
        <f aca="false">IF(AK347="","",IF(ABS(AK347)&lt;=Settings!$C$6,"BE",IF(AK347&gt;0,"Win","Loss")))</f>
        <v/>
      </c>
      <c r="AM347" s="79" t="str">
        <f aca="false">IF(OR(AK347="",AI347=""),"",ROUND(AK347*AI347-N(AH347),2))</f>
        <v/>
      </c>
      <c r="AN347" s="76" t="str">
        <f aca="false">IF(AM347="","",ROUND(BK347+SUMIFS(AM$6:AM347,BJ$6:BJ347,BJ347),2))</f>
        <v/>
      </c>
      <c r="AO347" s="78" t="str">
        <f aca="false">IF(AK347="","",ROUND(SUMIFS(AK$6:AK347,BJ$6:BJ347,BJ347),2))</f>
        <v/>
      </c>
      <c r="AP347" s="80" t="str">
        <f aca="false">IF(OR(AK347="",BL347=""),"",IFERROR(ROUND(IF(J347="Short",AB347-AE347,AE347-AB347)/BL347,1),""))</f>
        <v/>
      </c>
      <c r="AQ347" s="66" t="str">
        <f aca="false">IF(OR(G347="",H347=""),"",ROUND(MOD(H347-G347,1)*1440,0))</f>
        <v/>
      </c>
      <c r="AR347" s="68" t="str">
        <f aca="false">IF(AQ347="","",IF(AQ347&lt;15,"Under 15m",IF(AQ347&lt;60,"15-60m",IF(AQ347&lt;240,"1-4 hours","4+ hours"))))</f>
        <v/>
      </c>
      <c r="AS347" s="66" t="str">
        <f aca="false">IF(G347="","",HOUR(G347))</f>
        <v/>
      </c>
      <c r="AT347" s="80" t="str">
        <f aca="false">IF(OR(Z347="",AB347="",BL347=""),"",IFERROR(ROUND(IF(J347="Short",Z347-AB347,AB347-Z347)/BL347,1),""))</f>
        <v/>
      </c>
      <c r="AU347" s="68" t="str">
        <f aca="false">IF(OR(AA347="",AC347=""),"",IF(AA347=AC347,"No","Yes"))</f>
        <v/>
      </c>
      <c r="AV347" s="81" t="str">
        <f aca="false">IF(OR(B347="",BL347="",BM347="",AB347="",AC347=""),"",IFERROR(ROUND(AI347/(ABS(AB347-AC347)/BL347*BM347),2),""))</f>
        <v/>
      </c>
      <c r="AW347" s="76" t="str">
        <f aca="false">IF(B347="","",ROUND(BK347+SUMIFS(AM$5:AM346,BJ$5:BJ346,BJ347),2))</f>
        <v/>
      </c>
      <c r="AX347" s="66" t="str">
        <f aca="false">IF(B347="","",COUNTIFS(B$6:B347,B347,BJ$6:BJ347,BJ347))</f>
        <v/>
      </c>
      <c r="AY347" s="79" t="str">
        <f aca="false">IF(B347="","",ROUND(SUMIFS(AM$5:AM346,B$5:B346,B347,BJ$5:BJ346,BJ347),2))</f>
        <v/>
      </c>
      <c r="AZ347" s="79" t="str">
        <f aca="false">IF(AM347="","",ROUND(AY347+AM347,2))</f>
        <v/>
      </c>
      <c r="BA347" s="79" t="str">
        <f aca="false">IF(B347="","",ROUND(SUMIFS(AM$5:AM346,B$5:B346,"&gt;="&amp;(B347-WEEKDAY(B347,2)+1),B$5:B346,"&lt;="&amp;B347,BJ$5:BJ346,BJ347),2))</f>
        <v/>
      </c>
      <c r="BB347" s="68" t="str">
        <f aca="false">IF(B347="","",IF(AND(AF347&lt;&gt;"",AV347&lt;&gt;"",N(AF347)&gt;N(AV347)*(1+Settings!$C$13)),"Oversized",IF(AX347&gt;Settings!$C$10,"Overtraded",IF(AY347&lt;=-Settings!$C$11*(AW347-AY347),"Daily loss hit",IF(BA347&lt;=-Settings!$C$12*(AW347-BA347),"Weekly loss hit","OK")))))</f>
        <v/>
      </c>
      <c r="BC347" s="69"/>
      <c r="BD347" s="69"/>
      <c r="BE347" s="69"/>
      <c r="BF347" s="73"/>
      <c r="BG347" s="73"/>
      <c r="BH347" s="71"/>
      <c r="BI347" s="71"/>
      <c r="BJ347" s="68" t="str">
        <f aca="false">IF(B347="","",IF(E347="",Settings!$F$5,E347))</f>
        <v/>
      </c>
      <c r="BK347" s="76" t="str">
        <f aca="false">IF(B347="","",IFERROR(INDEX(Settings!$G$5:$G$10,MATCH(BJ347,Settings!$F$5:$F$10,0)),Settings!$G$5))</f>
        <v/>
      </c>
      <c r="BL347" s="82" t="str">
        <f aca="false">IF(I347="","",IFERROR(1/(1/INDEX(Lists!$C$6:$C$17,MATCH(I347,Lists!$B$6:$B$17,0))),""))</f>
        <v/>
      </c>
      <c r="BM347" s="81" t="str">
        <f aca="false">IF(I347="","",IFERROR(1/(1/INDEX(Lists!$D$6:$D$17,MATCH(I347,Lists!$B$6:$B$17,0))),""))</f>
        <v/>
      </c>
      <c r="BN347" s="76" t="str">
        <f aca="false">IF(AN347="","",MAX(BK347,_xlfn.MAXIFS(AN$6:AN347,BJ$6:BJ347,BJ347)))</f>
        <v/>
      </c>
      <c r="BO347" s="83" t="str">
        <f aca="false">IF(AN347="","",(AN347-BN347)/BN347)</f>
        <v/>
      </c>
      <c r="BP347" s="66" t="n">
        <f aca="false">IF(OR(B347="",AL347=""),0,IF(OR(Settings!$C$28="All Accounts",BJ347=Settings!$C$28),1,0))</f>
        <v>0</v>
      </c>
      <c r="BQ347" s="66" t="str">
        <f aca="false">IF(BP347=1,SUM(BP$6:BP347),"")</f>
        <v/>
      </c>
      <c r="BR347" s="76" t="str">
        <f aca="false">IF(BP347=1,ROUND(Settings!$C$29+SUMIFS(AM$6:AM347,BP$6:BP347,1),2),"")</f>
        <v/>
      </c>
      <c r="BS347" s="76" t="str">
        <f aca="false">IF(BP347=1,MAX(Settings!$C$29,MAX(BR$6:BR347)),"")</f>
        <v/>
      </c>
      <c r="BT347" s="83" t="str">
        <f aca="false">IF(BP347=1,(BR347-BS347)/BS347,"")</f>
        <v/>
      </c>
      <c r="BU347" s="66" t="str">
        <f aca="false">IF(BP347=1,IF(AL347="Win",1+IF(BQ347=1,0,INDEX(BU$5:BU346,MATCH(BQ347-1,BQ$5:BQ346,0))),0),"")</f>
        <v/>
      </c>
      <c r="BV347" s="66" t="str">
        <f aca="false">IF(BP347=1,IF(AL347="Loss",1+IF(BQ347=1,0,INDEX(BV$5:BV346,MATCH(BQ347-1,BQ$5:BQ346,0))),0),"")</f>
        <v/>
      </c>
    </row>
    <row r="348" customFormat="false" ht="15" hidden="false" customHeight="false" outlineLevel="0" collapsed="false">
      <c r="A348" s="66" t="str">
        <f aca="false">IF(B348="","",ROW()-5)</f>
        <v/>
      </c>
      <c r="B348" s="67"/>
      <c r="C348" s="68" t="str">
        <f aca="false">IF(B348="","",CHOOSE(WEEKDAY(B348,2),"Mon","Tue","Wed","Thu","Fri","Sat","Sun"))</f>
        <v/>
      </c>
      <c r="D348" s="66" t="str">
        <f aca="false">IF(B348="","",WEEKNUM(B348,2))</f>
        <v/>
      </c>
      <c r="E348" s="69"/>
      <c r="F348" s="69"/>
      <c r="G348" s="70"/>
      <c r="H348" s="70"/>
      <c r="I348" s="69"/>
      <c r="J348" s="69"/>
      <c r="K348" s="69"/>
      <c r="L348" s="71"/>
      <c r="M348" s="69"/>
      <c r="N348" s="69"/>
      <c r="O348" s="69"/>
      <c r="P348" s="71"/>
      <c r="Q348" s="69"/>
      <c r="R348" s="69"/>
      <c r="S348" s="69"/>
      <c r="T348" s="69"/>
      <c r="U348" s="69"/>
      <c r="V348" s="69"/>
      <c r="W348" s="69"/>
      <c r="X348" s="66" t="str">
        <f aca="false">IF(B348="","",COUNTIF(Q348:W348,"Yes"))</f>
        <v/>
      </c>
      <c r="Y348" s="68" t="str">
        <f aca="false">IF(B348="","",IF(X348&gt;=Settings!$C$16,"A+",IF(X348&gt;=Settings!$C$17,"A",IF(X348&gt;=Settings!$C$18,"B","C"))))</f>
        <v/>
      </c>
      <c r="Z348" s="72"/>
      <c r="AA348" s="72"/>
      <c r="AB348" s="72"/>
      <c r="AC348" s="72"/>
      <c r="AD348" s="72"/>
      <c r="AE348" s="72"/>
      <c r="AF348" s="73"/>
      <c r="AG348" s="74"/>
      <c r="AH348" s="75"/>
      <c r="AI348" s="76" t="str">
        <f aca="false">IF(B348="","",ROUND(IF(AG348="",Settings!$C$5,AG348)*AW348,2))</f>
        <v/>
      </c>
      <c r="AJ348" s="77" t="str">
        <f aca="false">IF(OR(B348="",AB348="",AC348="",AD348=""),"",IFERROR(ROUND(ABS(AD348-AB348)/ABS(AB348-AC348),2),""))</f>
        <v/>
      </c>
      <c r="AK348" s="78" t="str">
        <f aca="false">IF(OR(B348="",AB348="",AC348="",AE348=""),"",IFERROR(ROUND(IF(J348="Short",AB348-AE348,AE348-AB348)/ABS(AB348-AC348),2),""))</f>
        <v/>
      </c>
      <c r="AL348" s="68" t="str">
        <f aca="false">IF(AK348="","",IF(ABS(AK348)&lt;=Settings!$C$6,"BE",IF(AK348&gt;0,"Win","Loss")))</f>
        <v/>
      </c>
      <c r="AM348" s="79" t="str">
        <f aca="false">IF(OR(AK348="",AI348=""),"",ROUND(AK348*AI348-N(AH348),2))</f>
        <v/>
      </c>
      <c r="AN348" s="76" t="str">
        <f aca="false">IF(AM348="","",ROUND(BK348+SUMIFS(AM$6:AM348,BJ$6:BJ348,BJ348),2))</f>
        <v/>
      </c>
      <c r="AO348" s="78" t="str">
        <f aca="false">IF(AK348="","",ROUND(SUMIFS(AK$6:AK348,BJ$6:BJ348,BJ348),2))</f>
        <v/>
      </c>
      <c r="AP348" s="80" t="str">
        <f aca="false">IF(OR(AK348="",BL348=""),"",IFERROR(ROUND(IF(J348="Short",AB348-AE348,AE348-AB348)/BL348,1),""))</f>
        <v/>
      </c>
      <c r="AQ348" s="66" t="str">
        <f aca="false">IF(OR(G348="",H348=""),"",ROUND(MOD(H348-G348,1)*1440,0))</f>
        <v/>
      </c>
      <c r="AR348" s="68" t="str">
        <f aca="false">IF(AQ348="","",IF(AQ348&lt;15,"Under 15m",IF(AQ348&lt;60,"15-60m",IF(AQ348&lt;240,"1-4 hours","4+ hours"))))</f>
        <v/>
      </c>
      <c r="AS348" s="66" t="str">
        <f aca="false">IF(G348="","",HOUR(G348))</f>
        <v/>
      </c>
      <c r="AT348" s="80" t="str">
        <f aca="false">IF(OR(Z348="",AB348="",BL348=""),"",IFERROR(ROUND(IF(J348="Short",Z348-AB348,AB348-Z348)/BL348,1),""))</f>
        <v/>
      </c>
      <c r="AU348" s="68" t="str">
        <f aca="false">IF(OR(AA348="",AC348=""),"",IF(AA348=AC348,"No","Yes"))</f>
        <v/>
      </c>
      <c r="AV348" s="81" t="str">
        <f aca="false">IF(OR(B348="",BL348="",BM348="",AB348="",AC348=""),"",IFERROR(ROUND(AI348/(ABS(AB348-AC348)/BL348*BM348),2),""))</f>
        <v/>
      </c>
      <c r="AW348" s="76" t="str">
        <f aca="false">IF(B348="","",ROUND(BK348+SUMIFS(AM$5:AM347,BJ$5:BJ347,BJ348),2))</f>
        <v/>
      </c>
      <c r="AX348" s="66" t="str">
        <f aca="false">IF(B348="","",COUNTIFS(B$6:B348,B348,BJ$6:BJ348,BJ348))</f>
        <v/>
      </c>
      <c r="AY348" s="79" t="str">
        <f aca="false">IF(B348="","",ROUND(SUMIFS(AM$5:AM347,B$5:B347,B348,BJ$5:BJ347,BJ348),2))</f>
        <v/>
      </c>
      <c r="AZ348" s="79" t="str">
        <f aca="false">IF(AM348="","",ROUND(AY348+AM348,2))</f>
        <v/>
      </c>
      <c r="BA348" s="79" t="str">
        <f aca="false">IF(B348="","",ROUND(SUMIFS(AM$5:AM347,B$5:B347,"&gt;="&amp;(B348-WEEKDAY(B348,2)+1),B$5:B347,"&lt;="&amp;B348,BJ$5:BJ347,BJ348),2))</f>
        <v/>
      </c>
      <c r="BB348" s="68" t="str">
        <f aca="false">IF(B348="","",IF(AND(AF348&lt;&gt;"",AV348&lt;&gt;"",N(AF348)&gt;N(AV348)*(1+Settings!$C$13)),"Oversized",IF(AX348&gt;Settings!$C$10,"Overtraded",IF(AY348&lt;=-Settings!$C$11*(AW348-AY348),"Daily loss hit",IF(BA348&lt;=-Settings!$C$12*(AW348-BA348),"Weekly loss hit","OK")))))</f>
        <v/>
      </c>
      <c r="BC348" s="69"/>
      <c r="BD348" s="69"/>
      <c r="BE348" s="69"/>
      <c r="BF348" s="73"/>
      <c r="BG348" s="73"/>
      <c r="BH348" s="71"/>
      <c r="BI348" s="71"/>
      <c r="BJ348" s="68" t="str">
        <f aca="false">IF(B348="","",IF(E348="",Settings!$F$5,E348))</f>
        <v/>
      </c>
      <c r="BK348" s="76" t="str">
        <f aca="false">IF(B348="","",IFERROR(INDEX(Settings!$G$5:$G$10,MATCH(BJ348,Settings!$F$5:$F$10,0)),Settings!$G$5))</f>
        <v/>
      </c>
      <c r="BL348" s="82" t="str">
        <f aca="false">IF(I348="","",IFERROR(1/(1/INDEX(Lists!$C$6:$C$17,MATCH(I348,Lists!$B$6:$B$17,0))),""))</f>
        <v/>
      </c>
      <c r="BM348" s="81" t="str">
        <f aca="false">IF(I348="","",IFERROR(1/(1/INDEX(Lists!$D$6:$D$17,MATCH(I348,Lists!$B$6:$B$17,0))),""))</f>
        <v/>
      </c>
      <c r="BN348" s="76" t="str">
        <f aca="false">IF(AN348="","",MAX(BK348,_xlfn.MAXIFS(AN$6:AN348,BJ$6:BJ348,BJ348)))</f>
        <v/>
      </c>
      <c r="BO348" s="83" t="str">
        <f aca="false">IF(AN348="","",(AN348-BN348)/BN348)</f>
        <v/>
      </c>
      <c r="BP348" s="66" t="n">
        <f aca="false">IF(OR(B348="",AL348=""),0,IF(OR(Settings!$C$28="All Accounts",BJ348=Settings!$C$28),1,0))</f>
        <v>0</v>
      </c>
      <c r="BQ348" s="66" t="str">
        <f aca="false">IF(BP348=1,SUM(BP$6:BP348),"")</f>
        <v/>
      </c>
      <c r="BR348" s="76" t="str">
        <f aca="false">IF(BP348=1,ROUND(Settings!$C$29+SUMIFS(AM$6:AM348,BP$6:BP348,1),2),"")</f>
        <v/>
      </c>
      <c r="BS348" s="76" t="str">
        <f aca="false">IF(BP348=1,MAX(Settings!$C$29,MAX(BR$6:BR348)),"")</f>
        <v/>
      </c>
      <c r="BT348" s="83" t="str">
        <f aca="false">IF(BP348=1,(BR348-BS348)/BS348,"")</f>
        <v/>
      </c>
      <c r="BU348" s="66" t="str">
        <f aca="false">IF(BP348=1,IF(AL348="Win",1+IF(BQ348=1,0,INDEX(BU$5:BU347,MATCH(BQ348-1,BQ$5:BQ347,0))),0),"")</f>
        <v/>
      </c>
      <c r="BV348" s="66" t="str">
        <f aca="false">IF(BP348=1,IF(AL348="Loss",1+IF(BQ348=1,0,INDEX(BV$5:BV347,MATCH(BQ348-1,BQ$5:BQ347,0))),0),"")</f>
        <v/>
      </c>
    </row>
    <row r="349" customFormat="false" ht="15" hidden="false" customHeight="false" outlineLevel="0" collapsed="false">
      <c r="A349" s="66" t="str">
        <f aca="false">IF(B349="","",ROW()-5)</f>
        <v/>
      </c>
      <c r="B349" s="67"/>
      <c r="C349" s="68" t="str">
        <f aca="false">IF(B349="","",CHOOSE(WEEKDAY(B349,2),"Mon","Tue","Wed","Thu","Fri","Sat","Sun"))</f>
        <v/>
      </c>
      <c r="D349" s="66" t="str">
        <f aca="false">IF(B349="","",WEEKNUM(B349,2))</f>
        <v/>
      </c>
      <c r="E349" s="69"/>
      <c r="F349" s="69"/>
      <c r="G349" s="70"/>
      <c r="H349" s="70"/>
      <c r="I349" s="69"/>
      <c r="J349" s="69"/>
      <c r="K349" s="69"/>
      <c r="L349" s="71"/>
      <c r="M349" s="69"/>
      <c r="N349" s="69"/>
      <c r="O349" s="69"/>
      <c r="P349" s="71"/>
      <c r="Q349" s="69"/>
      <c r="R349" s="69"/>
      <c r="S349" s="69"/>
      <c r="T349" s="69"/>
      <c r="U349" s="69"/>
      <c r="V349" s="69"/>
      <c r="W349" s="69"/>
      <c r="X349" s="66" t="str">
        <f aca="false">IF(B349="","",COUNTIF(Q349:W349,"Yes"))</f>
        <v/>
      </c>
      <c r="Y349" s="68" t="str">
        <f aca="false">IF(B349="","",IF(X349&gt;=Settings!$C$16,"A+",IF(X349&gt;=Settings!$C$17,"A",IF(X349&gt;=Settings!$C$18,"B","C"))))</f>
        <v/>
      </c>
      <c r="Z349" s="72"/>
      <c r="AA349" s="72"/>
      <c r="AB349" s="72"/>
      <c r="AC349" s="72"/>
      <c r="AD349" s="72"/>
      <c r="AE349" s="72"/>
      <c r="AF349" s="73"/>
      <c r="AG349" s="74"/>
      <c r="AH349" s="75"/>
      <c r="AI349" s="76" t="str">
        <f aca="false">IF(B349="","",ROUND(IF(AG349="",Settings!$C$5,AG349)*AW349,2))</f>
        <v/>
      </c>
      <c r="AJ349" s="77" t="str">
        <f aca="false">IF(OR(B349="",AB349="",AC349="",AD349=""),"",IFERROR(ROUND(ABS(AD349-AB349)/ABS(AB349-AC349),2),""))</f>
        <v/>
      </c>
      <c r="AK349" s="78" t="str">
        <f aca="false">IF(OR(B349="",AB349="",AC349="",AE349=""),"",IFERROR(ROUND(IF(J349="Short",AB349-AE349,AE349-AB349)/ABS(AB349-AC349),2),""))</f>
        <v/>
      </c>
      <c r="AL349" s="68" t="str">
        <f aca="false">IF(AK349="","",IF(ABS(AK349)&lt;=Settings!$C$6,"BE",IF(AK349&gt;0,"Win","Loss")))</f>
        <v/>
      </c>
      <c r="AM349" s="79" t="str">
        <f aca="false">IF(OR(AK349="",AI349=""),"",ROUND(AK349*AI349-N(AH349),2))</f>
        <v/>
      </c>
      <c r="AN349" s="76" t="str">
        <f aca="false">IF(AM349="","",ROUND(BK349+SUMIFS(AM$6:AM349,BJ$6:BJ349,BJ349),2))</f>
        <v/>
      </c>
      <c r="AO349" s="78" t="str">
        <f aca="false">IF(AK349="","",ROUND(SUMIFS(AK$6:AK349,BJ$6:BJ349,BJ349),2))</f>
        <v/>
      </c>
      <c r="AP349" s="80" t="str">
        <f aca="false">IF(OR(AK349="",BL349=""),"",IFERROR(ROUND(IF(J349="Short",AB349-AE349,AE349-AB349)/BL349,1),""))</f>
        <v/>
      </c>
      <c r="AQ349" s="66" t="str">
        <f aca="false">IF(OR(G349="",H349=""),"",ROUND(MOD(H349-G349,1)*1440,0))</f>
        <v/>
      </c>
      <c r="AR349" s="68" t="str">
        <f aca="false">IF(AQ349="","",IF(AQ349&lt;15,"Under 15m",IF(AQ349&lt;60,"15-60m",IF(AQ349&lt;240,"1-4 hours","4+ hours"))))</f>
        <v/>
      </c>
      <c r="AS349" s="66" t="str">
        <f aca="false">IF(G349="","",HOUR(G349))</f>
        <v/>
      </c>
      <c r="AT349" s="80" t="str">
        <f aca="false">IF(OR(Z349="",AB349="",BL349=""),"",IFERROR(ROUND(IF(J349="Short",Z349-AB349,AB349-Z349)/BL349,1),""))</f>
        <v/>
      </c>
      <c r="AU349" s="68" t="str">
        <f aca="false">IF(OR(AA349="",AC349=""),"",IF(AA349=AC349,"No","Yes"))</f>
        <v/>
      </c>
      <c r="AV349" s="81" t="str">
        <f aca="false">IF(OR(B349="",BL349="",BM349="",AB349="",AC349=""),"",IFERROR(ROUND(AI349/(ABS(AB349-AC349)/BL349*BM349),2),""))</f>
        <v/>
      </c>
      <c r="AW349" s="76" t="str">
        <f aca="false">IF(B349="","",ROUND(BK349+SUMIFS(AM$5:AM348,BJ$5:BJ348,BJ349),2))</f>
        <v/>
      </c>
      <c r="AX349" s="66" t="str">
        <f aca="false">IF(B349="","",COUNTIFS(B$6:B349,B349,BJ$6:BJ349,BJ349))</f>
        <v/>
      </c>
      <c r="AY349" s="79" t="str">
        <f aca="false">IF(B349="","",ROUND(SUMIFS(AM$5:AM348,B$5:B348,B349,BJ$5:BJ348,BJ349),2))</f>
        <v/>
      </c>
      <c r="AZ349" s="79" t="str">
        <f aca="false">IF(AM349="","",ROUND(AY349+AM349,2))</f>
        <v/>
      </c>
      <c r="BA349" s="79" t="str">
        <f aca="false">IF(B349="","",ROUND(SUMIFS(AM$5:AM348,B$5:B348,"&gt;="&amp;(B349-WEEKDAY(B349,2)+1),B$5:B348,"&lt;="&amp;B349,BJ$5:BJ348,BJ349),2))</f>
        <v/>
      </c>
      <c r="BB349" s="68" t="str">
        <f aca="false">IF(B349="","",IF(AND(AF349&lt;&gt;"",AV349&lt;&gt;"",N(AF349)&gt;N(AV349)*(1+Settings!$C$13)),"Oversized",IF(AX349&gt;Settings!$C$10,"Overtraded",IF(AY349&lt;=-Settings!$C$11*(AW349-AY349),"Daily loss hit",IF(BA349&lt;=-Settings!$C$12*(AW349-BA349),"Weekly loss hit","OK")))))</f>
        <v/>
      </c>
      <c r="BC349" s="69"/>
      <c r="BD349" s="69"/>
      <c r="BE349" s="69"/>
      <c r="BF349" s="73"/>
      <c r="BG349" s="73"/>
      <c r="BH349" s="71"/>
      <c r="BI349" s="71"/>
      <c r="BJ349" s="68" t="str">
        <f aca="false">IF(B349="","",IF(E349="",Settings!$F$5,E349))</f>
        <v/>
      </c>
      <c r="BK349" s="76" t="str">
        <f aca="false">IF(B349="","",IFERROR(INDEX(Settings!$G$5:$G$10,MATCH(BJ349,Settings!$F$5:$F$10,0)),Settings!$G$5))</f>
        <v/>
      </c>
      <c r="BL349" s="82" t="str">
        <f aca="false">IF(I349="","",IFERROR(1/(1/INDEX(Lists!$C$6:$C$17,MATCH(I349,Lists!$B$6:$B$17,0))),""))</f>
        <v/>
      </c>
      <c r="BM349" s="81" t="str">
        <f aca="false">IF(I349="","",IFERROR(1/(1/INDEX(Lists!$D$6:$D$17,MATCH(I349,Lists!$B$6:$B$17,0))),""))</f>
        <v/>
      </c>
      <c r="BN349" s="76" t="str">
        <f aca="false">IF(AN349="","",MAX(BK349,_xlfn.MAXIFS(AN$6:AN349,BJ$6:BJ349,BJ349)))</f>
        <v/>
      </c>
      <c r="BO349" s="83" t="str">
        <f aca="false">IF(AN349="","",(AN349-BN349)/BN349)</f>
        <v/>
      </c>
      <c r="BP349" s="66" t="n">
        <f aca="false">IF(OR(B349="",AL349=""),0,IF(OR(Settings!$C$28="All Accounts",BJ349=Settings!$C$28),1,0))</f>
        <v>0</v>
      </c>
      <c r="BQ349" s="66" t="str">
        <f aca="false">IF(BP349=1,SUM(BP$6:BP349),"")</f>
        <v/>
      </c>
      <c r="BR349" s="76" t="str">
        <f aca="false">IF(BP349=1,ROUND(Settings!$C$29+SUMIFS(AM$6:AM349,BP$6:BP349,1),2),"")</f>
        <v/>
      </c>
      <c r="BS349" s="76" t="str">
        <f aca="false">IF(BP349=1,MAX(Settings!$C$29,MAX(BR$6:BR349)),"")</f>
        <v/>
      </c>
      <c r="BT349" s="83" t="str">
        <f aca="false">IF(BP349=1,(BR349-BS349)/BS349,"")</f>
        <v/>
      </c>
      <c r="BU349" s="66" t="str">
        <f aca="false">IF(BP349=1,IF(AL349="Win",1+IF(BQ349=1,0,INDEX(BU$5:BU348,MATCH(BQ349-1,BQ$5:BQ348,0))),0),"")</f>
        <v/>
      </c>
      <c r="BV349" s="66" t="str">
        <f aca="false">IF(BP349=1,IF(AL349="Loss",1+IF(BQ349=1,0,INDEX(BV$5:BV348,MATCH(BQ349-1,BQ$5:BQ348,0))),0),"")</f>
        <v/>
      </c>
    </row>
    <row r="350" customFormat="false" ht="15" hidden="false" customHeight="false" outlineLevel="0" collapsed="false">
      <c r="A350" s="66" t="str">
        <f aca="false">IF(B350="","",ROW()-5)</f>
        <v/>
      </c>
      <c r="B350" s="67"/>
      <c r="C350" s="68" t="str">
        <f aca="false">IF(B350="","",CHOOSE(WEEKDAY(B350,2),"Mon","Tue","Wed","Thu","Fri","Sat","Sun"))</f>
        <v/>
      </c>
      <c r="D350" s="66" t="str">
        <f aca="false">IF(B350="","",WEEKNUM(B350,2))</f>
        <v/>
      </c>
      <c r="E350" s="69"/>
      <c r="F350" s="69"/>
      <c r="G350" s="70"/>
      <c r="H350" s="70"/>
      <c r="I350" s="69"/>
      <c r="J350" s="69"/>
      <c r="K350" s="69"/>
      <c r="L350" s="71"/>
      <c r="M350" s="69"/>
      <c r="N350" s="69"/>
      <c r="O350" s="69"/>
      <c r="P350" s="71"/>
      <c r="Q350" s="69"/>
      <c r="R350" s="69"/>
      <c r="S350" s="69"/>
      <c r="T350" s="69"/>
      <c r="U350" s="69"/>
      <c r="V350" s="69"/>
      <c r="W350" s="69"/>
      <c r="X350" s="66" t="str">
        <f aca="false">IF(B350="","",COUNTIF(Q350:W350,"Yes"))</f>
        <v/>
      </c>
      <c r="Y350" s="68" t="str">
        <f aca="false">IF(B350="","",IF(X350&gt;=Settings!$C$16,"A+",IF(X350&gt;=Settings!$C$17,"A",IF(X350&gt;=Settings!$C$18,"B","C"))))</f>
        <v/>
      </c>
      <c r="Z350" s="72"/>
      <c r="AA350" s="72"/>
      <c r="AB350" s="72"/>
      <c r="AC350" s="72"/>
      <c r="AD350" s="72"/>
      <c r="AE350" s="72"/>
      <c r="AF350" s="73"/>
      <c r="AG350" s="74"/>
      <c r="AH350" s="75"/>
      <c r="AI350" s="76" t="str">
        <f aca="false">IF(B350="","",ROUND(IF(AG350="",Settings!$C$5,AG350)*AW350,2))</f>
        <v/>
      </c>
      <c r="AJ350" s="77" t="str">
        <f aca="false">IF(OR(B350="",AB350="",AC350="",AD350=""),"",IFERROR(ROUND(ABS(AD350-AB350)/ABS(AB350-AC350),2),""))</f>
        <v/>
      </c>
      <c r="AK350" s="78" t="str">
        <f aca="false">IF(OR(B350="",AB350="",AC350="",AE350=""),"",IFERROR(ROUND(IF(J350="Short",AB350-AE350,AE350-AB350)/ABS(AB350-AC350),2),""))</f>
        <v/>
      </c>
      <c r="AL350" s="68" t="str">
        <f aca="false">IF(AK350="","",IF(ABS(AK350)&lt;=Settings!$C$6,"BE",IF(AK350&gt;0,"Win","Loss")))</f>
        <v/>
      </c>
      <c r="AM350" s="79" t="str">
        <f aca="false">IF(OR(AK350="",AI350=""),"",ROUND(AK350*AI350-N(AH350),2))</f>
        <v/>
      </c>
      <c r="AN350" s="76" t="str">
        <f aca="false">IF(AM350="","",ROUND(BK350+SUMIFS(AM$6:AM350,BJ$6:BJ350,BJ350),2))</f>
        <v/>
      </c>
      <c r="AO350" s="78" t="str">
        <f aca="false">IF(AK350="","",ROUND(SUMIFS(AK$6:AK350,BJ$6:BJ350,BJ350),2))</f>
        <v/>
      </c>
      <c r="AP350" s="80" t="str">
        <f aca="false">IF(OR(AK350="",BL350=""),"",IFERROR(ROUND(IF(J350="Short",AB350-AE350,AE350-AB350)/BL350,1),""))</f>
        <v/>
      </c>
      <c r="AQ350" s="66" t="str">
        <f aca="false">IF(OR(G350="",H350=""),"",ROUND(MOD(H350-G350,1)*1440,0))</f>
        <v/>
      </c>
      <c r="AR350" s="68" t="str">
        <f aca="false">IF(AQ350="","",IF(AQ350&lt;15,"Under 15m",IF(AQ350&lt;60,"15-60m",IF(AQ350&lt;240,"1-4 hours","4+ hours"))))</f>
        <v/>
      </c>
      <c r="AS350" s="66" t="str">
        <f aca="false">IF(G350="","",HOUR(G350))</f>
        <v/>
      </c>
      <c r="AT350" s="80" t="str">
        <f aca="false">IF(OR(Z350="",AB350="",BL350=""),"",IFERROR(ROUND(IF(J350="Short",Z350-AB350,AB350-Z350)/BL350,1),""))</f>
        <v/>
      </c>
      <c r="AU350" s="68" t="str">
        <f aca="false">IF(OR(AA350="",AC350=""),"",IF(AA350=AC350,"No","Yes"))</f>
        <v/>
      </c>
      <c r="AV350" s="81" t="str">
        <f aca="false">IF(OR(B350="",BL350="",BM350="",AB350="",AC350=""),"",IFERROR(ROUND(AI350/(ABS(AB350-AC350)/BL350*BM350),2),""))</f>
        <v/>
      </c>
      <c r="AW350" s="76" t="str">
        <f aca="false">IF(B350="","",ROUND(BK350+SUMIFS(AM$5:AM349,BJ$5:BJ349,BJ350),2))</f>
        <v/>
      </c>
      <c r="AX350" s="66" t="str">
        <f aca="false">IF(B350="","",COUNTIFS(B$6:B350,B350,BJ$6:BJ350,BJ350))</f>
        <v/>
      </c>
      <c r="AY350" s="79" t="str">
        <f aca="false">IF(B350="","",ROUND(SUMIFS(AM$5:AM349,B$5:B349,B350,BJ$5:BJ349,BJ350),2))</f>
        <v/>
      </c>
      <c r="AZ350" s="79" t="str">
        <f aca="false">IF(AM350="","",ROUND(AY350+AM350,2))</f>
        <v/>
      </c>
      <c r="BA350" s="79" t="str">
        <f aca="false">IF(B350="","",ROUND(SUMIFS(AM$5:AM349,B$5:B349,"&gt;="&amp;(B350-WEEKDAY(B350,2)+1),B$5:B349,"&lt;="&amp;B350,BJ$5:BJ349,BJ350),2))</f>
        <v/>
      </c>
      <c r="BB350" s="68" t="str">
        <f aca="false">IF(B350="","",IF(AND(AF350&lt;&gt;"",AV350&lt;&gt;"",N(AF350)&gt;N(AV350)*(1+Settings!$C$13)),"Oversized",IF(AX350&gt;Settings!$C$10,"Overtraded",IF(AY350&lt;=-Settings!$C$11*(AW350-AY350),"Daily loss hit",IF(BA350&lt;=-Settings!$C$12*(AW350-BA350),"Weekly loss hit","OK")))))</f>
        <v/>
      </c>
      <c r="BC350" s="69"/>
      <c r="BD350" s="69"/>
      <c r="BE350" s="69"/>
      <c r="BF350" s="73"/>
      <c r="BG350" s="73"/>
      <c r="BH350" s="71"/>
      <c r="BI350" s="71"/>
      <c r="BJ350" s="68" t="str">
        <f aca="false">IF(B350="","",IF(E350="",Settings!$F$5,E350))</f>
        <v/>
      </c>
      <c r="BK350" s="76" t="str">
        <f aca="false">IF(B350="","",IFERROR(INDEX(Settings!$G$5:$G$10,MATCH(BJ350,Settings!$F$5:$F$10,0)),Settings!$G$5))</f>
        <v/>
      </c>
      <c r="BL350" s="82" t="str">
        <f aca="false">IF(I350="","",IFERROR(1/(1/INDEX(Lists!$C$6:$C$17,MATCH(I350,Lists!$B$6:$B$17,0))),""))</f>
        <v/>
      </c>
      <c r="BM350" s="81" t="str">
        <f aca="false">IF(I350="","",IFERROR(1/(1/INDEX(Lists!$D$6:$D$17,MATCH(I350,Lists!$B$6:$B$17,0))),""))</f>
        <v/>
      </c>
      <c r="BN350" s="76" t="str">
        <f aca="false">IF(AN350="","",MAX(BK350,_xlfn.MAXIFS(AN$6:AN350,BJ$6:BJ350,BJ350)))</f>
        <v/>
      </c>
      <c r="BO350" s="83" t="str">
        <f aca="false">IF(AN350="","",(AN350-BN350)/BN350)</f>
        <v/>
      </c>
      <c r="BP350" s="66" t="n">
        <f aca="false">IF(OR(B350="",AL350=""),0,IF(OR(Settings!$C$28="All Accounts",BJ350=Settings!$C$28),1,0))</f>
        <v>0</v>
      </c>
      <c r="BQ350" s="66" t="str">
        <f aca="false">IF(BP350=1,SUM(BP$6:BP350),"")</f>
        <v/>
      </c>
      <c r="BR350" s="76" t="str">
        <f aca="false">IF(BP350=1,ROUND(Settings!$C$29+SUMIFS(AM$6:AM350,BP$6:BP350,1),2),"")</f>
        <v/>
      </c>
      <c r="BS350" s="76" t="str">
        <f aca="false">IF(BP350=1,MAX(Settings!$C$29,MAX(BR$6:BR350)),"")</f>
        <v/>
      </c>
      <c r="BT350" s="83" t="str">
        <f aca="false">IF(BP350=1,(BR350-BS350)/BS350,"")</f>
        <v/>
      </c>
      <c r="BU350" s="66" t="str">
        <f aca="false">IF(BP350=1,IF(AL350="Win",1+IF(BQ350=1,0,INDEX(BU$5:BU349,MATCH(BQ350-1,BQ$5:BQ349,0))),0),"")</f>
        <v/>
      </c>
      <c r="BV350" s="66" t="str">
        <f aca="false">IF(BP350=1,IF(AL350="Loss",1+IF(BQ350=1,0,INDEX(BV$5:BV349,MATCH(BQ350-1,BQ$5:BQ349,0))),0),"")</f>
        <v/>
      </c>
    </row>
    <row r="351" customFormat="false" ht="15" hidden="false" customHeight="false" outlineLevel="0" collapsed="false">
      <c r="A351" s="66" t="str">
        <f aca="false">IF(B351="","",ROW()-5)</f>
        <v/>
      </c>
      <c r="B351" s="67"/>
      <c r="C351" s="68" t="str">
        <f aca="false">IF(B351="","",CHOOSE(WEEKDAY(B351,2),"Mon","Tue","Wed","Thu","Fri","Sat","Sun"))</f>
        <v/>
      </c>
      <c r="D351" s="66" t="str">
        <f aca="false">IF(B351="","",WEEKNUM(B351,2))</f>
        <v/>
      </c>
      <c r="E351" s="69"/>
      <c r="F351" s="69"/>
      <c r="G351" s="70"/>
      <c r="H351" s="70"/>
      <c r="I351" s="69"/>
      <c r="J351" s="69"/>
      <c r="K351" s="69"/>
      <c r="L351" s="71"/>
      <c r="M351" s="69"/>
      <c r="N351" s="69"/>
      <c r="O351" s="69"/>
      <c r="P351" s="71"/>
      <c r="Q351" s="69"/>
      <c r="R351" s="69"/>
      <c r="S351" s="69"/>
      <c r="T351" s="69"/>
      <c r="U351" s="69"/>
      <c r="V351" s="69"/>
      <c r="W351" s="69"/>
      <c r="X351" s="66" t="str">
        <f aca="false">IF(B351="","",COUNTIF(Q351:W351,"Yes"))</f>
        <v/>
      </c>
      <c r="Y351" s="68" t="str">
        <f aca="false">IF(B351="","",IF(X351&gt;=Settings!$C$16,"A+",IF(X351&gt;=Settings!$C$17,"A",IF(X351&gt;=Settings!$C$18,"B","C"))))</f>
        <v/>
      </c>
      <c r="Z351" s="72"/>
      <c r="AA351" s="72"/>
      <c r="AB351" s="72"/>
      <c r="AC351" s="72"/>
      <c r="AD351" s="72"/>
      <c r="AE351" s="72"/>
      <c r="AF351" s="73"/>
      <c r="AG351" s="74"/>
      <c r="AH351" s="75"/>
      <c r="AI351" s="76" t="str">
        <f aca="false">IF(B351="","",ROUND(IF(AG351="",Settings!$C$5,AG351)*AW351,2))</f>
        <v/>
      </c>
      <c r="AJ351" s="77" t="str">
        <f aca="false">IF(OR(B351="",AB351="",AC351="",AD351=""),"",IFERROR(ROUND(ABS(AD351-AB351)/ABS(AB351-AC351),2),""))</f>
        <v/>
      </c>
      <c r="AK351" s="78" t="str">
        <f aca="false">IF(OR(B351="",AB351="",AC351="",AE351=""),"",IFERROR(ROUND(IF(J351="Short",AB351-AE351,AE351-AB351)/ABS(AB351-AC351),2),""))</f>
        <v/>
      </c>
      <c r="AL351" s="68" t="str">
        <f aca="false">IF(AK351="","",IF(ABS(AK351)&lt;=Settings!$C$6,"BE",IF(AK351&gt;0,"Win","Loss")))</f>
        <v/>
      </c>
      <c r="AM351" s="79" t="str">
        <f aca="false">IF(OR(AK351="",AI351=""),"",ROUND(AK351*AI351-N(AH351),2))</f>
        <v/>
      </c>
      <c r="AN351" s="76" t="str">
        <f aca="false">IF(AM351="","",ROUND(BK351+SUMIFS(AM$6:AM351,BJ$6:BJ351,BJ351),2))</f>
        <v/>
      </c>
      <c r="AO351" s="78" t="str">
        <f aca="false">IF(AK351="","",ROUND(SUMIFS(AK$6:AK351,BJ$6:BJ351,BJ351),2))</f>
        <v/>
      </c>
      <c r="AP351" s="80" t="str">
        <f aca="false">IF(OR(AK351="",BL351=""),"",IFERROR(ROUND(IF(J351="Short",AB351-AE351,AE351-AB351)/BL351,1),""))</f>
        <v/>
      </c>
      <c r="AQ351" s="66" t="str">
        <f aca="false">IF(OR(G351="",H351=""),"",ROUND(MOD(H351-G351,1)*1440,0))</f>
        <v/>
      </c>
      <c r="AR351" s="68" t="str">
        <f aca="false">IF(AQ351="","",IF(AQ351&lt;15,"Under 15m",IF(AQ351&lt;60,"15-60m",IF(AQ351&lt;240,"1-4 hours","4+ hours"))))</f>
        <v/>
      </c>
      <c r="AS351" s="66" t="str">
        <f aca="false">IF(G351="","",HOUR(G351))</f>
        <v/>
      </c>
      <c r="AT351" s="80" t="str">
        <f aca="false">IF(OR(Z351="",AB351="",BL351=""),"",IFERROR(ROUND(IF(J351="Short",Z351-AB351,AB351-Z351)/BL351,1),""))</f>
        <v/>
      </c>
      <c r="AU351" s="68" t="str">
        <f aca="false">IF(OR(AA351="",AC351=""),"",IF(AA351=AC351,"No","Yes"))</f>
        <v/>
      </c>
      <c r="AV351" s="81" t="str">
        <f aca="false">IF(OR(B351="",BL351="",BM351="",AB351="",AC351=""),"",IFERROR(ROUND(AI351/(ABS(AB351-AC351)/BL351*BM351),2),""))</f>
        <v/>
      </c>
      <c r="AW351" s="76" t="str">
        <f aca="false">IF(B351="","",ROUND(BK351+SUMIFS(AM$5:AM350,BJ$5:BJ350,BJ351),2))</f>
        <v/>
      </c>
      <c r="AX351" s="66" t="str">
        <f aca="false">IF(B351="","",COUNTIFS(B$6:B351,B351,BJ$6:BJ351,BJ351))</f>
        <v/>
      </c>
      <c r="AY351" s="79" t="str">
        <f aca="false">IF(B351="","",ROUND(SUMIFS(AM$5:AM350,B$5:B350,B351,BJ$5:BJ350,BJ351),2))</f>
        <v/>
      </c>
      <c r="AZ351" s="79" t="str">
        <f aca="false">IF(AM351="","",ROUND(AY351+AM351,2))</f>
        <v/>
      </c>
      <c r="BA351" s="79" t="str">
        <f aca="false">IF(B351="","",ROUND(SUMIFS(AM$5:AM350,B$5:B350,"&gt;="&amp;(B351-WEEKDAY(B351,2)+1),B$5:B350,"&lt;="&amp;B351,BJ$5:BJ350,BJ351),2))</f>
        <v/>
      </c>
      <c r="BB351" s="68" t="str">
        <f aca="false">IF(B351="","",IF(AND(AF351&lt;&gt;"",AV351&lt;&gt;"",N(AF351)&gt;N(AV351)*(1+Settings!$C$13)),"Oversized",IF(AX351&gt;Settings!$C$10,"Overtraded",IF(AY351&lt;=-Settings!$C$11*(AW351-AY351),"Daily loss hit",IF(BA351&lt;=-Settings!$C$12*(AW351-BA351),"Weekly loss hit","OK")))))</f>
        <v/>
      </c>
      <c r="BC351" s="69"/>
      <c r="BD351" s="69"/>
      <c r="BE351" s="69"/>
      <c r="BF351" s="73"/>
      <c r="BG351" s="73"/>
      <c r="BH351" s="71"/>
      <c r="BI351" s="71"/>
      <c r="BJ351" s="68" t="str">
        <f aca="false">IF(B351="","",IF(E351="",Settings!$F$5,E351))</f>
        <v/>
      </c>
      <c r="BK351" s="76" t="str">
        <f aca="false">IF(B351="","",IFERROR(INDEX(Settings!$G$5:$G$10,MATCH(BJ351,Settings!$F$5:$F$10,0)),Settings!$G$5))</f>
        <v/>
      </c>
      <c r="BL351" s="82" t="str">
        <f aca="false">IF(I351="","",IFERROR(1/(1/INDEX(Lists!$C$6:$C$17,MATCH(I351,Lists!$B$6:$B$17,0))),""))</f>
        <v/>
      </c>
      <c r="BM351" s="81" t="str">
        <f aca="false">IF(I351="","",IFERROR(1/(1/INDEX(Lists!$D$6:$D$17,MATCH(I351,Lists!$B$6:$B$17,0))),""))</f>
        <v/>
      </c>
      <c r="BN351" s="76" t="str">
        <f aca="false">IF(AN351="","",MAX(BK351,_xlfn.MAXIFS(AN$6:AN351,BJ$6:BJ351,BJ351)))</f>
        <v/>
      </c>
      <c r="BO351" s="83" t="str">
        <f aca="false">IF(AN351="","",(AN351-BN351)/BN351)</f>
        <v/>
      </c>
      <c r="BP351" s="66" t="n">
        <f aca="false">IF(OR(B351="",AL351=""),0,IF(OR(Settings!$C$28="All Accounts",BJ351=Settings!$C$28),1,0))</f>
        <v>0</v>
      </c>
      <c r="BQ351" s="66" t="str">
        <f aca="false">IF(BP351=1,SUM(BP$6:BP351),"")</f>
        <v/>
      </c>
      <c r="BR351" s="76" t="str">
        <f aca="false">IF(BP351=1,ROUND(Settings!$C$29+SUMIFS(AM$6:AM351,BP$6:BP351,1),2),"")</f>
        <v/>
      </c>
      <c r="BS351" s="76" t="str">
        <f aca="false">IF(BP351=1,MAX(Settings!$C$29,MAX(BR$6:BR351)),"")</f>
        <v/>
      </c>
      <c r="BT351" s="83" t="str">
        <f aca="false">IF(BP351=1,(BR351-BS351)/BS351,"")</f>
        <v/>
      </c>
      <c r="BU351" s="66" t="str">
        <f aca="false">IF(BP351=1,IF(AL351="Win",1+IF(BQ351=1,0,INDEX(BU$5:BU350,MATCH(BQ351-1,BQ$5:BQ350,0))),0),"")</f>
        <v/>
      </c>
      <c r="BV351" s="66" t="str">
        <f aca="false">IF(BP351=1,IF(AL351="Loss",1+IF(BQ351=1,0,INDEX(BV$5:BV350,MATCH(BQ351-1,BQ$5:BQ350,0))),0),"")</f>
        <v/>
      </c>
    </row>
    <row r="352" customFormat="false" ht="15" hidden="false" customHeight="false" outlineLevel="0" collapsed="false">
      <c r="A352" s="66" t="str">
        <f aca="false">IF(B352="","",ROW()-5)</f>
        <v/>
      </c>
      <c r="B352" s="67"/>
      <c r="C352" s="68" t="str">
        <f aca="false">IF(B352="","",CHOOSE(WEEKDAY(B352,2),"Mon","Tue","Wed","Thu","Fri","Sat","Sun"))</f>
        <v/>
      </c>
      <c r="D352" s="66" t="str">
        <f aca="false">IF(B352="","",WEEKNUM(B352,2))</f>
        <v/>
      </c>
      <c r="E352" s="69"/>
      <c r="F352" s="69"/>
      <c r="G352" s="70"/>
      <c r="H352" s="70"/>
      <c r="I352" s="69"/>
      <c r="J352" s="69"/>
      <c r="K352" s="69"/>
      <c r="L352" s="71"/>
      <c r="M352" s="69"/>
      <c r="N352" s="69"/>
      <c r="O352" s="69"/>
      <c r="P352" s="71"/>
      <c r="Q352" s="69"/>
      <c r="R352" s="69"/>
      <c r="S352" s="69"/>
      <c r="T352" s="69"/>
      <c r="U352" s="69"/>
      <c r="V352" s="69"/>
      <c r="W352" s="69"/>
      <c r="X352" s="66" t="str">
        <f aca="false">IF(B352="","",COUNTIF(Q352:W352,"Yes"))</f>
        <v/>
      </c>
      <c r="Y352" s="68" t="str">
        <f aca="false">IF(B352="","",IF(X352&gt;=Settings!$C$16,"A+",IF(X352&gt;=Settings!$C$17,"A",IF(X352&gt;=Settings!$C$18,"B","C"))))</f>
        <v/>
      </c>
      <c r="Z352" s="72"/>
      <c r="AA352" s="72"/>
      <c r="AB352" s="72"/>
      <c r="AC352" s="72"/>
      <c r="AD352" s="72"/>
      <c r="AE352" s="72"/>
      <c r="AF352" s="73"/>
      <c r="AG352" s="74"/>
      <c r="AH352" s="75"/>
      <c r="AI352" s="76" t="str">
        <f aca="false">IF(B352="","",ROUND(IF(AG352="",Settings!$C$5,AG352)*AW352,2))</f>
        <v/>
      </c>
      <c r="AJ352" s="77" t="str">
        <f aca="false">IF(OR(B352="",AB352="",AC352="",AD352=""),"",IFERROR(ROUND(ABS(AD352-AB352)/ABS(AB352-AC352),2),""))</f>
        <v/>
      </c>
      <c r="AK352" s="78" t="str">
        <f aca="false">IF(OR(B352="",AB352="",AC352="",AE352=""),"",IFERROR(ROUND(IF(J352="Short",AB352-AE352,AE352-AB352)/ABS(AB352-AC352),2),""))</f>
        <v/>
      </c>
      <c r="AL352" s="68" t="str">
        <f aca="false">IF(AK352="","",IF(ABS(AK352)&lt;=Settings!$C$6,"BE",IF(AK352&gt;0,"Win","Loss")))</f>
        <v/>
      </c>
      <c r="AM352" s="79" t="str">
        <f aca="false">IF(OR(AK352="",AI352=""),"",ROUND(AK352*AI352-N(AH352),2))</f>
        <v/>
      </c>
      <c r="AN352" s="76" t="str">
        <f aca="false">IF(AM352="","",ROUND(BK352+SUMIFS(AM$6:AM352,BJ$6:BJ352,BJ352),2))</f>
        <v/>
      </c>
      <c r="AO352" s="78" t="str">
        <f aca="false">IF(AK352="","",ROUND(SUMIFS(AK$6:AK352,BJ$6:BJ352,BJ352),2))</f>
        <v/>
      </c>
      <c r="AP352" s="80" t="str">
        <f aca="false">IF(OR(AK352="",BL352=""),"",IFERROR(ROUND(IF(J352="Short",AB352-AE352,AE352-AB352)/BL352,1),""))</f>
        <v/>
      </c>
      <c r="AQ352" s="66" t="str">
        <f aca="false">IF(OR(G352="",H352=""),"",ROUND(MOD(H352-G352,1)*1440,0))</f>
        <v/>
      </c>
      <c r="AR352" s="68" t="str">
        <f aca="false">IF(AQ352="","",IF(AQ352&lt;15,"Under 15m",IF(AQ352&lt;60,"15-60m",IF(AQ352&lt;240,"1-4 hours","4+ hours"))))</f>
        <v/>
      </c>
      <c r="AS352" s="66" t="str">
        <f aca="false">IF(G352="","",HOUR(G352))</f>
        <v/>
      </c>
      <c r="AT352" s="80" t="str">
        <f aca="false">IF(OR(Z352="",AB352="",BL352=""),"",IFERROR(ROUND(IF(J352="Short",Z352-AB352,AB352-Z352)/BL352,1),""))</f>
        <v/>
      </c>
      <c r="AU352" s="68" t="str">
        <f aca="false">IF(OR(AA352="",AC352=""),"",IF(AA352=AC352,"No","Yes"))</f>
        <v/>
      </c>
      <c r="AV352" s="81" t="str">
        <f aca="false">IF(OR(B352="",BL352="",BM352="",AB352="",AC352=""),"",IFERROR(ROUND(AI352/(ABS(AB352-AC352)/BL352*BM352),2),""))</f>
        <v/>
      </c>
      <c r="AW352" s="76" t="str">
        <f aca="false">IF(B352="","",ROUND(BK352+SUMIFS(AM$5:AM351,BJ$5:BJ351,BJ352),2))</f>
        <v/>
      </c>
      <c r="AX352" s="66" t="str">
        <f aca="false">IF(B352="","",COUNTIFS(B$6:B352,B352,BJ$6:BJ352,BJ352))</f>
        <v/>
      </c>
      <c r="AY352" s="79" t="str">
        <f aca="false">IF(B352="","",ROUND(SUMIFS(AM$5:AM351,B$5:B351,B352,BJ$5:BJ351,BJ352),2))</f>
        <v/>
      </c>
      <c r="AZ352" s="79" t="str">
        <f aca="false">IF(AM352="","",ROUND(AY352+AM352,2))</f>
        <v/>
      </c>
      <c r="BA352" s="79" t="str">
        <f aca="false">IF(B352="","",ROUND(SUMIFS(AM$5:AM351,B$5:B351,"&gt;="&amp;(B352-WEEKDAY(B352,2)+1),B$5:B351,"&lt;="&amp;B352,BJ$5:BJ351,BJ352),2))</f>
        <v/>
      </c>
      <c r="BB352" s="68" t="str">
        <f aca="false">IF(B352="","",IF(AND(AF352&lt;&gt;"",AV352&lt;&gt;"",N(AF352)&gt;N(AV352)*(1+Settings!$C$13)),"Oversized",IF(AX352&gt;Settings!$C$10,"Overtraded",IF(AY352&lt;=-Settings!$C$11*(AW352-AY352),"Daily loss hit",IF(BA352&lt;=-Settings!$C$12*(AW352-BA352),"Weekly loss hit","OK")))))</f>
        <v/>
      </c>
      <c r="BC352" s="69"/>
      <c r="BD352" s="69"/>
      <c r="BE352" s="69"/>
      <c r="BF352" s="73"/>
      <c r="BG352" s="73"/>
      <c r="BH352" s="71"/>
      <c r="BI352" s="71"/>
      <c r="BJ352" s="68" t="str">
        <f aca="false">IF(B352="","",IF(E352="",Settings!$F$5,E352))</f>
        <v/>
      </c>
      <c r="BK352" s="76" t="str">
        <f aca="false">IF(B352="","",IFERROR(INDEX(Settings!$G$5:$G$10,MATCH(BJ352,Settings!$F$5:$F$10,0)),Settings!$G$5))</f>
        <v/>
      </c>
      <c r="BL352" s="82" t="str">
        <f aca="false">IF(I352="","",IFERROR(1/(1/INDEX(Lists!$C$6:$C$17,MATCH(I352,Lists!$B$6:$B$17,0))),""))</f>
        <v/>
      </c>
      <c r="BM352" s="81" t="str">
        <f aca="false">IF(I352="","",IFERROR(1/(1/INDEX(Lists!$D$6:$D$17,MATCH(I352,Lists!$B$6:$B$17,0))),""))</f>
        <v/>
      </c>
      <c r="BN352" s="76" t="str">
        <f aca="false">IF(AN352="","",MAX(BK352,_xlfn.MAXIFS(AN$6:AN352,BJ$6:BJ352,BJ352)))</f>
        <v/>
      </c>
      <c r="BO352" s="83" t="str">
        <f aca="false">IF(AN352="","",(AN352-BN352)/BN352)</f>
        <v/>
      </c>
      <c r="BP352" s="66" t="n">
        <f aca="false">IF(OR(B352="",AL352=""),0,IF(OR(Settings!$C$28="All Accounts",BJ352=Settings!$C$28),1,0))</f>
        <v>0</v>
      </c>
      <c r="BQ352" s="66" t="str">
        <f aca="false">IF(BP352=1,SUM(BP$6:BP352),"")</f>
        <v/>
      </c>
      <c r="BR352" s="76" t="str">
        <f aca="false">IF(BP352=1,ROUND(Settings!$C$29+SUMIFS(AM$6:AM352,BP$6:BP352,1),2),"")</f>
        <v/>
      </c>
      <c r="BS352" s="76" t="str">
        <f aca="false">IF(BP352=1,MAX(Settings!$C$29,MAX(BR$6:BR352)),"")</f>
        <v/>
      </c>
      <c r="BT352" s="83" t="str">
        <f aca="false">IF(BP352=1,(BR352-BS352)/BS352,"")</f>
        <v/>
      </c>
      <c r="BU352" s="66" t="str">
        <f aca="false">IF(BP352=1,IF(AL352="Win",1+IF(BQ352=1,0,INDEX(BU$5:BU351,MATCH(BQ352-1,BQ$5:BQ351,0))),0),"")</f>
        <v/>
      </c>
      <c r="BV352" s="66" t="str">
        <f aca="false">IF(BP352=1,IF(AL352="Loss",1+IF(BQ352=1,0,INDEX(BV$5:BV351,MATCH(BQ352-1,BQ$5:BQ351,0))),0),"")</f>
        <v/>
      </c>
    </row>
    <row r="353" customFormat="false" ht="15" hidden="false" customHeight="false" outlineLevel="0" collapsed="false">
      <c r="A353" s="66" t="str">
        <f aca="false">IF(B353="","",ROW()-5)</f>
        <v/>
      </c>
      <c r="B353" s="67"/>
      <c r="C353" s="68" t="str">
        <f aca="false">IF(B353="","",CHOOSE(WEEKDAY(B353,2),"Mon","Tue","Wed","Thu","Fri","Sat","Sun"))</f>
        <v/>
      </c>
      <c r="D353" s="66" t="str">
        <f aca="false">IF(B353="","",WEEKNUM(B353,2))</f>
        <v/>
      </c>
      <c r="E353" s="69"/>
      <c r="F353" s="69"/>
      <c r="G353" s="70"/>
      <c r="H353" s="70"/>
      <c r="I353" s="69"/>
      <c r="J353" s="69"/>
      <c r="K353" s="69"/>
      <c r="L353" s="71"/>
      <c r="M353" s="69"/>
      <c r="N353" s="69"/>
      <c r="O353" s="69"/>
      <c r="P353" s="71"/>
      <c r="Q353" s="69"/>
      <c r="R353" s="69"/>
      <c r="S353" s="69"/>
      <c r="T353" s="69"/>
      <c r="U353" s="69"/>
      <c r="V353" s="69"/>
      <c r="W353" s="69"/>
      <c r="X353" s="66" t="str">
        <f aca="false">IF(B353="","",COUNTIF(Q353:W353,"Yes"))</f>
        <v/>
      </c>
      <c r="Y353" s="68" t="str">
        <f aca="false">IF(B353="","",IF(X353&gt;=Settings!$C$16,"A+",IF(X353&gt;=Settings!$C$17,"A",IF(X353&gt;=Settings!$C$18,"B","C"))))</f>
        <v/>
      </c>
      <c r="Z353" s="72"/>
      <c r="AA353" s="72"/>
      <c r="AB353" s="72"/>
      <c r="AC353" s="72"/>
      <c r="AD353" s="72"/>
      <c r="AE353" s="72"/>
      <c r="AF353" s="73"/>
      <c r="AG353" s="74"/>
      <c r="AH353" s="75"/>
      <c r="AI353" s="76" t="str">
        <f aca="false">IF(B353="","",ROUND(IF(AG353="",Settings!$C$5,AG353)*AW353,2))</f>
        <v/>
      </c>
      <c r="AJ353" s="77" t="str">
        <f aca="false">IF(OR(B353="",AB353="",AC353="",AD353=""),"",IFERROR(ROUND(ABS(AD353-AB353)/ABS(AB353-AC353),2),""))</f>
        <v/>
      </c>
      <c r="AK353" s="78" t="str">
        <f aca="false">IF(OR(B353="",AB353="",AC353="",AE353=""),"",IFERROR(ROUND(IF(J353="Short",AB353-AE353,AE353-AB353)/ABS(AB353-AC353),2),""))</f>
        <v/>
      </c>
      <c r="AL353" s="68" t="str">
        <f aca="false">IF(AK353="","",IF(ABS(AK353)&lt;=Settings!$C$6,"BE",IF(AK353&gt;0,"Win","Loss")))</f>
        <v/>
      </c>
      <c r="AM353" s="79" t="str">
        <f aca="false">IF(OR(AK353="",AI353=""),"",ROUND(AK353*AI353-N(AH353),2))</f>
        <v/>
      </c>
      <c r="AN353" s="76" t="str">
        <f aca="false">IF(AM353="","",ROUND(BK353+SUMIFS(AM$6:AM353,BJ$6:BJ353,BJ353),2))</f>
        <v/>
      </c>
      <c r="AO353" s="78" t="str">
        <f aca="false">IF(AK353="","",ROUND(SUMIFS(AK$6:AK353,BJ$6:BJ353,BJ353),2))</f>
        <v/>
      </c>
      <c r="AP353" s="80" t="str">
        <f aca="false">IF(OR(AK353="",BL353=""),"",IFERROR(ROUND(IF(J353="Short",AB353-AE353,AE353-AB353)/BL353,1),""))</f>
        <v/>
      </c>
      <c r="AQ353" s="66" t="str">
        <f aca="false">IF(OR(G353="",H353=""),"",ROUND(MOD(H353-G353,1)*1440,0))</f>
        <v/>
      </c>
      <c r="AR353" s="68" t="str">
        <f aca="false">IF(AQ353="","",IF(AQ353&lt;15,"Under 15m",IF(AQ353&lt;60,"15-60m",IF(AQ353&lt;240,"1-4 hours","4+ hours"))))</f>
        <v/>
      </c>
      <c r="AS353" s="66" t="str">
        <f aca="false">IF(G353="","",HOUR(G353))</f>
        <v/>
      </c>
      <c r="AT353" s="80" t="str">
        <f aca="false">IF(OR(Z353="",AB353="",BL353=""),"",IFERROR(ROUND(IF(J353="Short",Z353-AB353,AB353-Z353)/BL353,1),""))</f>
        <v/>
      </c>
      <c r="AU353" s="68" t="str">
        <f aca="false">IF(OR(AA353="",AC353=""),"",IF(AA353=AC353,"No","Yes"))</f>
        <v/>
      </c>
      <c r="AV353" s="81" t="str">
        <f aca="false">IF(OR(B353="",BL353="",BM353="",AB353="",AC353=""),"",IFERROR(ROUND(AI353/(ABS(AB353-AC353)/BL353*BM353),2),""))</f>
        <v/>
      </c>
      <c r="AW353" s="76" t="str">
        <f aca="false">IF(B353="","",ROUND(BK353+SUMIFS(AM$5:AM352,BJ$5:BJ352,BJ353),2))</f>
        <v/>
      </c>
      <c r="AX353" s="66" t="str">
        <f aca="false">IF(B353="","",COUNTIFS(B$6:B353,B353,BJ$6:BJ353,BJ353))</f>
        <v/>
      </c>
      <c r="AY353" s="79" t="str">
        <f aca="false">IF(B353="","",ROUND(SUMIFS(AM$5:AM352,B$5:B352,B353,BJ$5:BJ352,BJ353),2))</f>
        <v/>
      </c>
      <c r="AZ353" s="79" t="str">
        <f aca="false">IF(AM353="","",ROUND(AY353+AM353,2))</f>
        <v/>
      </c>
      <c r="BA353" s="79" t="str">
        <f aca="false">IF(B353="","",ROUND(SUMIFS(AM$5:AM352,B$5:B352,"&gt;="&amp;(B353-WEEKDAY(B353,2)+1),B$5:B352,"&lt;="&amp;B353,BJ$5:BJ352,BJ353),2))</f>
        <v/>
      </c>
      <c r="BB353" s="68" t="str">
        <f aca="false">IF(B353="","",IF(AND(AF353&lt;&gt;"",AV353&lt;&gt;"",N(AF353)&gt;N(AV353)*(1+Settings!$C$13)),"Oversized",IF(AX353&gt;Settings!$C$10,"Overtraded",IF(AY353&lt;=-Settings!$C$11*(AW353-AY353),"Daily loss hit",IF(BA353&lt;=-Settings!$C$12*(AW353-BA353),"Weekly loss hit","OK")))))</f>
        <v/>
      </c>
      <c r="BC353" s="69"/>
      <c r="BD353" s="69"/>
      <c r="BE353" s="69"/>
      <c r="BF353" s="73"/>
      <c r="BG353" s="73"/>
      <c r="BH353" s="71"/>
      <c r="BI353" s="71"/>
      <c r="BJ353" s="68" t="str">
        <f aca="false">IF(B353="","",IF(E353="",Settings!$F$5,E353))</f>
        <v/>
      </c>
      <c r="BK353" s="76" t="str">
        <f aca="false">IF(B353="","",IFERROR(INDEX(Settings!$G$5:$G$10,MATCH(BJ353,Settings!$F$5:$F$10,0)),Settings!$G$5))</f>
        <v/>
      </c>
      <c r="BL353" s="82" t="str">
        <f aca="false">IF(I353="","",IFERROR(1/(1/INDEX(Lists!$C$6:$C$17,MATCH(I353,Lists!$B$6:$B$17,0))),""))</f>
        <v/>
      </c>
      <c r="BM353" s="81" t="str">
        <f aca="false">IF(I353="","",IFERROR(1/(1/INDEX(Lists!$D$6:$D$17,MATCH(I353,Lists!$B$6:$B$17,0))),""))</f>
        <v/>
      </c>
      <c r="BN353" s="76" t="str">
        <f aca="false">IF(AN353="","",MAX(BK353,_xlfn.MAXIFS(AN$6:AN353,BJ$6:BJ353,BJ353)))</f>
        <v/>
      </c>
      <c r="BO353" s="83" t="str">
        <f aca="false">IF(AN353="","",(AN353-BN353)/BN353)</f>
        <v/>
      </c>
      <c r="BP353" s="66" t="n">
        <f aca="false">IF(OR(B353="",AL353=""),0,IF(OR(Settings!$C$28="All Accounts",BJ353=Settings!$C$28),1,0))</f>
        <v>0</v>
      </c>
      <c r="BQ353" s="66" t="str">
        <f aca="false">IF(BP353=1,SUM(BP$6:BP353),"")</f>
        <v/>
      </c>
      <c r="BR353" s="76" t="str">
        <f aca="false">IF(BP353=1,ROUND(Settings!$C$29+SUMIFS(AM$6:AM353,BP$6:BP353,1),2),"")</f>
        <v/>
      </c>
      <c r="BS353" s="76" t="str">
        <f aca="false">IF(BP353=1,MAX(Settings!$C$29,MAX(BR$6:BR353)),"")</f>
        <v/>
      </c>
      <c r="BT353" s="83" t="str">
        <f aca="false">IF(BP353=1,(BR353-BS353)/BS353,"")</f>
        <v/>
      </c>
      <c r="BU353" s="66" t="str">
        <f aca="false">IF(BP353=1,IF(AL353="Win",1+IF(BQ353=1,0,INDEX(BU$5:BU352,MATCH(BQ353-1,BQ$5:BQ352,0))),0),"")</f>
        <v/>
      </c>
      <c r="BV353" s="66" t="str">
        <f aca="false">IF(BP353=1,IF(AL353="Loss",1+IF(BQ353=1,0,INDEX(BV$5:BV352,MATCH(BQ353-1,BQ$5:BQ352,0))),0),"")</f>
        <v/>
      </c>
    </row>
    <row r="354" customFormat="false" ht="15" hidden="false" customHeight="false" outlineLevel="0" collapsed="false">
      <c r="A354" s="66" t="str">
        <f aca="false">IF(B354="","",ROW()-5)</f>
        <v/>
      </c>
      <c r="B354" s="67"/>
      <c r="C354" s="68" t="str">
        <f aca="false">IF(B354="","",CHOOSE(WEEKDAY(B354,2),"Mon","Tue","Wed","Thu","Fri","Sat","Sun"))</f>
        <v/>
      </c>
      <c r="D354" s="66" t="str">
        <f aca="false">IF(B354="","",WEEKNUM(B354,2))</f>
        <v/>
      </c>
      <c r="E354" s="69"/>
      <c r="F354" s="69"/>
      <c r="G354" s="70"/>
      <c r="H354" s="70"/>
      <c r="I354" s="69"/>
      <c r="J354" s="69"/>
      <c r="K354" s="69"/>
      <c r="L354" s="71"/>
      <c r="M354" s="69"/>
      <c r="N354" s="69"/>
      <c r="O354" s="69"/>
      <c r="P354" s="71"/>
      <c r="Q354" s="69"/>
      <c r="R354" s="69"/>
      <c r="S354" s="69"/>
      <c r="T354" s="69"/>
      <c r="U354" s="69"/>
      <c r="V354" s="69"/>
      <c r="W354" s="69"/>
      <c r="X354" s="66" t="str">
        <f aca="false">IF(B354="","",COUNTIF(Q354:W354,"Yes"))</f>
        <v/>
      </c>
      <c r="Y354" s="68" t="str">
        <f aca="false">IF(B354="","",IF(X354&gt;=Settings!$C$16,"A+",IF(X354&gt;=Settings!$C$17,"A",IF(X354&gt;=Settings!$C$18,"B","C"))))</f>
        <v/>
      </c>
      <c r="Z354" s="72"/>
      <c r="AA354" s="72"/>
      <c r="AB354" s="72"/>
      <c r="AC354" s="72"/>
      <c r="AD354" s="72"/>
      <c r="AE354" s="72"/>
      <c r="AF354" s="73"/>
      <c r="AG354" s="74"/>
      <c r="AH354" s="75"/>
      <c r="AI354" s="76" t="str">
        <f aca="false">IF(B354="","",ROUND(IF(AG354="",Settings!$C$5,AG354)*AW354,2))</f>
        <v/>
      </c>
      <c r="AJ354" s="77" t="str">
        <f aca="false">IF(OR(B354="",AB354="",AC354="",AD354=""),"",IFERROR(ROUND(ABS(AD354-AB354)/ABS(AB354-AC354),2),""))</f>
        <v/>
      </c>
      <c r="AK354" s="78" t="str">
        <f aca="false">IF(OR(B354="",AB354="",AC354="",AE354=""),"",IFERROR(ROUND(IF(J354="Short",AB354-AE354,AE354-AB354)/ABS(AB354-AC354),2),""))</f>
        <v/>
      </c>
      <c r="AL354" s="68" t="str">
        <f aca="false">IF(AK354="","",IF(ABS(AK354)&lt;=Settings!$C$6,"BE",IF(AK354&gt;0,"Win","Loss")))</f>
        <v/>
      </c>
      <c r="AM354" s="79" t="str">
        <f aca="false">IF(OR(AK354="",AI354=""),"",ROUND(AK354*AI354-N(AH354),2))</f>
        <v/>
      </c>
      <c r="AN354" s="76" t="str">
        <f aca="false">IF(AM354="","",ROUND(BK354+SUMIFS(AM$6:AM354,BJ$6:BJ354,BJ354),2))</f>
        <v/>
      </c>
      <c r="AO354" s="78" t="str">
        <f aca="false">IF(AK354="","",ROUND(SUMIFS(AK$6:AK354,BJ$6:BJ354,BJ354),2))</f>
        <v/>
      </c>
      <c r="AP354" s="80" t="str">
        <f aca="false">IF(OR(AK354="",BL354=""),"",IFERROR(ROUND(IF(J354="Short",AB354-AE354,AE354-AB354)/BL354,1),""))</f>
        <v/>
      </c>
      <c r="AQ354" s="66" t="str">
        <f aca="false">IF(OR(G354="",H354=""),"",ROUND(MOD(H354-G354,1)*1440,0))</f>
        <v/>
      </c>
      <c r="AR354" s="68" t="str">
        <f aca="false">IF(AQ354="","",IF(AQ354&lt;15,"Under 15m",IF(AQ354&lt;60,"15-60m",IF(AQ354&lt;240,"1-4 hours","4+ hours"))))</f>
        <v/>
      </c>
      <c r="AS354" s="66" t="str">
        <f aca="false">IF(G354="","",HOUR(G354))</f>
        <v/>
      </c>
      <c r="AT354" s="80" t="str">
        <f aca="false">IF(OR(Z354="",AB354="",BL354=""),"",IFERROR(ROUND(IF(J354="Short",Z354-AB354,AB354-Z354)/BL354,1),""))</f>
        <v/>
      </c>
      <c r="AU354" s="68" t="str">
        <f aca="false">IF(OR(AA354="",AC354=""),"",IF(AA354=AC354,"No","Yes"))</f>
        <v/>
      </c>
      <c r="AV354" s="81" t="str">
        <f aca="false">IF(OR(B354="",BL354="",BM354="",AB354="",AC354=""),"",IFERROR(ROUND(AI354/(ABS(AB354-AC354)/BL354*BM354),2),""))</f>
        <v/>
      </c>
      <c r="AW354" s="76" t="str">
        <f aca="false">IF(B354="","",ROUND(BK354+SUMIFS(AM$5:AM353,BJ$5:BJ353,BJ354),2))</f>
        <v/>
      </c>
      <c r="AX354" s="66" t="str">
        <f aca="false">IF(B354="","",COUNTIFS(B$6:B354,B354,BJ$6:BJ354,BJ354))</f>
        <v/>
      </c>
      <c r="AY354" s="79" t="str">
        <f aca="false">IF(B354="","",ROUND(SUMIFS(AM$5:AM353,B$5:B353,B354,BJ$5:BJ353,BJ354),2))</f>
        <v/>
      </c>
      <c r="AZ354" s="79" t="str">
        <f aca="false">IF(AM354="","",ROUND(AY354+AM354,2))</f>
        <v/>
      </c>
      <c r="BA354" s="79" t="str">
        <f aca="false">IF(B354="","",ROUND(SUMIFS(AM$5:AM353,B$5:B353,"&gt;="&amp;(B354-WEEKDAY(B354,2)+1),B$5:B353,"&lt;="&amp;B354,BJ$5:BJ353,BJ354),2))</f>
        <v/>
      </c>
      <c r="BB354" s="68" t="str">
        <f aca="false">IF(B354="","",IF(AND(AF354&lt;&gt;"",AV354&lt;&gt;"",N(AF354)&gt;N(AV354)*(1+Settings!$C$13)),"Oversized",IF(AX354&gt;Settings!$C$10,"Overtraded",IF(AY354&lt;=-Settings!$C$11*(AW354-AY354),"Daily loss hit",IF(BA354&lt;=-Settings!$C$12*(AW354-BA354),"Weekly loss hit","OK")))))</f>
        <v/>
      </c>
      <c r="BC354" s="69"/>
      <c r="BD354" s="69"/>
      <c r="BE354" s="69"/>
      <c r="BF354" s="73"/>
      <c r="BG354" s="73"/>
      <c r="BH354" s="71"/>
      <c r="BI354" s="71"/>
      <c r="BJ354" s="68" t="str">
        <f aca="false">IF(B354="","",IF(E354="",Settings!$F$5,E354))</f>
        <v/>
      </c>
      <c r="BK354" s="76" t="str">
        <f aca="false">IF(B354="","",IFERROR(INDEX(Settings!$G$5:$G$10,MATCH(BJ354,Settings!$F$5:$F$10,0)),Settings!$G$5))</f>
        <v/>
      </c>
      <c r="BL354" s="82" t="str">
        <f aca="false">IF(I354="","",IFERROR(1/(1/INDEX(Lists!$C$6:$C$17,MATCH(I354,Lists!$B$6:$B$17,0))),""))</f>
        <v/>
      </c>
      <c r="BM354" s="81" t="str">
        <f aca="false">IF(I354="","",IFERROR(1/(1/INDEX(Lists!$D$6:$D$17,MATCH(I354,Lists!$B$6:$B$17,0))),""))</f>
        <v/>
      </c>
      <c r="BN354" s="76" t="str">
        <f aca="false">IF(AN354="","",MAX(BK354,_xlfn.MAXIFS(AN$6:AN354,BJ$6:BJ354,BJ354)))</f>
        <v/>
      </c>
      <c r="BO354" s="83" t="str">
        <f aca="false">IF(AN354="","",(AN354-BN354)/BN354)</f>
        <v/>
      </c>
      <c r="BP354" s="66" t="n">
        <f aca="false">IF(OR(B354="",AL354=""),0,IF(OR(Settings!$C$28="All Accounts",BJ354=Settings!$C$28),1,0))</f>
        <v>0</v>
      </c>
      <c r="BQ354" s="66" t="str">
        <f aca="false">IF(BP354=1,SUM(BP$6:BP354),"")</f>
        <v/>
      </c>
      <c r="BR354" s="76" t="str">
        <f aca="false">IF(BP354=1,ROUND(Settings!$C$29+SUMIFS(AM$6:AM354,BP$6:BP354,1),2),"")</f>
        <v/>
      </c>
      <c r="BS354" s="76" t="str">
        <f aca="false">IF(BP354=1,MAX(Settings!$C$29,MAX(BR$6:BR354)),"")</f>
        <v/>
      </c>
      <c r="BT354" s="83" t="str">
        <f aca="false">IF(BP354=1,(BR354-BS354)/BS354,"")</f>
        <v/>
      </c>
      <c r="BU354" s="66" t="str">
        <f aca="false">IF(BP354=1,IF(AL354="Win",1+IF(BQ354=1,0,INDEX(BU$5:BU353,MATCH(BQ354-1,BQ$5:BQ353,0))),0),"")</f>
        <v/>
      </c>
      <c r="BV354" s="66" t="str">
        <f aca="false">IF(BP354=1,IF(AL354="Loss",1+IF(BQ354=1,0,INDEX(BV$5:BV353,MATCH(BQ354-1,BQ$5:BQ353,0))),0),"")</f>
        <v/>
      </c>
    </row>
    <row r="355" customFormat="false" ht="15" hidden="false" customHeight="false" outlineLevel="0" collapsed="false">
      <c r="A355" s="66" t="str">
        <f aca="false">IF(B355="","",ROW()-5)</f>
        <v/>
      </c>
      <c r="B355" s="67"/>
      <c r="C355" s="68" t="str">
        <f aca="false">IF(B355="","",CHOOSE(WEEKDAY(B355,2),"Mon","Tue","Wed","Thu","Fri","Sat","Sun"))</f>
        <v/>
      </c>
      <c r="D355" s="66" t="str">
        <f aca="false">IF(B355="","",WEEKNUM(B355,2))</f>
        <v/>
      </c>
      <c r="E355" s="69"/>
      <c r="F355" s="69"/>
      <c r="G355" s="70"/>
      <c r="H355" s="70"/>
      <c r="I355" s="69"/>
      <c r="J355" s="69"/>
      <c r="K355" s="69"/>
      <c r="L355" s="71"/>
      <c r="M355" s="69"/>
      <c r="N355" s="69"/>
      <c r="O355" s="69"/>
      <c r="P355" s="71"/>
      <c r="Q355" s="69"/>
      <c r="R355" s="69"/>
      <c r="S355" s="69"/>
      <c r="T355" s="69"/>
      <c r="U355" s="69"/>
      <c r="V355" s="69"/>
      <c r="W355" s="69"/>
      <c r="X355" s="66" t="str">
        <f aca="false">IF(B355="","",COUNTIF(Q355:W355,"Yes"))</f>
        <v/>
      </c>
      <c r="Y355" s="68" t="str">
        <f aca="false">IF(B355="","",IF(X355&gt;=Settings!$C$16,"A+",IF(X355&gt;=Settings!$C$17,"A",IF(X355&gt;=Settings!$C$18,"B","C"))))</f>
        <v/>
      </c>
      <c r="Z355" s="72"/>
      <c r="AA355" s="72"/>
      <c r="AB355" s="72"/>
      <c r="AC355" s="72"/>
      <c r="AD355" s="72"/>
      <c r="AE355" s="72"/>
      <c r="AF355" s="73"/>
      <c r="AG355" s="74"/>
      <c r="AH355" s="75"/>
      <c r="AI355" s="76" t="str">
        <f aca="false">IF(B355="","",ROUND(IF(AG355="",Settings!$C$5,AG355)*AW355,2))</f>
        <v/>
      </c>
      <c r="AJ355" s="77" t="str">
        <f aca="false">IF(OR(B355="",AB355="",AC355="",AD355=""),"",IFERROR(ROUND(ABS(AD355-AB355)/ABS(AB355-AC355),2),""))</f>
        <v/>
      </c>
      <c r="AK355" s="78" t="str">
        <f aca="false">IF(OR(B355="",AB355="",AC355="",AE355=""),"",IFERROR(ROUND(IF(J355="Short",AB355-AE355,AE355-AB355)/ABS(AB355-AC355),2),""))</f>
        <v/>
      </c>
      <c r="AL355" s="68" t="str">
        <f aca="false">IF(AK355="","",IF(ABS(AK355)&lt;=Settings!$C$6,"BE",IF(AK355&gt;0,"Win","Loss")))</f>
        <v/>
      </c>
      <c r="AM355" s="79" t="str">
        <f aca="false">IF(OR(AK355="",AI355=""),"",ROUND(AK355*AI355-N(AH355),2))</f>
        <v/>
      </c>
      <c r="AN355" s="76" t="str">
        <f aca="false">IF(AM355="","",ROUND(BK355+SUMIFS(AM$6:AM355,BJ$6:BJ355,BJ355),2))</f>
        <v/>
      </c>
      <c r="AO355" s="78" t="str">
        <f aca="false">IF(AK355="","",ROUND(SUMIFS(AK$6:AK355,BJ$6:BJ355,BJ355),2))</f>
        <v/>
      </c>
      <c r="AP355" s="80" t="str">
        <f aca="false">IF(OR(AK355="",BL355=""),"",IFERROR(ROUND(IF(J355="Short",AB355-AE355,AE355-AB355)/BL355,1),""))</f>
        <v/>
      </c>
      <c r="AQ355" s="66" t="str">
        <f aca="false">IF(OR(G355="",H355=""),"",ROUND(MOD(H355-G355,1)*1440,0))</f>
        <v/>
      </c>
      <c r="AR355" s="68" t="str">
        <f aca="false">IF(AQ355="","",IF(AQ355&lt;15,"Under 15m",IF(AQ355&lt;60,"15-60m",IF(AQ355&lt;240,"1-4 hours","4+ hours"))))</f>
        <v/>
      </c>
      <c r="AS355" s="66" t="str">
        <f aca="false">IF(G355="","",HOUR(G355))</f>
        <v/>
      </c>
      <c r="AT355" s="80" t="str">
        <f aca="false">IF(OR(Z355="",AB355="",BL355=""),"",IFERROR(ROUND(IF(J355="Short",Z355-AB355,AB355-Z355)/BL355,1),""))</f>
        <v/>
      </c>
      <c r="AU355" s="68" t="str">
        <f aca="false">IF(OR(AA355="",AC355=""),"",IF(AA355=AC355,"No","Yes"))</f>
        <v/>
      </c>
      <c r="AV355" s="81" t="str">
        <f aca="false">IF(OR(B355="",BL355="",BM355="",AB355="",AC355=""),"",IFERROR(ROUND(AI355/(ABS(AB355-AC355)/BL355*BM355),2),""))</f>
        <v/>
      </c>
      <c r="AW355" s="76" t="str">
        <f aca="false">IF(B355="","",ROUND(BK355+SUMIFS(AM$5:AM354,BJ$5:BJ354,BJ355),2))</f>
        <v/>
      </c>
      <c r="AX355" s="66" t="str">
        <f aca="false">IF(B355="","",COUNTIFS(B$6:B355,B355,BJ$6:BJ355,BJ355))</f>
        <v/>
      </c>
      <c r="AY355" s="79" t="str">
        <f aca="false">IF(B355="","",ROUND(SUMIFS(AM$5:AM354,B$5:B354,B355,BJ$5:BJ354,BJ355),2))</f>
        <v/>
      </c>
      <c r="AZ355" s="79" t="str">
        <f aca="false">IF(AM355="","",ROUND(AY355+AM355,2))</f>
        <v/>
      </c>
      <c r="BA355" s="79" t="str">
        <f aca="false">IF(B355="","",ROUND(SUMIFS(AM$5:AM354,B$5:B354,"&gt;="&amp;(B355-WEEKDAY(B355,2)+1),B$5:B354,"&lt;="&amp;B355,BJ$5:BJ354,BJ355),2))</f>
        <v/>
      </c>
      <c r="BB355" s="68" t="str">
        <f aca="false">IF(B355="","",IF(AND(AF355&lt;&gt;"",AV355&lt;&gt;"",N(AF355)&gt;N(AV355)*(1+Settings!$C$13)),"Oversized",IF(AX355&gt;Settings!$C$10,"Overtraded",IF(AY355&lt;=-Settings!$C$11*(AW355-AY355),"Daily loss hit",IF(BA355&lt;=-Settings!$C$12*(AW355-BA355),"Weekly loss hit","OK")))))</f>
        <v/>
      </c>
      <c r="BC355" s="69"/>
      <c r="BD355" s="69"/>
      <c r="BE355" s="69"/>
      <c r="BF355" s="73"/>
      <c r="BG355" s="73"/>
      <c r="BH355" s="71"/>
      <c r="BI355" s="71"/>
      <c r="BJ355" s="68" t="str">
        <f aca="false">IF(B355="","",IF(E355="",Settings!$F$5,E355))</f>
        <v/>
      </c>
      <c r="BK355" s="76" t="str">
        <f aca="false">IF(B355="","",IFERROR(INDEX(Settings!$G$5:$G$10,MATCH(BJ355,Settings!$F$5:$F$10,0)),Settings!$G$5))</f>
        <v/>
      </c>
      <c r="BL355" s="82" t="str">
        <f aca="false">IF(I355="","",IFERROR(1/(1/INDEX(Lists!$C$6:$C$17,MATCH(I355,Lists!$B$6:$B$17,0))),""))</f>
        <v/>
      </c>
      <c r="BM355" s="81" t="str">
        <f aca="false">IF(I355="","",IFERROR(1/(1/INDEX(Lists!$D$6:$D$17,MATCH(I355,Lists!$B$6:$B$17,0))),""))</f>
        <v/>
      </c>
      <c r="BN355" s="76" t="str">
        <f aca="false">IF(AN355="","",MAX(BK355,_xlfn.MAXIFS(AN$6:AN355,BJ$6:BJ355,BJ355)))</f>
        <v/>
      </c>
      <c r="BO355" s="83" t="str">
        <f aca="false">IF(AN355="","",(AN355-BN355)/BN355)</f>
        <v/>
      </c>
      <c r="BP355" s="66" t="n">
        <f aca="false">IF(OR(B355="",AL355=""),0,IF(OR(Settings!$C$28="All Accounts",BJ355=Settings!$C$28),1,0))</f>
        <v>0</v>
      </c>
      <c r="BQ355" s="66" t="str">
        <f aca="false">IF(BP355=1,SUM(BP$6:BP355),"")</f>
        <v/>
      </c>
      <c r="BR355" s="76" t="str">
        <f aca="false">IF(BP355=1,ROUND(Settings!$C$29+SUMIFS(AM$6:AM355,BP$6:BP355,1),2),"")</f>
        <v/>
      </c>
      <c r="BS355" s="76" t="str">
        <f aca="false">IF(BP355=1,MAX(Settings!$C$29,MAX(BR$6:BR355)),"")</f>
        <v/>
      </c>
      <c r="BT355" s="83" t="str">
        <f aca="false">IF(BP355=1,(BR355-BS355)/BS355,"")</f>
        <v/>
      </c>
      <c r="BU355" s="66" t="str">
        <f aca="false">IF(BP355=1,IF(AL355="Win",1+IF(BQ355=1,0,INDEX(BU$5:BU354,MATCH(BQ355-1,BQ$5:BQ354,0))),0),"")</f>
        <v/>
      </c>
      <c r="BV355" s="66" t="str">
        <f aca="false">IF(BP355=1,IF(AL355="Loss",1+IF(BQ355=1,0,INDEX(BV$5:BV354,MATCH(BQ355-1,BQ$5:BQ354,0))),0),"")</f>
        <v/>
      </c>
    </row>
    <row r="356" customFormat="false" ht="15" hidden="false" customHeight="false" outlineLevel="0" collapsed="false">
      <c r="A356" s="66" t="str">
        <f aca="false">IF(B356="","",ROW()-5)</f>
        <v/>
      </c>
      <c r="B356" s="67"/>
      <c r="C356" s="68" t="str">
        <f aca="false">IF(B356="","",CHOOSE(WEEKDAY(B356,2),"Mon","Tue","Wed","Thu","Fri","Sat","Sun"))</f>
        <v/>
      </c>
      <c r="D356" s="66" t="str">
        <f aca="false">IF(B356="","",WEEKNUM(B356,2))</f>
        <v/>
      </c>
      <c r="E356" s="69"/>
      <c r="F356" s="69"/>
      <c r="G356" s="70"/>
      <c r="H356" s="70"/>
      <c r="I356" s="69"/>
      <c r="J356" s="69"/>
      <c r="K356" s="69"/>
      <c r="L356" s="71"/>
      <c r="M356" s="69"/>
      <c r="N356" s="69"/>
      <c r="O356" s="69"/>
      <c r="P356" s="71"/>
      <c r="Q356" s="69"/>
      <c r="R356" s="69"/>
      <c r="S356" s="69"/>
      <c r="T356" s="69"/>
      <c r="U356" s="69"/>
      <c r="V356" s="69"/>
      <c r="W356" s="69"/>
      <c r="X356" s="66" t="str">
        <f aca="false">IF(B356="","",COUNTIF(Q356:W356,"Yes"))</f>
        <v/>
      </c>
      <c r="Y356" s="68" t="str">
        <f aca="false">IF(B356="","",IF(X356&gt;=Settings!$C$16,"A+",IF(X356&gt;=Settings!$C$17,"A",IF(X356&gt;=Settings!$C$18,"B","C"))))</f>
        <v/>
      </c>
      <c r="Z356" s="72"/>
      <c r="AA356" s="72"/>
      <c r="AB356" s="72"/>
      <c r="AC356" s="72"/>
      <c r="AD356" s="72"/>
      <c r="AE356" s="72"/>
      <c r="AF356" s="73"/>
      <c r="AG356" s="74"/>
      <c r="AH356" s="75"/>
      <c r="AI356" s="76" t="str">
        <f aca="false">IF(B356="","",ROUND(IF(AG356="",Settings!$C$5,AG356)*AW356,2))</f>
        <v/>
      </c>
      <c r="AJ356" s="77" t="str">
        <f aca="false">IF(OR(B356="",AB356="",AC356="",AD356=""),"",IFERROR(ROUND(ABS(AD356-AB356)/ABS(AB356-AC356),2),""))</f>
        <v/>
      </c>
      <c r="AK356" s="78" t="str">
        <f aca="false">IF(OR(B356="",AB356="",AC356="",AE356=""),"",IFERROR(ROUND(IF(J356="Short",AB356-AE356,AE356-AB356)/ABS(AB356-AC356),2),""))</f>
        <v/>
      </c>
      <c r="AL356" s="68" t="str">
        <f aca="false">IF(AK356="","",IF(ABS(AK356)&lt;=Settings!$C$6,"BE",IF(AK356&gt;0,"Win","Loss")))</f>
        <v/>
      </c>
      <c r="AM356" s="79" t="str">
        <f aca="false">IF(OR(AK356="",AI356=""),"",ROUND(AK356*AI356-N(AH356),2))</f>
        <v/>
      </c>
      <c r="AN356" s="76" t="str">
        <f aca="false">IF(AM356="","",ROUND(BK356+SUMIFS(AM$6:AM356,BJ$6:BJ356,BJ356),2))</f>
        <v/>
      </c>
      <c r="AO356" s="78" t="str">
        <f aca="false">IF(AK356="","",ROUND(SUMIFS(AK$6:AK356,BJ$6:BJ356,BJ356),2))</f>
        <v/>
      </c>
      <c r="AP356" s="80" t="str">
        <f aca="false">IF(OR(AK356="",BL356=""),"",IFERROR(ROUND(IF(J356="Short",AB356-AE356,AE356-AB356)/BL356,1),""))</f>
        <v/>
      </c>
      <c r="AQ356" s="66" t="str">
        <f aca="false">IF(OR(G356="",H356=""),"",ROUND(MOD(H356-G356,1)*1440,0))</f>
        <v/>
      </c>
      <c r="AR356" s="68" t="str">
        <f aca="false">IF(AQ356="","",IF(AQ356&lt;15,"Under 15m",IF(AQ356&lt;60,"15-60m",IF(AQ356&lt;240,"1-4 hours","4+ hours"))))</f>
        <v/>
      </c>
      <c r="AS356" s="66" t="str">
        <f aca="false">IF(G356="","",HOUR(G356))</f>
        <v/>
      </c>
      <c r="AT356" s="80" t="str">
        <f aca="false">IF(OR(Z356="",AB356="",BL356=""),"",IFERROR(ROUND(IF(J356="Short",Z356-AB356,AB356-Z356)/BL356,1),""))</f>
        <v/>
      </c>
      <c r="AU356" s="68" t="str">
        <f aca="false">IF(OR(AA356="",AC356=""),"",IF(AA356=AC356,"No","Yes"))</f>
        <v/>
      </c>
      <c r="AV356" s="81" t="str">
        <f aca="false">IF(OR(B356="",BL356="",BM356="",AB356="",AC356=""),"",IFERROR(ROUND(AI356/(ABS(AB356-AC356)/BL356*BM356),2),""))</f>
        <v/>
      </c>
      <c r="AW356" s="76" t="str">
        <f aca="false">IF(B356="","",ROUND(BK356+SUMIFS(AM$5:AM355,BJ$5:BJ355,BJ356),2))</f>
        <v/>
      </c>
      <c r="AX356" s="66" t="str">
        <f aca="false">IF(B356="","",COUNTIFS(B$6:B356,B356,BJ$6:BJ356,BJ356))</f>
        <v/>
      </c>
      <c r="AY356" s="79" t="str">
        <f aca="false">IF(B356="","",ROUND(SUMIFS(AM$5:AM355,B$5:B355,B356,BJ$5:BJ355,BJ356),2))</f>
        <v/>
      </c>
      <c r="AZ356" s="79" t="str">
        <f aca="false">IF(AM356="","",ROUND(AY356+AM356,2))</f>
        <v/>
      </c>
      <c r="BA356" s="79" t="str">
        <f aca="false">IF(B356="","",ROUND(SUMIFS(AM$5:AM355,B$5:B355,"&gt;="&amp;(B356-WEEKDAY(B356,2)+1),B$5:B355,"&lt;="&amp;B356,BJ$5:BJ355,BJ356),2))</f>
        <v/>
      </c>
      <c r="BB356" s="68" t="str">
        <f aca="false">IF(B356="","",IF(AND(AF356&lt;&gt;"",AV356&lt;&gt;"",N(AF356)&gt;N(AV356)*(1+Settings!$C$13)),"Oversized",IF(AX356&gt;Settings!$C$10,"Overtraded",IF(AY356&lt;=-Settings!$C$11*(AW356-AY356),"Daily loss hit",IF(BA356&lt;=-Settings!$C$12*(AW356-BA356),"Weekly loss hit","OK")))))</f>
        <v/>
      </c>
      <c r="BC356" s="69"/>
      <c r="BD356" s="69"/>
      <c r="BE356" s="69"/>
      <c r="BF356" s="73"/>
      <c r="BG356" s="73"/>
      <c r="BH356" s="71"/>
      <c r="BI356" s="71"/>
      <c r="BJ356" s="68" t="str">
        <f aca="false">IF(B356="","",IF(E356="",Settings!$F$5,E356))</f>
        <v/>
      </c>
      <c r="BK356" s="76" t="str">
        <f aca="false">IF(B356="","",IFERROR(INDEX(Settings!$G$5:$G$10,MATCH(BJ356,Settings!$F$5:$F$10,0)),Settings!$G$5))</f>
        <v/>
      </c>
      <c r="BL356" s="82" t="str">
        <f aca="false">IF(I356="","",IFERROR(1/(1/INDEX(Lists!$C$6:$C$17,MATCH(I356,Lists!$B$6:$B$17,0))),""))</f>
        <v/>
      </c>
      <c r="BM356" s="81" t="str">
        <f aca="false">IF(I356="","",IFERROR(1/(1/INDEX(Lists!$D$6:$D$17,MATCH(I356,Lists!$B$6:$B$17,0))),""))</f>
        <v/>
      </c>
      <c r="BN356" s="76" t="str">
        <f aca="false">IF(AN356="","",MAX(BK356,_xlfn.MAXIFS(AN$6:AN356,BJ$6:BJ356,BJ356)))</f>
        <v/>
      </c>
      <c r="BO356" s="83" t="str">
        <f aca="false">IF(AN356="","",(AN356-BN356)/BN356)</f>
        <v/>
      </c>
      <c r="BP356" s="66" t="n">
        <f aca="false">IF(OR(B356="",AL356=""),0,IF(OR(Settings!$C$28="All Accounts",BJ356=Settings!$C$28),1,0))</f>
        <v>0</v>
      </c>
      <c r="BQ356" s="66" t="str">
        <f aca="false">IF(BP356=1,SUM(BP$6:BP356),"")</f>
        <v/>
      </c>
      <c r="BR356" s="76" t="str">
        <f aca="false">IF(BP356=1,ROUND(Settings!$C$29+SUMIFS(AM$6:AM356,BP$6:BP356,1),2),"")</f>
        <v/>
      </c>
      <c r="BS356" s="76" t="str">
        <f aca="false">IF(BP356=1,MAX(Settings!$C$29,MAX(BR$6:BR356)),"")</f>
        <v/>
      </c>
      <c r="BT356" s="83" t="str">
        <f aca="false">IF(BP356=1,(BR356-BS356)/BS356,"")</f>
        <v/>
      </c>
      <c r="BU356" s="66" t="str">
        <f aca="false">IF(BP356=1,IF(AL356="Win",1+IF(BQ356=1,0,INDEX(BU$5:BU355,MATCH(BQ356-1,BQ$5:BQ355,0))),0),"")</f>
        <v/>
      </c>
      <c r="BV356" s="66" t="str">
        <f aca="false">IF(BP356=1,IF(AL356="Loss",1+IF(BQ356=1,0,INDEX(BV$5:BV355,MATCH(BQ356-1,BQ$5:BQ355,0))),0),"")</f>
        <v/>
      </c>
    </row>
    <row r="357" customFormat="false" ht="15" hidden="false" customHeight="false" outlineLevel="0" collapsed="false">
      <c r="A357" s="66" t="str">
        <f aca="false">IF(B357="","",ROW()-5)</f>
        <v/>
      </c>
      <c r="B357" s="67"/>
      <c r="C357" s="68" t="str">
        <f aca="false">IF(B357="","",CHOOSE(WEEKDAY(B357,2),"Mon","Tue","Wed","Thu","Fri","Sat","Sun"))</f>
        <v/>
      </c>
      <c r="D357" s="66" t="str">
        <f aca="false">IF(B357="","",WEEKNUM(B357,2))</f>
        <v/>
      </c>
      <c r="E357" s="69"/>
      <c r="F357" s="69"/>
      <c r="G357" s="70"/>
      <c r="H357" s="70"/>
      <c r="I357" s="69"/>
      <c r="J357" s="69"/>
      <c r="K357" s="69"/>
      <c r="L357" s="71"/>
      <c r="M357" s="69"/>
      <c r="N357" s="69"/>
      <c r="O357" s="69"/>
      <c r="P357" s="71"/>
      <c r="Q357" s="69"/>
      <c r="R357" s="69"/>
      <c r="S357" s="69"/>
      <c r="T357" s="69"/>
      <c r="U357" s="69"/>
      <c r="V357" s="69"/>
      <c r="W357" s="69"/>
      <c r="X357" s="66" t="str">
        <f aca="false">IF(B357="","",COUNTIF(Q357:W357,"Yes"))</f>
        <v/>
      </c>
      <c r="Y357" s="68" t="str">
        <f aca="false">IF(B357="","",IF(X357&gt;=Settings!$C$16,"A+",IF(X357&gt;=Settings!$C$17,"A",IF(X357&gt;=Settings!$C$18,"B","C"))))</f>
        <v/>
      </c>
      <c r="Z357" s="72"/>
      <c r="AA357" s="72"/>
      <c r="AB357" s="72"/>
      <c r="AC357" s="72"/>
      <c r="AD357" s="72"/>
      <c r="AE357" s="72"/>
      <c r="AF357" s="73"/>
      <c r="AG357" s="74"/>
      <c r="AH357" s="75"/>
      <c r="AI357" s="76" t="str">
        <f aca="false">IF(B357="","",ROUND(IF(AG357="",Settings!$C$5,AG357)*AW357,2))</f>
        <v/>
      </c>
      <c r="AJ357" s="77" t="str">
        <f aca="false">IF(OR(B357="",AB357="",AC357="",AD357=""),"",IFERROR(ROUND(ABS(AD357-AB357)/ABS(AB357-AC357),2),""))</f>
        <v/>
      </c>
      <c r="AK357" s="78" t="str">
        <f aca="false">IF(OR(B357="",AB357="",AC357="",AE357=""),"",IFERROR(ROUND(IF(J357="Short",AB357-AE357,AE357-AB357)/ABS(AB357-AC357),2),""))</f>
        <v/>
      </c>
      <c r="AL357" s="68" t="str">
        <f aca="false">IF(AK357="","",IF(ABS(AK357)&lt;=Settings!$C$6,"BE",IF(AK357&gt;0,"Win","Loss")))</f>
        <v/>
      </c>
      <c r="AM357" s="79" t="str">
        <f aca="false">IF(OR(AK357="",AI357=""),"",ROUND(AK357*AI357-N(AH357),2))</f>
        <v/>
      </c>
      <c r="AN357" s="76" t="str">
        <f aca="false">IF(AM357="","",ROUND(BK357+SUMIFS(AM$6:AM357,BJ$6:BJ357,BJ357),2))</f>
        <v/>
      </c>
      <c r="AO357" s="78" t="str">
        <f aca="false">IF(AK357="","",ROUND(SUMIFS(AK$6:AK357,BJ$6:BJ357,BJ357),2))</f>
        <v/>
      </c>
      <c r="AP357" s="80" t="str">
        <f aca="false">IF(OR(AK357="",BL357=""),"",IFERROR(ROUND(IF(J357="Short",AB357-AE357,AE357-AB357)/BL357,1),""))</f>
        <v/>
      </c>
      <c r="AQ357" s="66" t="str">
        <f aca="false">IF(OR(G357="",H357=""),"",ROUND(MOD(H357-G357,1)*1440,0))</f>
        <v/>
      </c>
      <c r="AR357" s="68" t="str">
        <f aca="false">IF(AQ357="","",IF(AQ357&lt;15,"Under 15m",IF(AQ357&lt;60,"15-60m",IF(AQ357&lt;240,"1-4 hours","4+ hours"))))</f>
        <v/>
      </c>
      <c r="AS357" s="66" t="str">
        <f aca="false">IF(G357="","",HOUR(G357))</f>
        <v/>
      </c>
      <c r="AT357" s="80" t="str">
        <f aca="false">IF(OR(Z357="",AB357="",BL357=""),"",IFERROR(ROUND(IF(J357="Short",Z357-AB357,AB357-Z357)/BL357,1),""))</f>
        <v/>
      </c>
      <c r="AU357" s="68" t="str">
        <f aca="false">IF(OR(AA357="",AC357=""),"",IF(AA357=AC357,"No","Yes"))</f>
        <v/>
      </c>
      <c r="AV357" s="81" t="str">
        <f aca="false">IF(OR(B357="",BL357="",BM357="",AB357="",AC357=""),"",IFERROR(ROUND(AI357/(ABS(AB357-AC357)/BL357*BM357),2),""))</f>
        <v/>
      </c>
      <c r="AW357" s="76" t="str">
        <f aca="false">IF(B357="","",ROUND(BK357+SUMIFS(AM$5:AM356,BJ$5:BJ356,BJ357),2))</f>
        <v/>
      </c>
      <c r="AX357" s="66" t="str">
        <f aca="false">IF(B357="","",COUNTIFS(B$6:B357,B357,BJ$6:BJ357,BJ357))</f>
        <v/>
      </c>
      <c r="AY357" s="79" t="str">
        <f aca="false">IF(B357="","",ROUND(SUMIFS(AM$5:AM356,B$5:B356,B357,BJ$5:BJ356,BJ357),2))</f>
        <v/>
      </c>
      <c r="AZ357" s="79" t="str">
        <f aca="false">IF(AM357="","",ROUND(AY357+AM357,2))</f>
        <v/>
      </c>
      <c r="BA357" s="79" t="str">
        <f aca="false">IF(B357="","",ROUND(SUMIFS(AM$5:AM356,B$5:B356,"&gt;="&amp;(B357-WEEKDAY(B357,2)+1),B$5:B356,"&lt;="&amp;B357,BJ$5:BJ356,BJ357),2))</f>
        <v/>
      </c>
      <c r="BB357" s="68" t="str">
        <f aca="false">IF(B357="","",IF(AND(AF357&lt;&gt;"",AV357&lt;&gt;"",N(AF357)&gt;N(AV357)*(1+Settings!$C$13)),"Oversized",IF(AX357&gt;Settings!$C$10,"Overtraded",IF(AY357&lt;=-Settings!$C$11*(AW357-AY357),"Daily loss hit",IF(BA357&lt;=-Settings!$C$12*(AW357-BA357),"Weekly loss hit","OK")))))</f>
        <v/>
      </c>
      <c r="BC357" s="69"/>
      <c r="BD357" s="69"/>
      <c r="BE357" s="69"/>
      <c r="BF357" s="73"/>
      <c r="BG357" s="73"/>
      <c r="BH357" s="71"/>
      <c r="BI357" s="71"/>
      <c r="BJ357" s="68" t="str">
        <f aca="false">IF(B357="","",IF(E357="",Settings!$F$5,E357))</f>
        <v/>
      </c>
      <c r="BK357" s="76" t="str">
        <f aca="false">IF(B357="","",IFERROR(INDEX(Settings!$G$5:$G$10,MATCH(BJ357,Settings!$F$5:$F$10,0)),Settings!$G$5))</f>
        <v/>
      </c>
      <c r="BL357" s="82" t="str">
        <f aca="false">IF(I357="","",IFERROR(1/(1/INDEX(Lists!$C$6:$C$17,MATCH(I357,Lists!$B$6:$B$17,0))),""))</f>
        <v/>
      </c>
      <c r="BM357" s="81" t="str">
        <f aca="false">IF(I357="","",IFERROR(1/(1/INDEX(Lists!$D$6:$D$17,MATCH(I357,Lists!$B$6:$B$17,0))),""))</f>
        <v/>
      </c>
      <c r="BN357" s="76" t="str">
        <f aca="false">IF(AN357="","",MAX(BK357,_xlfn.MAXIFS(AN$6:AN357,BJ$6:BJ357,BJ357)))</f>
        <v/>
      </c>
      <c r="BO357" s="83" t="str">
        <f aca="false">IF(AN357="","",(AN357-BN357)/BN357)</f>
        <v/>
      </c>
      <c r="BP357" s="66" t="n">
        <f aca="false">IF(OR(B357="",AL357=""),0,IF(OR(Settings!$C$28="All Accounts",BJ357=Settings!$C$28),1,0))</f>
        <v>0</v>
      </c>
      <c r="BQ357" s="66" t="str">
        <f aca="false">IF(BP357=1,SUM(BP$6:BP357),"")</f>
        <v/>
      </c>
      <c r="BR357" s="76" t="str">
        <f aca="false">IF(BP357=1,ROUND(Settings!$C$29+SUMIFS(AM$6:AM357,BP$6:BP357,1),2),"")</f>
        <v/>
      </c>
      <c r="BS357" s="76" t="str">
        <f aca="false">IF(BP357=1,MAX(Settings!$C$29,MAX(BR$6:BR357)),"")</f>
        <v/>
      </c>
      <c r="BT357" s="83" t="str">
        <f aca="false">IF(BP357=1,(BR357-BS357)/BS357,"")</f>
        <v/>
      </c>
      <c r="BU357" s="66" t="str">
        <f aca="false">IF(BP357=1,IF(AL357="Win",1+IF(BQ357=1,0,INDEX(BU$5:BU356,MATCH(BQ357-1,BQ$5:BQ356,0))),0),"")</f>
        <v/>
      </c>
      <c r="BV357" s="66" t="str">
        <f aca="false">IF(BP357=1,IF(AL357="Loss",1+IF(BQ357=1,0,INDEX(BV$5:BV356,MATCH(BQ357-1,BQ$5:BQ356,0))),0),"")</f>
        <v/>
      </c>
    </row>
    <row r="358" customFormat="false" ht="15" hidden="false" customHeight="false" outlineLevel="0" collapsed="false">
      <c r="A358" s="66" t="str">
        <f aca="false">IF(B358="","",ROW()-5)</f>
        <v/>
      </c>
      <c r="B358" s="67"/>
      <c r="C358" s="68" t="str">
        <f aca="false">IF(B358="","",CHOOSE(WEEKDAY(B358,2),"Mon","Tue","Wed","Thu","Fri","Sat","Sun"))</f>
        <v/>
      </c>
      <c r="D358" s="66" t="str">
        <f aca="false">IF(B358="","",WEEKNUM(B358,2))</f>
        <v/>
      </c>
      <c r="E358" s="69"/>
      <c r="F358" s="69"/>
      <c r="G358" s="70"/>
      <c r="H358" s="70"/>
      <c r="I358" s="69"/>
      <c r="J358" s="69"/>
      <c r="K358" s="69"/>
      <c r="L358" s="71"/>
      <c r="M358" s="69"/>
      <c r="N358" s="69"/>
      <c r="O358" s="69"/>
      <c r="P358" s="71"/>
      <c r="Q358" s="69"/>
      <c r="R358" s="69"/>
      <c r="S358" s="69"/>
      <c r="T358" s="69"/>
      <c r="U358" s="69"/>
      <c r="V358" s="69"/>
      <c r="W358" s="69"/>
      <c r="X358" s="66" t="str">
        <f aca="false">IF(B358="","",COUNTIF(Q358:W358,"Yes"))</f>
        <v/>
      </c>
      <c r="Y358" s="68" t="str">
        <f aca="false">IF(B358="","",IF(X358&gt;=Settings!$C$16,"A+",IF(X358&gt;=Settings!$C$17,"A",IF(X358&gt;=Settings!$C$18,"B","C"))))</f>
        <v/>
      </c>
      <c r="Z358" s="72"/>
      <c r="AA358" s="72"/>
      <c r="AB358" s="72"/>
      <c r="AC358" s="72"/>
      <c r="AD358" s="72"/>
      <c r="AE358" s="72"/>
      <c r="AF358" s="73"/>
      <c r="AG358" s="74"/>
      <c r="AH358" s="75"/>
      <c r="AI358" s="76" t="str">
        <f aca="false">IF(B358="","",ROUND(IF(AG358="",Settings!$C$5,AG358)*AW358,2))</f>
        <v/>
      </c>
      <c r="AJ358" s="77" t="str">
        <f aca="false">IF(OR(B358="",AB358="",AC358="",AD358=""),"",IFERROR(ROUND(ABS(AD358-AB358)/ABS(AB358-AC358),2),""))</f>
        <v/>
      </c>
      <c r="AK358" s="78" t="str">
        <f aca="false">IF(OR(B358="",AB358="",AC358="",AE358=""),"",IFERROR(ROUND(IF(J358="Short",AB358-AE358,AE358-AB358)/ABS(AB358-AC358),2),""))</f>
        <v/>
      </c>
      <c r="AL358" s="68" t="str">
        <f aca="false">IF(AK358="","",IF(ABS(AK358)&lt;=Settings!$C$6,"BE",IF(AK358&gt;0,"Win","Loss")))</f>
        <v/>
      </c>
      <c r="AM358" s="79" t="str">
        <f aca="false">IF(OR(AK358="",AI358=""),"",ROUND(AK358*AI358-N(AH358),2))</f>
        <v/>
      </c>
      <c r="AN358" s="76" t="str">
        <f aca="false">IF(AM358="","",ROUND(BK358+SUMIFS(AM$6:AM358,BJ$6:BJ358,BJ358),2))</f>
        <v/>
      </c>
      <c r="AO358" s="78" t="str">
        <f aca="false">IF(AK358="","",ROUND(SUMIFS(AK$6:AK358,BJ$6:BJ358,BJ358),2))</f>
        <v/>
      </c>
      <c r="AP358" s="80" t="str">
        <f aca="false">IF(OR(AK358="",BL358=""),"",IFERROR(ROUND(IF(J358="Short",AB358-AE358,AE358-AB358)/BL358,1),""))</f>
        <v/>
      </c>
      <c r="AQ358" s="66" t="str">
        <f aca="false">IF(OR(G358="",H358=""),"",ROUND(MOD(H358-G358,1)*1440,0))</f>
        <v/>
      </c>
      <c r="AR358" s="68" t="str">
        <f aca="false">IF(AQ358="","",IF(AQ358&lt;15,"Under 15m",IF(AQ358&lt;60,"15-60m",IF(AQ358&lt;240,"1-4 hours","4+ hours"))))</f>
        <v/>
      </c>
      <c r="AS358" s="66" t="str">
        <f aca="false">IF(G358="","",HOUR(G358))</f>
        <v/>
      </c>
      <c r="AT358" s="80" t="str">
        <f aca="false">IF(OR(Z358="",AB358="",BL358=""),"",IFERROR(ROUND(IF(J358="Short",Z358-AB358,AB358-Z358)/BL358,1),""))</f>
        <v/>
      </c>
      <c r="AU358" s="68" t="str">
        <f aca="false">IF(OR(AA358="",AC358=""),"",IF(AA358=AC358,"No","Yes"))</f>
        <v/>
      </c>
      <c r="AV358" s="81" t="str">
        <f aca="false">IF(OR(B358="",BL358="",BM358="",AB358="",AC358=""),"",IFERROR(ROUND(AI358/(ABS(AB358-AC358)/BL358*BM358),2),""))</f>
        <v/>
      </c>
      <c r="AW358" s="76" t="str">
        <f aca="false">IF(B358="","",ROUND(BK358+SUMIFS(AM$5:AM357,BJ$5:BJ357,BJ358),2))</f>
        <v/>
      </c>
      <c r="AX358" s="66" t="str">
        <f aca="false">IF(B358="","",COUNTIFS(B$6:B358,B358,BJ$6:BJ358,BJ358))</f>
        <v/>
      </c>
      <c r="AY358" s="79" t="str">
        <f aca="false">IF(B358="","",ROUND(SUMIFS(AM$5:AM357,B$5:B357,B358,BJ$5:BJ357,BJ358),2))</f>
        <v/>
      </c>
      <c r="AZ358" s="79" t="str">
        <f aca="false">IF(AM358="","",ROUND(AY358+AM358,2))</f>
        <v/>
      </c>
      <c r="BA358" s="79" t="str">
        <f aca="false">IF(B358="","",ROUND(SUMIFS(AM$5:AM357,B$5:B357,"&gt;="&amp;(B358-WEEKDAY(B358,2)+1),B$5:B357,"&lt;="&amp;B358,BJ$5:BJ357,BJ358),2))</f>
        <v/>
      </c>
      <c r="BB358" s="68" t="str">
        <f aca="false">IF(B358="","",IF(AND(AF358&lt;&gt;"",AV358&lt;&gt;"",N(AF358)&gt;N(AV358)*(1+Settings!$C$13)),"Oversized",IF(AX358&gt;Settings!$C$10,"Overtraded",IF(AY358&lt;=-Settings!$C$11*(AW358-AY358),"Daily loss hit",IF(BA358&lt;=-Settings!$C$12*(AW358-BA358),"Weekly loss hit","OK")))))</f>
        <v/>
      </c>
      <c r="BC358" s="69"/>
      <c r="BD358" s="69"/>
      <c r="BE358" s="69"/>
      <c r="BF358" s="73"/>
      <c r="BG358" s="73"/>
      <c r="BH358" s="71"/>
      <c r="BI358" s="71"/>
      <c r="BJ358" s="68" t="str">
        <f aca="false">IF(B358="","",IF(E358="",Settings!$F$5,E358))</f>
        <v/>
      </c>
      <c r="BK358" s="76" t="str">
        <f aca="false">IF(B358="","",IFERROR(INDEX(Settings!$G$5:$G$10,MATCH(BJ358,Settings!$F$5:$F$10,0)),Settings!$G$5))</f>
        <v/>
      </c>
      <c r="BL358" s="82" t="str">
        <f aca="false">IF(I358="","",IFERROR(1/(1/INDEX(Lists!$C$6:$C$17,MATCH(I358,Lists!$B$6:$B$17,0))),""))</f>
        <v/>
      </c>
      <c r="BM358" s="81" t="str">
        <f aca="false">IF(I358="","",IFERROR(1/(1/INDEX(Lists!$D$6:$D$17,MATCH(I358,Lists!$B$6:$B$17,0))),""))</f>
        <v/>
      </c>
      <c r="BN358" s="76" t="str">
        <f aca="false">IF(AN358="","",MAX(BK358,_xlfn.MAXIFS(AN$6:AN358,BJ$6:BJ358,BJ358)))</f>
        <v/>
      </c>
      <c r="BO358" s="83" t="str">
        <f aca="false">IF(AN358="","",(AN358-BN358)/BN358)</f>
        <v/>
      </c>
      <c r="BP358" s="66" t="n">
        <f aca="false">IF(OR(B358="",AL358=""),0,IF(OR(Settings!$C$28="All Accounts",BJ358=Settings!$C$28),1,0))</f>
        <v>0</v>
      </c>
      <c r="BQ358" s="66" t="str">
        <f aca="false">IF(BP358=1,SUM(BP$6:BP358),"")</f>
        <v/>
      </c>
      <c r="BR358" s="76" t="str">
        <f aca="false">IF(BP358=1,ROUND(Settings!$C$29+SUMIFS(AM$6:AM358,BP$6:BP358,1),2),"")</f>
        <v/>
      </c>
      <c r="BS358" s="76" t="str">
        <f aca="false">IF(BP358=1,MAX(Settings!$C$29,MAX(BR$6:BR358)),"")</f>
        <v/>
      </c>
      <c r="BT358" s="83" t="str">
        <f aca="false">IF(BP358=1,(BR358-BS358)/BS358,"")</f>
        <v/>
      </c>
      <c r="BU358" s="66" t="str">
        <f aca="false">IF(BP358=1,IF(AL358="Win",1+IF(BQ358=1,0,INDEX(BU$5:BU357,MATCH(BQ358-1,BQ$5:BQ357,0))),0),"")</f>
        <v/>
      </c>
      <c r="BV358" s="66" t="str">
        <f aca="false">IF(BP358=1,IF(AL358="Loss",1+IF(BQ358=1,0,INDEX(BV$5:BV357,MATCH(BQ358-1,BQ$5:BQ357,0))),0),"")</f>
        <v/>
      </c>
    </row>
    <row r="359" customFormat="false" ht="15" hidden="false" customHeight="false" outlineLevel="0" collapsed="false">
      <c r="A359" s="66" t="str">
        <f aca="false">IF(B359="","",ROW()-5)</f>
        <v/>
      </c>
      <c r="B359" s="67"/>
      <c r="C359" s="68" t="str">
        <f aca="false">IF(B359="","",CHOOSE(WEEKDAY(B359,2),"Mon","Tue","Wed","Thu","Fri","Sat","Sun"))</f>
        <v/>
      </c>
      <c r="D359" s="66" t="str">
        <f aca="false">IF(B359="","",WEEKNUM(B359,2))</f>
        <v/>
      </c>
      <c r="E359" s="69"/>
      <c r="F359" s="69"/>
      <c r="G359" s="70"/>
      <c r="H359" s="70"/>
      <c r="I359" s="69"/>
      <c r="J359" s="69"/>
      <c r="K359" s="69"/>
      <c r="L359" s="71"/>
      <c r="M359" s="69"/>
      <c r="N359" s="69"/>
      <c r="O359" s="69"/>
      <c r="P359" s="71"/>
      <c r="Q359" s="69"/>
      <c r="R359" s="69"/>
      <c r="S359" s="69"/>
      <c r="T359" s="69"/>
      <c r="U359" s="69"/>
      <c r="V359" s="69"/>
      <c r="W359" s="69"/>
      <c r="X359" s="66" t="str">
        <f aca="false">IF(B359="","",COUNTIF(Q359:W359,"Yes"))</f>
        <v/>
      </c>
      <c r="Y359" s="68" t="str">
        <f aca="false">IF(B359="","",IF(X359&gt;=Settings!$C$16,"A+",IF(X359&gt;=Settings!$C$17,"A",IF(X359&gt;=Settings!$C$18,"B","C"))))</f>
        <v/>
      </c>
      <c r="Z359" s="72"/>
      <c r="AA359" s="72"/>
      <c r="AB359" s="72"/>
      <c r="AC359" s="72"/>
      <c r="AD359" s="72"/>
      <c r="AE359" s="72"/>
      <c r="AF359" s="73"/>
      <c r="AG359" s="74"/>
      <c r="AH359" s="75"/>
      <c r="AI359" s="76" t="str">
        <f aca="false">IF(B359="","",ROUND(IF(AG359="",Settings!$C$5,AG359)*AW359,2))</f>
        <v/>
      </c>
      <c r="AJ359" s="77" t="str">
        <f aca="false">IF(OR(B359="",AB359="",AC359="",AD359=""),"",IFERROR(ROUND(ABS(AD359-AB359)/ABS(AB359-AC359),2),""))</f>
        <v/>
      </c>
      <c r="AK359" s="78" t="str">
        <f aca="false">IF(OR(B359="",AB359="",AC359="",AE359=""),"",IFERROR(ROUND(IF(J359="Short",AB359-AE359,AE359-AB359)/ABS(AB359-AC359),2),""))</f>
        <v/>
      </c>
      <c r="AL359" s="68" t="str">
        <f aca="false">IF(AK359="","",IF(ABS(AK359)&lt;=Settings!$C$6,"BE",IF(AK359&gt;0,"Win","Loss")))</f>
        <v/>
      </c>
      <c r="AM359" s="79" t="str">
        <f aca="false">IF(OR(AK359="",AI359=""),"",ROUND(AK359*AI359-N(AH359),2))</f>
        <v/>
      </c>
      <c r="AN359" s="76" t="str">
        <f aca="false">IF(AM359="","",ROUND(BK359+SUMIFS(AM$6:AM359,BJ$6:BJ359,BJ359),2))</f>
        <v/>
      </c>
      <c r="AO359" s="78" t="str">
        <f aca="false">IF(AK359="","",ROUND(SUMIFS(AK$6:AK359,BJ$6:BJ359,BJ359),2))</f>
        <v/>
      </c>
      <c r="AP359" s="80" t="str">
        <f aca="false">IF(OR(AK359="",BL359=""),"",IFERROR(ROUND(IF(J359="Short",AB359-AE359,AE359-AB359)/BL359,1),""))</f>
        <v/>
      </c>
      <c r="AQ359" s="66" t="str">
        <f aca="false">IF(OR(G359="",H359=""),"",ROUND(MOD(H359-G359,1)*1440,0))</f>
        <v/>
      </c>
      <c r="AR359" s="68" t="str">
        <f aca="false">IF(AQ359="","",IF(AQ359&lt;15,"Under 15m",IF(AQ359&lt;60,"15-60m",IF(AQ359&lt;240,"1-4 hours","4+ hours"))))</f>
        <v/>
      </c>
      <c r="AS359" s="66" t="str">
        <f aca="false">IF(G359="","",HOUR(G359))</f>
        <v/>
      </c>
      <c r="AT359" s="80" t="str">
        <f aca="false">IF(OR(Z359="",AB359="",BL359=""),"",IFERROR(ROUND(IF(J359="Short",Z359-AB359,AB359-Z359)/BL359,1),""))</f>
        <v/>
      </c>
      <c r="AU359" s="68" t="str">
        <f aca="false">IF(OR(AA359="",AC359=""),"",IF(AA359=AC359,"No","Yes"))</f>
        <v/>
      </c>
      <c r="AV359" s="81" t="str">
        <f aca="false">IF(OR(B359="",BL359="",BM359="",AB359="",AC359=""),"",IFERROR(ROUND(AI359/(ABS(AB359-AC359)/BL359*BM359),2),""))</f>
        <v/>
      </c>
      <c r="AW359" s="76" t="str">
        <f aca="false">IF(B359="","",ROUND(BK359+SUMIFS(AM$5:AM358,BJ$5:BJ358,BJ359),2))</f>
        <v/>
      </c>
      <c r="AX359" s="66" t="str">
        <f aca="false">IF(B359="","",COUNTIFS(B$6:B359,B359,BJ$6:BJ359,BJ359))</f>
        <v/>
      </c>
      <c r="AY359" s="79" t="str">
        <f aca="false">IF(B359="","",ROUND(SUMIFS(AM$5:AM358,B$5:B358,B359,BJ$5:BJ358,BJ359),2))</f>
        <v/>
      </c>
      <c r="AZ359" s="79" t="str">
        <f aca="false">IF(AM359="","",ROUND(AY359+AM359,2))</f>
        <v/>
      </c>
      <c r="BA359" s="79" t="str">
        <f aca="false">IF(B359="","",ROUND(SUMIFS(AM$5:AM358,B$5:B358,"&gt;="&amp;(B359-WEEKDAY(B359,2)+1),B$5:B358,"&lt;="&amp;B359,BJ$5:BJ358,BJ359),2))</f>
        <v/>
      </c>
      <c r="BB359" s="68" t="str">
        <f aca="false">IF(B359="","",IF(AND(AF359&lt;&gt;"",AV359&lt;&gt;"",N(AF359)&gt;N(AV359)*(1+Settings!$C$13)),"Oversized",IF(AX359&gt;Settings!$C$10,"Overtraded",IF(AY359&lt;=-Settings!$C$11*(AW359-AY359),"Daily loss hit",IF(BA359&lt;=-Settings!$C$12*(AW359-BA359),"Weekly loss hit","OK")))))</f>
        <v/>
      </c>
      <c r="BC359" s="69"/>
      <c r="BD359" s="69"/>
      <c r="BE359" s="69"/>
      <c r="BF359" s="73"/>
      <c r="BG359" s="73"/>
      <c r="BH359" s="71"/>
      <c r="BI359" s="71"/>
      <c r="BJ359" s="68" t="str">
        <f aca="false">IF(B359="","",IF(E359="",Settings!$F$5,E359))</f>
        <v/>
      </c>
      <c r="BK359" s="76" t="str">
        <f aca="false">IF(B359="","",IFERROR(INDEX(Settings!$G$5:$G$10,MATCH(BJ359,Settings!$F$5:$F$10,0)),Settings!$G$5))</f>
        <v/>
      </c>
      <c r="BL359" s="82" t="str">
        <f aca="false">IF(I359="","",IFERROR(1/(1/INDEX(Lists!$C$6:$C$17,MATCH(I359,Lists!$B$6:$B$17,0))),""))</f>
        <v/>
      </c>
      <c r="BM359" s="81" t="str">
        <f aca="false">IF(I359="","",IFERROR(1/(1/INDEX(Lists!$D$6:$D$17,MATCH(I359,Lists!$B$6:$B$17,0))),""))</f>
        <v/>
      </c>
      <c r="BN359" s="76" t="str">
        <f aca="false">IF(AN359="","",MAX(BK359,_xlfn.MAXIFS(AN$6:AN359,BJ$6:BJ359,BJ359)))</f>
        <v/>
      </c>
      <c r="BO359" s="83" t="str">
        <f aca="false">IF(AN359="","",(AN359-BN359)/BN359)</f>
        <v/>
      </c>
      <c r="BP359" s="66" t="n">
        <f aca="false">IF(OR(B359="",AL359=""),0,IF(OR(Settings!$C$28="All Accounts",BJ359=Settings!$C$28),1,0))</f>
        <v>0</v>
      </c>
      <c r="BQ359" s="66" t="str">
        <f aca="false">IF(BP359=1,SUM(BP$6:BP359),"")</f>
        <v/>
      </c>
      <c r="BR359" s="76" t="str">
        <f aca="false">IF(BP359=1,ROUND(Settings!$C$29+SUMIFS(AM$6:AM359,BP$6:BP359,1),2),"")</f>
        <v/>
      </c>
      <c r="BS359" s="76" t="str">
        <f aca="false">IF(BP359=1,MAX(Settings!$C$29,MAX(BR$6:BR359)),"")</f>
        <v/>
      </c>
      <c r="BT359" s="83" t="str">
        <f aca="false">IF(BP359=1,(BR359-BS359)/BS359,"")</f>
        <v/>
      </c>
      <c r="BU359" s="66" t="str">
        <f aca="false">IF(BP359=1,IF(AL359="Win",1+IF(BQ359=1,0,INDEX(BU$5:BU358,MATCH(BQ359-1,BQ$5:BQ358,0))),0),"")</f>
        <v/>
      </c>
      <c r="BV359" s="66" t="str">
        <f aca="false">IF(BP359=1,IF(AL359="Loss",1+IF(BQ359=1,0,INDEX(BV$5:BV358,MATCH(BQ359-1,BQ$5:BQ358,0))),0),"")</f>
        <v/>
      </c>
    </row>
    <row r="360" customFormat="false" ht="15" hidden="false" customHeight="false" outlineLevel="0" collapsed="false">
      <c r="A360" s="66" t="str">
        <f aca="false">IF(B360="","",ROW()-5)</f>
        <v/>
      </c>
      <c r="B360" s="67"/>
      <c r="C360" s="68" t="str">
        <f aca="false">IF(B360="","",CHOOSE(WEEKDAY(B360,2),"Mon","Tue","Wed","Thu","Fri","Sat","Sun"))</f>
        <v/>
      </c>
      <c r="D360" s="66" t="str">
        <f aca="false">IF(B360="","",WEEKNUM(B360,2))</f>
        <v/>
      </c>
      <c r="E360" s="69"/>
      <c r="F360" s="69"/>
      <c r="G360" s="70"/>
      <c r="H360" s="70"/>
      <c r="I360" s="69"/>
      <c r="J360" s="69"/>
      <c r="K360" s="69"/>
      <c r="L360" s="71"/>
      <c r="M360" s="69"/>
      <c r="N360" s="69"/>
      <c r="O360" s="69"/>
      <c r="P360" s="71"/>
      <c r="Q360" s="69"/>
      <c r="R360" s="69"/>
      <c r="S360" s="69"/>
      <c r="T360" s="69"/>
      <c r="U360" s="69"/>
      <c r="V360" s="69"/>
      <c r="W360" s="69"/>
      <c r="X360" s="66" t="str">
        <f aca="false">IF(B360="","",COUNTIF(Q360:W360,"Yes"))</f>
        <v/>
      </c>
      <c r="Y360" s="68" t="str">
        <f aca="false">IF(B360="","",IF(X360&gt;=Settings!$C$16,"A+",IF(X360&gt;=Settings!$C$17,"A",IF(X360&gt;=Settings!$C$18,"B","C"))))</f>
        <v/>
      </c>
      <c r="Z360" s="72"/>
      <c r="AA360" s="72"/>
      <c r="AB360" s="72"/>
      <c r="AC360" s="72"/>
      <c r="AD360" s="72"/>
      <c r="AE360" s="72"/>
      <c r="AF360" s="73"/>
      <c r="AG360" s="74"/>
      <c r="AH360" s="75"/>
      <c r="AI360" s="76" t="str">
        <f aca="false">IF(B360="","",ROUND(IF(AG360="",Settings!$C$5,AG360)*AW360,2))</f>
        <v/>
      </c>
      <c r="AJ360" s="77" t="str">
        <f aca="false">IF(OR(B360="",AB360="",AC360="",AD360=""),"",IFERROR(ROUND(ABS(AD360-AB360)/ABS(AB360-AC360),2),""))</f>
        <v/>
      </c>
      <c r="AK360" s="78" t="str">
        <f aca="false">IF(OR(B360="",AB360="",AC360="",AE360=""),"",IFERROR(ROUND(IF(J360="Short",AB360-AE360,AE360-AB360)/ABS(AB360-AC360),2),""))</f>
        <v/>
      </c>
      <c r="AL360" s="68" t="str">
        <f aca="false">IF(AK360="","",IF(ABS(AK360)&lt;=Settings!$C$6,"BE",IF(AK360&gt;0,"Win","Loss")))</f>
        <v/>
      </c>
      <c r="AM360" s="79" t="str">
        <f aca="false">IF(OR(AK360="",AI360=""),"",ROUND(AK360*AI360-N(AH360),2))</f>
        <v/>
      </c>
      <c r="AN360" s="76" t="str">
        <f aca="false">IF(AM360="","",ROUND(BK360+SUMIFS(AM$6:AM360,BJ$6:BJ360,BJ360),2))</f>
        <v/>
      </c>
      <c r="AO360" s="78" t="str">
        <f aca="false">IF(AK360="","",ROUND(SUMIFS(AK$6:AK360,BJ$6:BJ360,BJ360),2))</f>
        <v/>
      </c>
      <c r="AP360" s="80" t="str">
        <f aca="false">IF(OR(AK360="",BL360=""),"",IFERROR(ROUND(IF(J360="Short",AB360-AE360,AE360-AB360)/BL360,1),""))</f>
        <v/>
      </c>
      <c r="AQ360" s="66" t="str">
        <f aca="false">IF(OR(G360="",H360=""),"",ROUND(MOD(H360-G360,1)*1440,0))</f>
        <v/>
      </c>
      <c r="AR360" s="68" t="str">
        <f aca="false">IF(AQ360="","",IF(AQ360&lt;15,"Under 15m",IF(AQ360&lt;60,"15-60m",IF(AQ360&lt;240,"1-4 hours","4+ hours"))))</f>
        <v/>
      </c>
      <c r="AS360" s="66" t="str">
        <f aca="false">IF(G360="","",HOUR(G360))</f>
        <v/>
      </c>
      <c r="AT360" s="80" t="str">
        <f aca="false">IF(OR(Z360="",AB360="",BL360=""),"",IFERROR(ROUND(IF(J360="Short",Z360-AB360,AB360-Z360)/BL360,1),""))</f>
        <v/>
      </c>
      <c r="AU360" s="68" t="str">
        <f aca="false">IF(OR(AA360="",AC360=""),"",IF(AA360=AC360,"No","Yes"))</f>
        <v/>
      </c>
      <c r="AV360" s="81" t="str">
        <f aca="false">IF(OR(B360="",BL360="",BM360="",AB360="",AC360=""),"",IFERROR(ROUND(AI360/(ABS(AB360-AC360)/BL360*BM360),2),""))</f>
        <v/>
      </c>
      <c r="AW360" s="76" t="str">
        <f aca="false">IF(B360="","",ROUND(BK360+SUMIFS(AM$5:AM359,BJ$5:BJ359,BJ360),2))</f>
        <v/>
      </c>
      <c r="AX360" s="66" t="str">
        <f aca="false">IF(B360="","",COUNTIFS(B$6:B360,B360,BJ$6:BJ360,BJ360))</f>
        <v/>
      </c>
      <c r="AY360" s="79" t="str">
        <f aca="false">IF(B360="","",ROUND(SUMIFS(AM$5:AM359,B$5:B359,B360,BJ$5:BJ359,BJ360),2))</f>
        <v/>
      </c>
      <c r="AZ360" s="79" t="str">
        <f aca="false">IF(AM360="","",ROUND(AY360+AM360,2))</f>
        <v/>
      </c>
      <c r="BA360" s="79" t="str">
        <f aca="false">IF(B360="","",ROUND(SUMIFS(AM$5:AM359,B$5:B359,"&gt;="&amp;(B360-WEEKDAY(B360,2)+1),B$5:B359,"&lt;="&amp;B360,BJ$5:BJ359,BJ360),2))</f>
        <v/>
      </c>
      <c r="BB360" s="68" t="str">
        <f aca="false">IF(B360="","",IF(AND(AF360&lt;&gt;"",AV360&lt;&gt;"",N(AF360)&gt;N(AV360)*(1+Settings!$C$13)),"Oversized",IF(AX360&gt;Settings!$C$10,"Overtraded",IF(AY360&lt;=-Settings!$C$11*(AW360-AY360),"Daily loss hit",IF(BA360&lt;=-Settings!$C$12*(AW360-BA360),"Weekly loss hit","OK")))))</f>
        <v/>
      </c>
      <c r="BC360" s="69"/>
      <c r="BD360" s="69"/>
      <c r="BE360" s="69"/>
      <c r="BF360" s="73"/>
      <c r="BG360" s="73"/>
      <c r="BH360" s="71"/>
      <c r="BI360" s="71"/>
      <c r="BJ360" s="68" t="str">
        <f aca="false">IF(B360="","",IF(E360="",Settings!$F$5,E360))</f>
        <v/>
      </c>
      <c r="BK360" s="76" t="str">
        <f aca="false">IF(B360="","",IFERROR(INDEX(Settings!$G$5:$G$10,MATCH(BJ360,Settings!$F$5:$F$10,0)),Settings!$G$5))</f>
        <v/>
      </c>
      <c r="BL360" s="82" t="str">
        <f aca="false">IF(I360="","",IFERROR(1/(1/INDEX(Lists!$C$6:$C$17,MATCH(I360,Lists!$B$6:$B$17,0))),""))</f>
        <v/>
      </c>
      <c r="BM360" s="81" t="str">
        <f aca="false">IF(I360="","",IFERROR(1/(1/INDEX(Lists!$D$6:$D$17,MATCH(I360,Lists!$B$6:$B$17,0))),""))</f>
        <v/>
      </c>
      <c r="BN360" s="76" t="str">
        <f aca="false">IF(AN360="","",MAX(BK360,_xlfn.MAXIFS(AN$6:AN360,BJ$6:BJ360,BJ360)))</f>
        <v/>
      </c>
      <c r="BO360" s="83" t="str">
        <f aca="false">IF(AN360="","",(AN360-BN360)/BN360)</f>
        <v/>
      </c>
      <c r="BP360" s="66" t="n">
        <f aca="false">IF(OR(B360="",AL360=""),0,IF(OR(Settings!$C$28="All Accounts",BJ360=Settings!$C$28),1,0))</f>
        <v>0</v>
      </c>
      <c r="BQ360" s="66" t="str">
        <f aca="false">IF(BP360=1,SUM(BP$6:BP360),"")</f>
        <v/>
      </c>
      <c r="BR360" s="76" t="str">
        <f aca="false">IF(BP360=1,ROUND(Settings!$C$29+SUMIFS(AM$6:AM360,BP$6:BP360,1),2),"")</f>
        <v/>
      </c>
      <c r="BS360" s="76" t="str">
        <f aca="false">IF(BP360=1,MAX(Settings!$C$29,MAX(BR$6:BR360)),"")</f>
        <v/>
      </c>
      <c r="BT360" s="83" t="str">
        <f aca="false">IF(BP360=1,(BR360-BS360)/BS360,"")</f>
        <v/>
      </c>
      <c r="BU360" s="66" t="str">
        <f aca="false">IF(BP360=1,IF(AL360="Win",1+IF(BQ360=1,0,INDEX(BU$5:BU359,MATCH(BQ360-1,BQ$5:BQ359,0))),0),"")</f>
        <v/>
      </c>
      <c r="BV360" s="66" t="str">
        <f aca="false">IF(BP360=1,IF(AL360="Loss",1+IF(BQ360=1,0,INDEX(BV$5:BV359,MATCH(BQ360-1,BQ$5:BQ359,0))),0),"")</f>
        <v/>
      </c>
    </row>
    <row r="361" customFormat="false" ht="15" hidden="false" customHeight="false" outlineLevel="0" collapsed="false">
      <c r="A361" s="66" t="str">
        <f aca="false">IF(B361="","",ROW()-5)</f>
        <v/>
      </c>
      <c r="B361" s="67"/>
      <c r="C361" s="68" t="str">
        <f aca="false">IF(B361="","",CHOOSE(WEEKDAY(B361,2),"Mon","Tue","Wed","Thu","Fri","Sat","Sun"))</f>
        <v/>
      </c>
      <c r="D361" s="66" t="str">
        <f aca="false">IF(B361="","",WEEKNUM(B361,2))</f>
        <v/>
      </c>
      <c r="E361" s="69"/>
      <c r="F361" s="69"/>
      <c r="G361" s="70"/>
      <c r="H361" s="70"/>
      <c r="I361" s="69"/>
      <c r="J361" s="69"/>
      <c r="K361" s="69"/>
      <c r="L361" s="71"/>
      <c r="M361" s="69"/>
      <c r="N361" s="69"/>
      <c r="O361" s="69"/>
      <c r="P361" s="71"/>
      <c r="Q361" s="69"/>
      <c r="R361" s="69"/>
      <c r="S361" s="69"/>
      <c r="T361" s="69"/>
      <c r="U361" s="69"/>
      <c r="V361" s="69"/>
      <c r="W361" s="69"/>
      <c r="X361" s="66" t="str">
        <f aca="false">IF(B361="","",COUNTIF(Q361:W361,"Yes"))</f>
        <v/>
      </c>
      <c r="Y361" s="68" t="str">
        <f aca="false">IF(B361="","",IF(X361&gt;=Settings!$C$16,"A+",IF(X361&gt;=Settings!$C$17,"A",IF(X361&gt;=Settings!$C$18,"B","C"))))</f>
        <v/>
      </c>
      <c r="Z361" s="72"/>
      <c r="AA361" s="72"/>
      <c r="AB361" s="72"/>
      <c r="AC361" s="72"/>
      <c r="AD361" s="72"/>
      <c r="AE361" s="72"/>
      <c r="AF361" s="73"/>
      <c r="AG361" s="74"/>
      <c r="AH361" s="75"/>
      <c r="AI361" s="76" t="str">
        <f aca="false">IF(B361="","",ROUND(IF(AG361="",Settings!$C$5,AG361)*AW361,2))</f>
        <v/>
      </c>
      <c r="AJ361" s="77" t="str">
        <f aca="false">IF(OR(B361="",AB361="",AC361="",AD361=""),"",IFERROR(ROUND(ABS(AD361-AB361)/ABS(AB361-AC361),2),""))</f>
        <v/>
      </c>
      <c r="AK361" s="78" t="str">
        <f aca="false">IF(OR(B361="",AB361="",AC361="",AE361=""),"",IFERROR(ROUND(IF(J361="Short",AB361-AE361,AE361-AB361)/ABS(AB361-AC361),2),""))</f>
        <v/>
      </c>
      <c r="AL361" s="68" t="str">
        <f aca="false">IF(AK361="","",IF(ABS(AK361)&lt;=Settings!$C$6,"BE",IF(AK361&gt;0,"Win","Loss")))</f>
        <v/>
      </c>
      <c r="AM361" s="79" t="str">
        <f aca="false">IF(OR(AK361="",AI361=""),"",ROUND(AK361*AI361-N(AH361),2))</f>
        <v/>
      </c>
      <c r="AN361" s="76" t="str">
        <f aca="false">IF(AM361="","",ROUND(BK361+SUMIFS(AM$6:AM361,BJ$6:BJ361,BJ361),2))</f>
        <v/>
      </c>
      <c r="AO361" s="78" t="str">
        <f aca="false">IF(AK361="","",ROUND(SUMIFS(AK$6:AK361,BJ$6:BJ361,BJ361),2))</f>
        <v/>
      </c>
      <c r="AP361" s="80" t="str">
        <f aca="false">IF(OR(AK361="",BL361=""),"",IFERROR(ROUND(IF(J361="Short",AB361-AE361,AE361-AB361)/BL361,1),""))</f>
        <v/>
      </c>
      <c r="AQ361" s="66" t="str">
        <f aca="false">IF(OR(G361="",H361=""),"",ROUND(MOD(H361-G361,1)*1440,0))</f>
        <v/>
      </c>
      <c r="AR361" s="68" t="str">
        <f aca="false">IF(AQ361="","",IF(AQ361&lt;15,"Under 15m",IF(AQ361&lt;60,"15-60m",IF(AQ361&lt;240,"1-4 hours","4+ hours"))))</f>
        <v/>
      </c>
      <c r="AS361" s="66" t="str">
        <f aca="false">IF(G361="","",HOUR(G361))</f>
        <v/>
      </c>
      <c r="AT361" s="80" t="str">
        <f aca="false">IF(OR(Z361="",AB361="",BL361=""),"",IFERROR(ROUND(IF(J361="Short",Z361-AB361,AB361-Z361)/BL361,1),""))</f>
        <v/>
      </c>
      <c r="AU361" s="68" t="str">
        <f aca="false">IF(OR(AA361="",AC361=""),"",IF(AA361=AC361,"No","Yes"))</f>
        <v/>
      </c>
      <c r="AV361" s="81" t="str">
        <f aca="false">IF(OR(B361="",BL361="",BM361="",AB361="",AC361=""),"",IFERROR(ROUND(AI361/(ABS(AB361-AC361)/BL361*BM361),2),""))</f>
        <v/>
      </c>
      <c r="AW361" s="76" t="str">
        <f aca="false">IF(B361="","",ROUND(BK361+SUMIFS(AM$5:AM360,BJ$5:BJ360,BJ361),2))</f>
        <v/>
      </c>
      <c r="AX361" s="66" t="str">
        <f aca="false">IF(B361="","",COUNTIFS(B$6:B361,B361,BJ$6:BJ361,BJ361))</f>
        <v/>
      </c>
      <c r="AY361" s="79" t="str">
        <f aca="false">IF(B361="","",ROUND(SUMIFS(AM$5:AM360,B$5:B360,B361,BJ$5:BJ360,BJ361),2))</f>
        <v/>
      </c>
      <c r="AZ361" s="79" t="str">
        <f aca="false">IF(AM361="","",ROUND(AY361+AM361,2))</f>
        <v/>
      </c>
      <c r="BA361" s="79" t="str">
        <f aca="false">IF(B361="","",ROUND(SUMIFS(AM$5:AM360,B$5:B360,"&gt;="&amp;(B361-WEEKDAY(B361,2)+1),B$5:B360,"&lt;="&amp;B361,BJ$5:BJ360,BJ361),2))</f>
        <v/>
      </c>
      <c r="BB361" s="68" t="str">
        <f aca="false">IF(B361="","",IF(AND(AF361&lt;&gt;"",AV361&lt;&gt;"",N(AF361)&gt;N(AV361)*(1+Settings!$C$13)),"Oversized",IF(AX361&gt;Settings!$C$10,"Overtraded",IF(AY361&lt;=-Settings!$C$11*(AW361-AY361),"Daily loss hit",IF(BA361&lt;=-Settings!$C$12*(AW361-BA361),"Weekly loss hit","OK")))))</f>
        <v/>
      </c>
      <c r="BC361" s="69"/>
      <c r="BD361" s="69"/>
      <c r="BE361" s="69"/>
      <c r="BF361" s="73"/>
      <c r="BG361" s="73"/>
      <c r="BH361" s="71"/>
      <c r="BI361" s="71"/>
      <c r="BJ361" s="68" t="str">
        <f aca="false">IF(B361="","",IF(E361="",Settings!$F$5,E361))</f>
        <v/>
      </c>
      <c r="BK361" s="76" t="str">
        <f aca="false">IF(B361="","",IFERROR(INDEX(Settings!$G$5:$G$10,MATCH(BJ361,Settings!$F$5:$F$10,0)),Settings!$G$5))</f>
        <v/>
      </c>
      <c r="BL361" s="82" t="str">
        <f aca="false">IF(I361="","",IFERROR(1/(1/INDEX(Lists!$C$6:$C$17,MATCH(I361,Lists!$B$6:$B$17,0))),""))</f>
        <v/>
      </c>
      <c r="BM361" s="81" t="str">
        <f aca="false">IF(I361="","",IFERROR(1/(1/INDEX(Lists!$D$6:$D$17,MATCH(I361,Lists!$B$6:$B$17,0))),""))</f>
        <v/>
      </c>
      <c r="BN361" s="76" t="str">
        <f aca="false">IF(AN361="","",MAX(BK361,_xlfn.MAXIFS(AN$6:AN361,BJ$6:BJ361,BJ361)))</f>
        <v/>
      </c>
      <c r="BO361" s="83" t="str">
        <f aca="false">IF(AN361="","",(AN361-BN361)/BN361)</f>
        <v/>
      </c>
      <c r="BP361" s="66" t="n">
        <f aca="false">IF(OR(B361="",AL361=""),0,IF(OR(Settings!$C$28="All Accounts",BJ361=Settings!$C$28),1,0))</f>
        <v>0</v>
      </c>
      <c r="BQ361" s="66" t="str">
        <f aca="false">IF(BP361=1,SUM(BP$6:BP361),"")</f>
        <v/>
      </c>
      <c r="BR361" s="76" t="str">
        <f aca="false">IF(BP361=1,ROUND(Settings!$C$29+SUMIFS(AM$6:AM361,BP$6:BP361,1),2),"")</f>
        <v/>
      </c>
      <c r="BS361" s="76" t="str">
        <f aca="false">IF(BP361=1,MAX(Settings!$C$29,MAX(BR$6:BR361)),"")</f>
        <v/>
      </c>
      <c r="BT361" s="83" t="str">
        <f aca="false">IF(BP361=1,(BR361-BS361)/BS361,"")</f>
        <v/>
      </c>
      <c r="BU361" s="66" t="str">
        <f aca="false">IF(BP361=1,IF(AL361="Win",1+IF(BQ361=1,0,INDEX(BU$5:BU360,MATCH(BQ361-1,BQ$5:BQ360,0))),0),"")</f>
        <v/>
      </c>
      <c r="BV361" s="66" t="str">
        <f aca="false">IF(BP361=1,IF(AL361="Loss",1+IF(BQ361=1,0,INDEX(BV$5:BV360,MATCH(BQ361-1,BQ$5:BQ360,0))),0),"")</f>
        <v/>
      </c>
    </row>
    <row r="362" customFormat="false" ht="15" hidden="false" customHeight="false" outlineLevel="0" collapsed="false">
      <c r="A362" s="66" t="str">
        <f aca="false">IF(B362="","",ROW()-5)</f>
        <v/>
      </c>
      <c r="B362" s="67"/>
      <c r="C362" s="68" t="str">
        <f aca="false">IF(B362="","",CHOOSE(WEEKDAY(B362,2),"Mon","Tue","Wed","Thu","Fri","Sat","Sun"))</f>
        <v/>
      </c>
      <c r="D362" s="66" t="str">
        <f aca="false">IF(B362="","",WEEKNUM(B362,2))</f>
        <v/>
      </c>
      <c r="E362" s="69"/>
      <c r="F362" s="69"/>
      <c r="G362" s="70"/>
      <c r="H362" s="70"/>
      <c r="I362" s="69"/>
      <c r="J362" s="69"/>
      <c r="K362" s="69"/>
      <c r="L362" s="71"/>
      <c r="M362" s="69"/>
      <c r="N362" s="69"/>
      <c r="O362" s="69"/>
      <c r="P362" s="71"/>
      <c r="Q362" s="69"/>
      <c r="R362" s="69"/>
      <c r="S362" s="69"/>
      <c r="T362" s="69"/>
      <c r="U362" s="69"/>
      <c r="V362" s="69"/>
      <c r="W362" s="69"/>
      <c r="X362" s="66" t="str">
        <f aca="false">IF(B362="","",COUNTIF(Q362:W362,"Yes"))</f>
        <v/>
      </c>
      <c r="Y362" s="68" t="str">
        <f aca="false">IF(B362="","",IF(X362&gt;=Settings!$C$16,"A+",IF(X362&gt;=Settings!$C$17,"A",IF(X362&gt;=Settings!$C$18,"B","C"))))</f>
        <v/>
      </c>
      <c r="Z362" s="72"/>
      <c r="AA362" s="72"/>
      <c r="AB362" s="72"/>
      <c r="AC362" s="72"/>
      <c r="AD362" s="72"/>
      <c r="AE362" s="72"/>
      <c r="AF362" s="73"/>
      <c r="AG362" s="74"/>
      <c r="AH362" s="75"/>
      <c r="AI362" s="76" t="str">
        <f aca="false">IF(B362="","",ROUND(IF(AG362="",Settings!$C$5,AG362)*AW362,2))</f>
        <v/>
      </c>
      <c r="AJ362" s="77" t="str">
        <f aca="false">IF(OR(B362="",AB362="",AC362="",AD362=""),"",IFERROR(ROUND(ABS(AD362-AB362)/ABS(AB362-AC362),2),""))</f>
        <v/>
      </c>
      <c r="AK362" s="78" t="str">
        <f aca="false">IF(OR(B362="",AB362="",AC362="",AE362=""),"",IFERROR(ROUND(IF(J362="Short",AB362-AE362,AE362-AB362)/ABS(AB362-AC362),2),""))</f>
        <v/>
      </c>
      <c r="AL362" s="68" t="str">
        <f aca="false">IF(AK362="","",IF(ABS(AK362)&lt;=Settings!$C$6,"BE",IF(AK362&gt;0,"Win","Loss")))</f>
        <v/>
      </c>
      <c r="AM362" s="79" t="str">
        <f aca="false">IF(OR(AK362="",AI362=""),"",ROUND(AK362*AI362-N(AH362),2))</f>
        <v/>
      </c>
      <c r="AN362" s="76" t="str">
        <f aca="false">IF(AM362="","",ROUND(BK362+SUMIFS(AM$6:AM362,BJ$6:BJ362,BJ362),2))</f>
        <v/>
      </c>
      <c r="AO362" s="78" t="str">
        <f aca="false">IF(AK362="","",ROUND(SUMIFS(AK$6:AK362,BJ$6:BJ362,BJ362),2))</f>
        <v/>
      </c>
      <c r="AP362" s="80" t="str">
        <f aca="false">IF(OR(AK362="",BL362=""),"",IFERROR(ROUND(IF(J362="Short",AB362-AE362,AE362-AB362)/BL362,1),""))</f>
        <v/>
      </c>
      <c r="AQ362" s="66" t="str">
        <f aca="false">IF(OR(G362="",H362=""),"",ROUND(MOD(H362-G362,1)*1440,0))</f>
        <v/>
      </c>
      <c r="AR362" s="68" t="str">
        <f aca="false">IF(AQ362="","",IF(AQ362&lt;15,"Under 15m",IF(AQ362&lt;60,"15-60m",IF(AQ362&lt;240,"1-4 hours","4+ hours"))))</f>
        <v/>
      </c>
      <c r="AS362" s="66" t="str">
        <f aca="false">IF(G362="","",HOUR(G362))</f>
        <v/>
      </c>
      <c r="AT362" s="80" t="str">
        <f aca="false">IF(OR(Z362="",AB362="",BL362=""),"",IFERROR(ROUND(IF(J362="Short",Z362-AB362,AB362-Z362)/BL362,1),""))</f>
        <v/>
      </c>
      <c r="AU362" s="68" t="str">
        <f aca="false">IF(OR(AA362="",AC362=""),"",IF(AA362=AC362,"No","Yes"))</f>
        <v/>
      </c>
      <c r="AV362" s="81" t="str">
        <f aca="false">IF(OR(B362="",BL362="",BM362="",AB362="",AC362=""),"",IFERROR(ROUND(AI362/(ABS(AB362-AC362)/BL362*BM362),2),""))</f>
        <v/>
      </c>
      <c r="AW362" s="76" t="str">
        <f aca="false">IF(B362="","",ROUND(BK362+SUMIFS(AM$5:AM361,BJ$5:BJ361,BJ362),2))</f>
        <v/>
      </c>
      <c r="AX362" s="66" t="str">
        <f aca="false">IF(B362="","",COUNTIFS(B$6:B362,B362,BJ$6:BJ362,BJ362))</f>
        <v/>
      </c>
      <c r="AY362" s="79" t="str">
        <f aca="false">IF(B362="","",ROUND(SUMIFS(AM$5:AM361,B$5:B361,B362,BJ$5:BJ361,BJ362),2))</f>
        <v/>
      </c>
      <c r="AZ362" s="79" t="str">
        <f aca="false">IF(AM362="","",ROUND(AY362+AM362,2))</f>
        <v/>
      </c>
      <c r="BA362" s="79" t="str">
        <f aca="false">IF(B362="","",ROUND(SUMIFS(AM$5:AM361,B$5:B361,"&gt;="&amp;(B362-WEEKDAY(B362,2)+1),B$5:B361,"&lt;="&amp;B362,BJ$5:BJ361,BJ362),2))</f>
        <v/>
      </c>
      <c r="BB362" s="68" t="str">
        <f aca="false">IF(B362="","",IF(AND(AF362&lt;&gt;"",AV362&lt;&gt;"",N(AF362)&gt;N(AV362)*(1+Settings!$C$13)),"Oversized",IF(AX362&gt;Settings!$C$10,"Overtraded",IF(AY362&lt;=-Settings!$C$11*(AW362-AY362),"Daily loss hit",IF(BA362&lt;=-Settings!$C$12*(AW362-BA362),"Weekly loss hit","OK")))))</f>
        <v/>
      </c>
      <c r="BC362" s="69"/>
      <c r="BD362" s="69"/>
      <c r="BE362" s="69"/>
      <c r="BF362" s="73"/>
      <c r="BG362" s="73"/>
      <c r="BH362" s="71"/>
      <c r="BI362" s="71"/>
      <c r="BJ362" s="68" t="str">
        <f aca="false">IF(B362="","",IF(E362="",Settings!$F$5,E362))</f>
        <v/>
      </c>
      <c r="BK362" s="76" t="str">
        <f aca="false">IF(B362="","",IFERROR(INDEX(Settings!$G$5:$G$10,MATCH(BJ362,Settings!$F$5:$F$10,0)),Settings!$G$5))</f>
        <v/>
      </c>
      <c r="BL362" s="82" t="str">
        <f aca="false">IF(I362="","",IFERROR(1/(1/INDEX(Lists!$C$6:$C$17,MATCH(I362,Lists!$B$6:$B$17,0))),""))</f>
        <v/>
      </c>
      <c r="BM362" s="81" t="str">
        <f aca="false">IF(I362="","",IFERROR(1/(1/INDEX(Lists!$D$6:$D$17,MATCH(I362,Lists!$B$6:$B$17,0))),""))</f>
        <v/>
      </c>
      <c r="BN362" s="76" t="str">
        <f aca="false">IF(AN362="","",MAX(BK362,_xlfn.MAXIFS(AN$6:AN362,BJ$6:BJ362,BJ362)))</f>
        <v/>
      </c>
      <c r="BO362" s="83" t="str">
        <f aca="false">IF(AN362="","",(AN362-BN362)/BN362)</f>
        <v/>
      </c>
      <c r="BP362" s="66" t="n">
        <f aca="false">IF(OR(B362="",AL362=""),0,IF(OR(Settings!$C$28="All Accounts",BJ362=Settings!$C$28),1,0))</f>
        <v>0</v>
      </c>
      <c r="BQ362" s="66" t="str">
        <f aca="false">IF(BP362=1,SUM(BP$6:BP362),"")</f>
        <v/>
      </c>
      <c r="BR362" s="76" t="str">
        <f aca="false">IF(BP362=1,ROUND(Settings!$C$29+SUMIFS(AM$6:AM362,BP$6:BP362,1),2),"")</f>
        <v/>
      </c>
      <c r="BS362" s="76" t="str">
        <f aca="false">IF(BP362=1,MAX(Settings!$C$29,MAX(BR$6:BR362)),"")</f>
        <v/>
      </c>
      <c r="BT362" s="83" t="str">
        <f aca="false">IF(BP362=1,(BR362-BS362)/BS362,"")</f>
        <v/>
      </c>
      <c r="BU362" s="66" t="str">
        <f aca="false">IF(BP362=1,IF(AL362="Win",1+IF(BQ362=1,0,INDEX(BU$5:BU361,MATCH(BQ362-1,BQ$5:BQ361,0))),0),"")</f>
        <v/>
      </c>
      <c r="BV362" s="66" t="str">
        <f aca="false">IF(BP362=1,IF(AL362="Loss",1+IF(BQ362=1,0,INDEX(BV$5:BV361,MATCH(BQ362-1,BQ$5:BQ361,0))),0),"")</f>
        <v/>
      </c>
    </row>
    <row r="363" customFormat="false" ht="15" hidden="false" customHeight="false" outlineLevel="0" collapsed="false">
      <c r="A363" s="66" t="str">
        <f aca="false">IF(B363="","",ROW()-5)</f>
        <v/>
      </c>
      <c r="B363" s="67"/>
      <c r="C363" s="68" t="str">
        <f aca="false">IF(B363="","",CHOOSE(WEEKDAY(B363,2),"Mon","Tue","Wed","Thu","Fri","Sat","Sun"))</f>
        <v/>
      </c>
      <c r="D363" s="66" t="str">
        <f aca="false">IF(B363="","",WEEKNUM(B363,2))</f>
        <v/>
      </c>
      <c r="E363" s="69"/>
      <c r="F363" s="69"/>
      <c r="G363" s="70"/>
      <c r="H363" s="70"/>
      <c r="I363" s="69"/>
      <c r="J363" s="69"/>
      <c r="K363" s="69"/>
      <c r="L363" s="71"/>
      <c r="M363" s="69"/>
      <c r="N363" s="69"/>
      <c r="O363" s="69"/>
      <c r="P363" s="71"/>
      <c r="Q363" s="69"/>
      <c r="R363" s="69"/>
      <c r="S363" s="69"/>
      <c r="T363" s="69"/>
      <c r="U363" s="69"/>
      <c r="V363" s="69"/>
      <c r="W363" s="69"/>
      <c r="X363" s="66" t="str">
        <f aca="false">IF(B363="","",COUNTIF(Q363:W363,"Yes"))</f>
        <v/>
      </c>
      <c r="Y363" s="68" t="str">
        <f aca="false">IF(B363="","",IF(X363&gt;=Settings!$C$16,"A+",IF(X363&gt;=Settings!$C$17,"A",IF(X363&gt;=Settings!$C$18,"B","C"))))</f>
        <v/>
      </c>
      <c r="Z363" s="72"/>
      <c r="AA363" s="72"/>
      <c r="AB363" s="72"/>
      <c r="AC363" s="72"/>
      <c r="AD363" s="72"/>
      <c r="AE363" s="72"/>
      <c r="AF363" s="73"/>
      <c r="AG363" s="74"/>
      <c r="AH363" s="75"/>
      <c r="AI363" s="76" t="str">
        <f aca="false">IF(B363="","",ROUND(IF(AG363="",Settings!$C$5,AG363)*AW363,2))</f>
        <v/>
      </c>
      <c r="AJ363" s="77" t="str">
        <f aca="false">IF(OR(B363="",AB363="",AC363="",AD363=""),"",IFERROR(ROUND(ABS(AD363-AB363)/ABS(AB363-AC363),2),""))</f>
        <v/>
      </c>
      <c r="AK363" s="78" t="str">
        <f aca="false">IF(OR(B363="",AB363="",AC363="",AE363=""),"",IFERROR(ROUND(IF(J363="Short",AB363-AE363,AE363-AB363)/ABS(AB363-AC363),2),""))</f>
        <v/>
      </c>
      <c r="AL363" s="68" t="str">
        <f aca="false">IF(AK363="","",IF(ABS(AK363)&lt;=Settings!$C$6,"BE",IF(AK363&gt;0,"Win","Loss")))</f>
        <v/>
      </c>
      <c r="AM363" s="79" t="str">
        <f aca="false">IF(OR(AK363="",AI363=""),"",ROUND(AK363*AI363-N(AH363),2))</f>
        <v/>
      </c>
      <c r="AN363" s="76" t="str">
        <f aca="false">IF(AM363="","",ROUND(BK363+SUMIFS(AM$6:AM363,BJ$6:BJ363,BJ363),2))</f>
        <v/>
      </c>
      <c r="AO363" s="78" t="str">
        <f aca="false">IF(AK363="","",ROUND(SUMIFS(AK$6:AK363,BJ$6:BJ363,BJ363),2))</f>
        <v/>
      </c>
      <c r="AP363" s="80" t="str">
        <f aca="false">IF(OR(AK363="",BL363=""),"",IFERROR(ROUND(IF(J363="Short",AB363-AE363,AE363-AB363)/BL363,1),""))</f>
        <v/>
      </c>
      <c r="AQ363" s="66" t="str">
        <f aca="false">IF(OR(G363="",H363=""),"",ROUND(MOD(H363-G363,1)*1440,0))</f>
        <v/>
      </c>
      <c r="AR363" s="68" t="str">
        <f aca="false">IF(AQ363="","",IF(AQ363&lt;15,"Under 15m",IF(AQ363&lt;60,"15-60m",IF(AQ363&lt;240,"1-4 hours","4+ hours"))))</f>
        <v/>
      </c>
      <c r="AS363" s="66" t="str">
        <f aca="false">IF(G363="","",HOUR(G363))</f>
        <v/>
      </c>
      <c r="AT363" s="80" t="str">
        <f aca="false">IF(OR(Z363="",AB363="",BL363=""),"",IFERROR(ROUND(IF(J363="Short",Z363-AB363,AB363-Z363)/BL363,1),""))</f>
        <v/>
      </c>
      <c r="AU363" s="68" t="str">
        <f aca="false">IF(OR(AA363="",AC363=""),"",IF(AA363=AC363,"No","Yes"))</f>
        <v/>
      </c>
      <c r="AV363" s="81" t="str">
        <f aca="false">IF(OR(B363="",BL363="",BM363="",AB363="",AC363=""),"",IFERROR(ROUND(AI363/(ABS(AB363-AC363)/BL363*BM363),2),""))</f>
        <v/>
      </c>
      <c r="AW363" s="76" t="str">
        <f aca="false">IF(B363="","",ROUND(BK363+SUMIFS(AM$5:AM362,BJ$5:BJ362,BJ363),2))</f>
        <v/>
      </c>
      <c r="AX363" s="66" t="str">
        <f aca="false">IF(B363="","",COUNTIFS(B$6:B363,B363,BJ$6:BJ363,BJ363))</f>
        <v/>
      </c>
      <c r="AY363" s="79" t="str">
        <f aca="false">IF(B363="","",ROUND(SUMIFS(AM$5:AM362,B$5:B362,B363,BJ$5:BJ362,BJ363),2))</f>
        <v/>
      </c>
      <c r="AZ363" s="79" t="str">
        <f aca="false">IF(AM363="","",ROUND(AY363+AM363,2))</f>
        <v/>
      </c>
      <c r="BA363" s="79" t="str">
        <f aca="false">IF(B363="","",ROUND(SUMIFS(AM$5:AM362,B$5:B362,"&gt;="&amp;(B363-WEEKDAY(B363,2)+1),B$5:B362,"&lt;="&amp;B363,BJ$5:BJ362,BJ363),2))</f>
        <v/>
      </c>
      <c r="BB363" s="68" t="str">
        <f aca="false">IF(B363="","",IF(AND(AF363&lt;&gt;"",AV363&lt;&gt;"",N(AF363)&gt;N(AV363)*(1+Settings!$C$13)),"Oversized",IF(AX363&gt;Settings!$C$10,"Overtraded",IF(AY363&lt;=-Settings!$C$11*(AW363-AY363),"Daily loss hit",IF(BA363&lt;=-Settings!$C$12*(AW363-BA363),"Weekly loss hit","OK")))))</f>
        <v/>
      </c>
      <c r="BC363" s="69"/>
      <c r="BD363" s="69"/>
      <c r="BE363" s="69"/>
      <c r="BF363" s="73"/>
      <c r="BG363" s="73"/>
      <c r="BH363" s="71"/>
      <c r="BI363" s="71"/>
      <c r="BJ363" s="68" t="str">
        <f aca="false">IF(B363="","",IF(E363="",Settings!$F$5,E363))</f>
        <v/>
      </c>
      <c r="BK363" s="76" t="str">
        <f aca="false">IF(B363="","",IFERROR(INDEX(Settings!$G$5:$G$10,MATCH(BJ363,Settings!$F$5:$F$10,0)),Settings!$G$5))</f>
        <v/>
      </c>
      <c r="BL363" s="82" t="str">
        <f aca="false">IF(I363="","",IFERROR(1/(1/INDEX(Lists!$C$6:$C$17,MATCH(I363,Lists!$B$6:$B$17,0))),""))</f>
        <v/>
      </c>
      <c r="BM363" s="81" t="str">
        <f aca="false">IF(I363="","",IFERROR(1/(1/INDEX(Lists!$D$6:$D$17,MATCH(I363,Lists!$B$6:$B$17,0))),""))</f>
        <v/>
      </c>
      <c r="BN363" s="76" t="str">
        <f aca="false">IF(AN363="","",MAX(BK363,_xlfn.MAXIFS(AN$6:AN363,BJ$6:BJ363,BJ363)))</f>
        <v/>
      </c>
      <c r="BO363" s="83" t="str">
        <f aca="false">IF(AN363="","",(AN363-BN363)/BN363)</f>
        <v/>
      </c>
      <c r="BP363" s="66" t="n">
        <f aca="false">IF(OR(B363="",AL363=""),0,IF(OR(Settings!$C$28="All Accounts",BJ363=Settings!$C$28),1,0))</f>
        <v>0</v>
      </c>
      <c r="BQ363" s="66" t="str">
        <f aca="false">IF(BP363=1,SUM(BP$6:BP363),"")</f>
        <v/>
      </c>
      <c r="BR363" s="76" t="str">
        <f aca="false">IF(BP363=1,ROUND(Settings!$C$29+SUMIFS(AM$6:AM363,BP$6:BP363,1),2),"")</f>
        <v/>
      </c>
      <c r="BS363" s="76" t="str">
        <f aca="false">IF(BP363=1,MAX(Settings!$C$29,MAX(BR$6:BR363)),"")</f>
        <v/>
      </c>
      <c r="BT363" s="83" t="str">
        <f aca="false">IF(BP363=1,(BR363-BS363)/BS363,"")</f>
        <v/>
      </c>
      <c r="BU363" s="66" t="str">
        <f aca="false">IF(BP363=1,IF(AL363="Win",1+IF(BQ363=1,0,INDEX(BU$5:BU362,MATCH(BQ363-1,BQ$5:BQ362,0))),0),"")</f>
        <v/>
      </c>
      <c r="BV363" s="66" t="str">
        <f aca="false">IF(BP363=1,IF(AL363="Loss",1+IF(BQ363=1,0,INDEX(BV$5:BV362,MATCH(BQ363-1,BQ$5:BQ362,0))),0),"")</f>
        <v/>
      </c>
    </row>
    <row r="364" customFormat="false" ht="15" hidden="false" customHeight="false" outlineLevel="0" collapsed="false">
      <c r="A364" s="66" t="str">
        <f aca="false">IF(B364="","",ROW()-5)</f>
        <v/>
      </c>
      <c r="B364" s="67"/>
      <c r="C364" s="68" t="str">
        <f aca="false">IF(B364="","",CHOOSE(WEEKDAY(B364,2),"Mon","Tue","Wed","Thu","Fri","Sat","Sun"))</f>
        <v/>
      </c>
      <c r="D364" s="66" t="str">
        <f aca="false">IF(B364="","",WEEKNUM(B364,2))</f>
        <v/>
      </c>
      <c r="E364" s="69"/>
      <c r="F364" s="69"/>
      <c r="G364" s="70"/>
      <c r="H364" s="70"/>
      <c r="I364" s="69"/>
      <c r="J364" s="69"/>
      <c r="K364" s="69"/>
      <c r="L364" s="71"/>
      <c r="M364" s="69"/>
      <c r="N364" s="69"/>
      <c r="O364" s="69"/>
      <c r="P364" s="71"/>
      <c r="Q364" s="69"/>
      <c r="R364" s="69"/>
      <c r="S364" s="69"/>
      <c r="T364" s="69"/>
      <c r="U364" s="69"/>
      <c r="V364" s="69"/>
      <c r="W364" s="69"/>
      <c r="X364" s="66" t="str">
        <f aca="false">IF(B364="","",COUNTIF(Q364:W364,"Yes"))</f>
        <v/>
      </c>
      <c r="Y364" s="68" t="str">
        <f aca="false">IF(B364="","",IF(X364&gt;=Settings!$C$16,"A+",IF(X364&gt;=Settings!$C$17,"A",IF(X364&gt;=Settings!$C$18,"B","C"))))</f>
        <v/>
      </c>
      <c r="Z364" s="72"/>
      <c r="AA364" s="72"/>
      <c r="AB364" s="72"/>
      <c r="AC364" s="72"/>
      <c r="AD364" s="72"/>
      <c r="AE364" s="72"/>
      <c r="AF364" s="73"/>
      <c r="AG364" s="74"/>
      <c r="AH364" s="75"/>
      <c r="AI364" s="76" t="str">
        <f aca="false">IF(B364="","",ROUND(IF(AG364="",Settings!$C$5,AG364)*AW364,2))</f>
        <v/>
      </c>
      <c r="AJ364" s="77" t="str">
        <f aca="false">IF(OR(B364="",AB364="",AC364="",AD364=""),"",IFERROR(ROUND(ABS(AD364-AB364)/ABS(AB364-AC364),2),""))</f>
        <v/>
      </c>
      <c r="AK364" s="78" t="str">
        <f aca="false">IF(OR(B364="",AB364="",AC364="",AE364=""),"",IFERROR(ROUND(IF(J364="Short",AB364-AE364,AE364-AB364)/ABS(AB364-AC364),2),""))</f>
        <v/>
      </c>
      <c r="AL364" s="68" t="str">
        <f aca="false">IF(AK364="","",IF(ABS(AK364)&lt;=Settings!$C$6,"BE",IF(AK364&gt;0,"Win","Loss")))</f>
        <v/>
      </c>
      <c r="AM364" s="79" t="str">
        <f aca="false">IF(OR(AK364="",AI364=""),"",ROUND(AK364*AI364-N(AH364),2))</f>
        <v/>
      </c>
      <c r="AN364" s="76" t="str">
        <f aca="false">IF(AM364="","",ROUND(BK364+SUMIFS(AM$6:AM364,BJ$6:BJ364,BJ364),2))</f>
        <v/>
      </c>
      <c r="AO364" s="78" t="str">
        <f aca="false">IF(AK364="","",ROUND(SUMIFS(AK$6:AK364,BJ$6:BJ364,BJ364),2))</f>
        <v/>
      </c>
      <c r="AP364" s="80" t="str">
        <f aca="false">IF(OR(AK364="",BL364=""),"",IFERROR(ROUND(IF(J364="Short",AB364-AE364,AE364-AB364)/BL364,1),""))</f>
        <v/>
      </c>
      <c r="AQ364" s="66" t="str">
        <f aca="false">IF(OR(G364="",H364=""),"",ROUND(MOD(H364-G364,1)*1440,0))</f>
        <v/>
      </c>
      <c r="AR364" s="68" t="str">
        <f aca="false">IF(AQ364="","",IF(AQ364&lt;15,"Under 15m",IF(AQ364&lt;60,"15-60m",IF(AQ364&lt;240,"1-4 hours","4+ hours"))))</f>
        <v/>
      </c>
      <c r="AS364" s="66" t="str">
        <f aca="false">IF(G364="","",HOUR(G364))</f>
        <v/>
      </c>
      <c r="AT364" s="80" t="str">
        <f aca="false">IF(OR(Z364="",AB364="",BL364=""),"",IFERROR(ROUND(IF(J364="Short",Z364-AB364,AB364-Z364)/BL364,1),""))</f>
        <v/>
      </c>
      <c r="AU364" s="68" t="str">
        <f aca="false">IF(OR(AA364="",AC364=""),"",IF(AA364=AC364,"No","Yes"))</f>
        <v/>
      </c>
      <c r="AV364" s="81" t="str">
        <f aca="false">IF(OR(B364="",BL364="",BM364="",AB364="",AC364=""),"",IFERROR(ROUND(AI364/(ABS(AB364-AC364)/BL364*BM364),2),""))</f>
        <v/>
      </c>
      <c r="AW364" s="76" t="str">
        <f aca="false">IF(B364="","",ROUND(BK364+SUMIFS(AM$5:AM363,BJ$5:BJ363,BJ364),2))</f>
        <v/>
      </c>
      <c r="AX364" s="66" t="str">
        <f aca="false">IF(B364="","",COUNTIFS(B$6:B364,B364,BJ$6:BJ364,BJ364))</f>
        <v/>
      </c>
      <c r="AY364" s="79" t="str">
        <f aca="false">IF(B364="","",ROUND(SUMIFS(AM$5:AM363,B$5:B363,B364,BJ$5:BJ363,BJ364),2))</f>
        <v/>
      </c>
      <c r="AZ364" s="79" t="str">
        <f aca="false">IF(AM364="","",ROUND(AY364+AM364,2))</f>
        <v/>
      </c>
      <c r="BA364" s="79" t="str">
        <f aca="false">IF(B364="","",ROUND(SUMIFS(AM$5:AM363,B$5:B363,"&gt;="&amp;(B364-WEEKDAY(B364,2)+1),B$5:B363,"&lt;="&amp;B364,BJ$5:BJ363,BJ364),2))</f>
        <v/>
      </c>
      <c r="BB364" s="68" t="str">
        <f aca="false">IF(B364="","",IF(AND(AF364&lt;&gt;"",AV364&lt;&gt;"",N(AF364)&gt;N(AV364)*(1+Settings!$C$13)),"Oversized",IF(AX364&gt;Settings!$C$10,"Overtraded",IF(AY364&lt;=-Settings!$C$11*(AW364-AY364),"Daily loss hit",IF(BA364&lt;=-Settings!$C$12*(AW364-BA364),"Weekly loss hit","OK")))))</f>
        <v/>
      </c>
      <c r="BC364" s="69"/>
      <c r="BD364" s="69"/>
      <c r="BE364" s="69"/>
      <c r="BF364" s="73"/>
      <c r="BG364" s="73"/>
      <c r="BH364" s="71"/>
      <c r="BI364" s="71"/>
      <c r="BJ364" s="68" t="str">
        <f aca="false">IF(B364="","",IF(E364="",Settings!$F$5,E364))</f>
        <v/>
      </c>
      <c r="BK364" s="76" t="str">
        <f aca="false">IF(B364="","",IFERROR(INDEX(Settings!$G$5:$G$10,MATCH(BJ364,Settings!$F$5:$F$10,0)),Settings!$G$5))</f>
        <v/>
      </c>
      <c r="BL364" s="82" t="str">
        <f aca="false">IF(I364="","",IFERROR(1/(1/INDEX(Lists!$C$6:$C$17,MATCH(I364,Lists!$B$6:$B$17,0))),""))</f>
        <v/>
      </c>
      <c r="BM364" s="81" t="str">
        <f aca="false">IF(I364="","",IFERROR(1/(1/INDEX(Lists!$D$6:$D$17,MATCH(I364,Lists!$B$6:$B$17,0))),""))</f>
        <v/>
      </c>
      <c r="BN364" s="76" t="str">
        <f aca="false">IF(AN364="","",MAX(BK364,_xlfn.MAXIFS(AN$6:AN364,BJ$6:BJ364,BJ364)))</f>
        <v/>
      </c>
      <c r="BO364" s="83" t="str">
        <f aca="false">IF(AN364="","",(AN364-BN364)/BN364)</f>
        <v/>
      </c>
      <c r="BP364" s="66" t="n">
        <f aca="false">IF(OR(B364="",AL364=""),0,IF(OR(Settings!$C$28="All Accounts",BJ364=Settings!$C$28),1,0))</f>
        <v>0</v>
      </c>
      <c r="BQ364" s="66" t="str">
        <f aca="false">IF(BP364=1,SUM(BP$6:BP364),"")</f>
        <v/>
      </c>
      <c r="BR364" s="76" t="str">
        <f aca="false">IF(BP364=1,ROUND(Settings!$C$29+SUMIFS(AM$6:AM364,BP$6:BP364,1),2),"")</f>
        <v/>
      </c>
      <c r="BS364" s="76" t="str">
        <f aca="false">IF(BP364=1,MAX(Settings!$C$29,MAX(BR$6:BR364)),"")</f>
        <v/>
      </c>
      <c r="BT364" s="83" t="str">
        <f aca="false">IF(BP364=1,(BR364-BS364)/BS364,"")</f>
        <v/>
      </c>
      <c r="BU364" s="66" t="str">
        <f aca="false">IF(BP364=1,IF(AL364="Win",1+IF(BQ364=1,0,INDEX(BU$5:BU363,MATCH(BQ364-1,BQ$5:BQ363,0))),0),"")</f>
        <v/>
      </c>
      <c r="BV364" s="66" t="str">
        <f aca="false">IF(BP364=1,IF(AL364="Loss",1+IF(BQ364=1,0,INDEX(BV$5:BV363,MATCH(BQ364-1,BQ$5:BQ363,0))),0),"")</f>
        <v/>
      </c>
    </row>
    <row r="365" customFormat="false" ht="15" hidden="false" customHeight="false" outlineLevel="0" collapsed="false">
      <c r="A365" s="66" t="str">
        <f aca="false">IF(B365="","",ROW()-5)</f>
        <v/>
      </c>
      <c r="B365" s="67"/>
      <c r="C365" s="68" t="str">
        <f aca="false">IF(B365="","",CHOOSE(WEEKDAY(B365,2),"Mon","Tue","Wed","Thu","Fri","Sat","Sun"))</f>
        <v/>
      </c>
      <c r="D365" s="66" t="str">
        <f aca="false">IF(B365="","",WEEKNUM(B365,2))</f>
        <v/>
      </c>
      <c r="E365" s="69"/>
      <c r="F365" s="69"/>
      <c r="G365" s="70"/>
      <c r="H365" s="70"/>
      <c r="I365" s="69"/>
      <c r="J365" s="69"/>
      <c r="K365" s="69"/>
      <c r="L365" s="71"/>
      <c r="M365" s="69"/>
      <c r="N365" s="69"/>
      <c r="O365" s="69"/>
      <c r="P365" s="71"/>
      <c r="Q365" s="69"/>
      <c r="R365" s="69"/>
      <c r="S365" s="69"/>
      <c r="T365" s="69"/>
      <c r="U365" s="69"/>
      <c r="V365" s="69"/>
      <c r="W365" s="69"/>
      <c r="X365" s="66" t="str">
        <f aca="false">IF(B365="","",COUNTIF(Q365:W365,"Yes"))</f>
        <v/>
      </c>
      <c r="Y365" s="68" t="str">
        <f aca="false">IF(B365="","",IF(X365&gt;=Settings!$C$16,"A+",IF(X365&gt;=Settings!$C$17,"A",IF(X365&gt;=Settings!$C$18,"B","C"))))</f>
        <v/>
      </c>
      <c r="Z365" s="72"/>
      <c r="AA365" s="72"/>
      <c r="AB365" s="72"/>
      <c r="AC365" s="72"/>
      <c r="AD365" s="72"/>
      <c r="AE365" s="72"/>
      <c r="AF365" s="73"/>
      <c r="AG365" s="74"/>
      <c r="AH365" s="75"/>
      <c r="AI365" s="76" t="str">
        <f aca="false">IF(B365="","",ROUND(IF(AG365="",Settings!$C$5,AG365)*AW365,2))</f>
        <v/>
      </c>
      <c r="AJ365" s="77" t="str">
        <f aca="false">IF(OR(B365="",AB365="",AC365="",AD365=""),"",IFERROR(ROUND(ABS(AD365-AB365)/ABS(AB365-AC365),2),""))</f>
        <v/>
      </c>
      <c r="AK365" s="78" t="str">
        <f aca="false">IF(OR(B365="",AB365="",AC365="",AE365=""),"",IFERROR(ROUND(IF(J365="Short",AB365-AE365,AE365-AB365)/ABS(AB365-AC365),2),""))</f>
        <v/>
      </c>
      <c r="AL365" s="68" t="str">
        <f aca="false">IF(AK365="","",IF(ABS(AK365)&lt;=Settings!$C$6,"BE",IF(AK365&gt;0,"Win","Loss")))</f>
        <v/>
      </c>
      <c r="AM365" s="79" t="str">
        <f aca="false">IF(OR(AK365="",AI365=""),"",ROUND(AK365*AI365-N(AH365),2))</f>
        <v/>
      </c>
      <c r="AN365" s="76" t="str">
        <f aca="false">IF(AM365="","",ROUND(BK365+SUMIFS(AM$6:AM365,BJ$6:BJ365,BJ365),2))</f>
        <v/>
      </c>
      <c r="AO365" s="78" t="str">
        <f aca="false">IF(AK365="","",ROUND(SUMIFS(AK$6:AK365,BJ$6:BJ365,BJ365),2))</f>
        <v/>
      </c>
      <c r="AP365" s="80" t="str">
        <f aca="false">IF(OR(AK365="",BL365=""),"",IFERROR(ROUND(IF(J365="Short",AB365-AE365,AE365-AB365)/BL365,1),""))</f>
        <v/>
      </c>
      <c r="AQ365" s="66" t="str">
        <f aca="false">IF(OR(G365="",H365=""),"",ROUND(MOD(H365-G365,1)*1440,0))</f>
        <v/>
      </c>
      <c r="AR365" s="68" t="str">
        <f aca="false">IF(AQ365="","",IF(AQ365&lt;15,"Under 15m",IF(AQ365&lt;60,"15-60m",IF(AQ365&lt;240,"1-4 hours","4+ hours"))))</f>
        <v/>
      </c>
      <c r="AS365" s="66" t="str">
        <f aca="false">IF(G365="","",HOUR(G365))</f>
        <v/>
      </c>
      <c r="AT365" s="80" t="str">
        <f aca="false">IF(OR(Z365="",AB365="",BL365=""),"",IFERROR(ROUND(IF(J365="Short",Z365-AB365,AB365-Z365)/BL365,1),""))</f>
        <v/>
      </c>
      <c r="AU365" s="68" t="str">
        <f aca="false">IF(OR(AA365="",AC365=""),"",IF(AA365=AC365,"No","Yes"))</f>
        <v/>
      </c>
      <c r="AV365" s="81" t="str">
        <f aca="false">IF(OR(B365="",BL365="",BM365="",AB365="",AC365=""),"",IFERROR(ROUND(AI365/(ABS(AB365-AC365)/BL365*BM365),2),""))</f>
        <v/>
      </c>
      <c r="AW365" s="76" t="str">
        <f aca="false">IF(B365="","",ROUND(BK365+SUMIFS(AM$5:AM364,BJ$5:BJ364,BJ365),2))</f>
        <v/>
      </c>
      <c r="AX365" s="66" t="str">
        <f aca="false">IF(B365="","",COUNTIFS(B$6:B365,B365,BJ$6:BJ365,BJ365))</f>
        <v/>
      </c>
      <c r="AY365" s="79" t="str">
        <f aca="false">IF(B365="","",ROUND(SUMIFS(AM$5:AM364,B$5:B364,B365,BJ$5:BJ364,BJ365),2))</f>
        <v/>
      </c>
      <c r="AZ365" s="79" t="str">
        <f aca="false">IF(AM365="","",ROUND(AY365+AM365,2))</f>
        <v/>
      </c>
      <c r="BA365" s="79" t="str">
        <f aca="false">IF(B365="","",ROUND(SUMIFS(AM$5:AM364,B$5:B364,"&gt;="&amp;(B365-WEEKDAY(B365,2)+1),B$5:B364,"&lt;="&amp;B365,BJ$5:BJ364,BJ365),2))</f>
        <v/>
      </c>
      <c r="BB365" s="68" t="str">
        <f aca="false">IF(B365="","",IF(AND(AF365&lt;&gt;"",AV365&lt;&gt;"",N(AF365)&gt;N(AV365)*(1+Settings!$C$13)),"Oversized",IF(AX365&gt;Settings!$C$10,"Overtraded",IF(AY365&lt;=-Settings!$C$11*(AW365-AY365),"Daily loss hit",IF(BA365&lt;=-Settings!$C$12*(AW365-BA365),"Weekly loss hit","OK")))))</f>
        <v/>
      </c>
      <c r="BC365" s="69"/>
      <c r="BD365" s="69"/>
      <c r="BE365" s="69"/>
      <c r="BF365" s="73"/>
      <c r="BG365" s="73"/>
      <c r="BH365" s="71"/>
      <c r="BI365" s="71"/>
      <c r="BJ365" s="68" t="str">
        <f aca="false">IF(B365="","",IF(E365="",Settings!$F$5,E365))</f>
        <v/>
      </c>
      <c r="BK365" s="76" t="str">
        <f aca="false">IF(B365="","",IFERROR(INDEX(Settings!$G$5:$G$10,MATCH(BJ365,Settings!$F$5:$F$10,0)),Settings!$G$5))</f>
        <v/>
      </c>
      <c r="BL365" s="82" t="str">
        <f aca="false">IF(I365="","",IFERROR(1/(1/INDEX(Lists!$C$6:$C$17,MATCH(I365,Lists!$B$6:$B$17,0))),""))</f>
        <v/>
      </c>
      <c r="BM365" s="81" t="str">
        <f aca="false">IF(I365="","",IFERROR(1/(1/INDEX(Lists!$D$6:$D$17,MATCH(I365,Lists!$B$6:$B$17,0))),""))</f>
        <v/>
      </c>
      <c r="BN365" s="76" t="str">
        <f aca="false">IF(AN365="","",MAX(BK365,_xlfn.MAXIFS(AN$6:AN365,BJ$6:BJ365,BJ365)))</f>
        <v/>
      </c>
      <c r="BO365" s="83" t="str">
        <f aca="false">IF(AN365="","",(AN365-BN365)/BN365)</f>
        <v/>
      </c>
      <c r="BP365" s="66" t="n">
        <f aca="false">IF(OR(B365="",AL365=""),0,IF(OR(Settings!$C$28="All Accounts",BJ365=Settings!$C$28),1,0))</f>
        <v>0</v>
      </c>
      <c r="BQ365" s="66" t="str">
        <f aca="false">IF(BP365=1,SUM(BP$6:BP365),"")</f>
        <v/>
      </c>
      <c r="BR365" s="76" t="str">
        <f aca="false">IF(BP365=1,ROUND(Settings!$C$29+SUMIFS(AM$6:AM365,BP$6:BP365,1),2),"")</f>
        <v/>
      </c>
      <c r="BS365" s="76" t="str">
        <f aca="false">IF(BP365=1,MAX(Settings!$C$29,MAX(BR$6:BR365)),"")</f>
        <v/>
      </c>
      <c r="BT365" s="83" t="str">
        <f aca="false">IF(BP365=1,(BR365-BS365)/BS365,"")</f>
        <v/>
      </c>
      <c r="BU365" s="66" t="str">
        <f aca="false">IF(BP365=1,IF(AL365="Win",1+IF(BQ365=1,0,INDEX(BU$5:BU364,MATCH(BQ365-1,BQ$5:BQ364,0))),0),"")</f>
        <v/>
      </c>
      <c r="BV365" s="66" t="str">
        <f aca="false">IF(BP365=1,IF(AL365="Loss",1+IF(BQ365=1,0,INDEX(BV$5:BV364,MATCH(BQ365-1,BQ$5:BQ364,0))),0),"")</f>
        <v/>
      </c>
    </row>
    <row r="366" customFormat="false" ht="15" hidden="false" customHeight="false" outlineLevel="0" collapsed="false">
      <c r="A366" s="66" t="str">
        <f aca="false">IF(B366="","",ROW()-5)</f>
        <v/>
      </c>
      <c r="B366" s="67"/>
      <c r="C366" s="68" t="str">
        <f aca="false">IF(B366="","",CHOOSE(WEEKDAY(B366,2),"Mon","Tue","Wed","Thu","Fri","Sat","Sun"))</f>
        <v/>
      </c>
      <c r="D366" s="66" t="str">
        <f aca="false">IF(B366="","",WEEKNUM(B366,2))</f>
        <v/>
      </c>
      <c r="E366" s="69"/>
      <c r="F366" s="69"/>
      <c r="G366" s="70"/>
      <c r="H366" s="70"/>
      <c r="I366" s="69"/>
      <c r="J366" s="69"/>
      <c r="K366" s="69"/>
      <c r="L366" s="71"/>
      <c r="M366" s="69"/>
      <c r="N366" s="69"/>
      <c r="O366" s="69"/>
      <c r="P366" s="71"/>
      <c r="Q366" s="69"/>
      <c r="R366" s="69"/>
      <c r="S366" s="69"/>
      <c r="T366" s="69"/>
      <c r="U366" s="69"/>
      <c r="V366" s="69"/>
      <c r="W366" s="69"/>
      <c r="X366" s="66" t="str">
        <f aca="false">IF(B366="","",COUNTIF(Q366:W366,"Yes"))</f>
        <v/>
      </c>
      <c r="Y366" s="68" t="str">
        <f aca="false">IF(B366="","",IF(X366&gt;=Settings!$C$16,"A+",IF(X366&gt;=Settings!$C$17,"A",IF(X366&gt;=Settings!$C$18,"B","C"))))</f>
        <v/>
      </c>
      <c r="Z366" s="72"/>
      <c r="AA366" s="72"/>
      <c r="AB366" s="72"/>
      <c r="AC366" s="72"/>
      <c r="AD366" s="72"/>
      <c r="AE366" s="72"/>
      <c r="AF366" s="73"/>
      <c r="AG366" s="74"/>
      <c r="AH366" s="75"/>
      <c r="AI366" s="76" t="str">
        <f aca="false">IF(B366="","",ROUND(IF(AG366="",Settings!$C$5,AG366)*AW366,2))</f>
        <v/>
      </c>
      <c r="AJ366" s="77" t="str">
        <f aca="false">IF(OR(B366="",AB366="",AC366="",AD366=""),"",IFERROR(ROUND(ABS(AD366-AB366)/ABS(AB366-AC366),2),""))</f>
        <v/>
      </c>
      <c r="AK366" s="78" t="str">
        <f aca="false">IF(OR(B366="",AB366="",AC366="",AE366=""),"",IFERROR(ROUND(IF(J366="Short",AB366-AE366,AE366-AB366)/ABS(AB366-AC366),2),""))</f>
        <v/>
      </c>
      <c r="AL366" s="68" t="str">
        <f aca="false">IF(AK366="","",IF(ABS(AK366)&lt;=Settings!$C$6,"BE",IF(AK366&gt;0,"Win","Loss")))</f>
        <v/>
      </c>
      <c r="AM366" s="79" t="str">
        <f aca="false">IF(OR(AK366="",AI366=""),"",ROUND(AK366*AI366-N(AH366),2))</f>
        <v/>
      </c>
      <c r="AN366" s="76" t="str">
        <f aca="false">IF(AM366="","",ROUND(BK366+SUMIFS(AM$6:AM366,BJ$6:BJ366,BJ366),2))</f>
        <v/>
      </c>
      <c r="AO366" s="78" t="str">
        <f aca="false">IF(AK366="","",ROUND(SUMIFS(AK$6:AK366,BJ$6:BJ366,BJ366),2))</f>
        <v/>
      </c>
      <c r="AP366" s="80" t="str">
        <f aca="false">IF(OR(AK366="",BL366=""),"",IFERROR(ROUND(IF(J366="Short",AB366-AE366,AE366-AB366)/BL366,1),""))</f>
        <v/>
      </c>
      <c r="AQ366" s="66" t="str">
        <f aca="false">IF(OR(G366="",H366=""),"",ROUND(MOD(H366-G366,1)*1440,0))</f>
        <v/>
      </c>
      <c r="AR366" s="68" t="str">
        <f aca="false">IF(AQ366="","",IF(AQ366&lt;15,"Under 15m",IF(AQ366&lt;60,"15-60m",IF(AQ366&lt;240,"1-4 hours","4+ hours"))))</f>
        <v/>
      </c>
      <c r="AS366" s="66" t="str">
        <f aca="false">IF(G366="","",HOUR(G366))</f>
        <v/>
      </c>
      <c r="AT366" s="80" t="str">
        <f aca="false">IF(OR(Z366="",AB366="",BL366=""),"",IFERROR(ROUND(IF(J366="Short",Z366-AB366,AB366-Z366)/BL366,1),""))</f>
        <v/>
      </c>
      <c r="AU366" s="68" t="str">
        <f aca="false">IF(OR(AA366="",AC366=""),"",IF(AA366=AC366,"No","Yes"))</f>
        <v/>
      </c>
      <c r="AV366" s="81" t="str">
        <f aca="false">IF(OR(B366="",BL366="",BM366="",AB366="",AC366=""),"",IFERROR(ROUND(AI366/(ABS(AB366-AC366)/BL366*BM366),2),""))</f>
        <v/>
      </c>
      <c r="AW366" s="76" t="str">
        <f aca="false">IF(B366="","",ROUND(BK366+SUMIFS(AM$5:AM365,BJ$5:BJ365,BJ366),2))</f>
        <v/>
      </c>
      <c r="AX366" s="66" t="str">
        <f aca="false">IF(B366="","",COUNTIFS(B$6:B366,B366,BJ$6:BJ366,BJ366))</f>
        <v/>
      </c>
      <c r="AY366" s="79" t="str">
        <f aca="false">IF(B366="","",ROUND(SUMIFS(AM$5:AM365,B$5:B365,B366,BJ$5:BJ365,BJ366),2))</f>
        <v/>
      </c>
      <c r="AZ366" s="79" t="str">
        <f aca="false">IF(AM366="","",ROUND(AY366+AM366,2))</f>
        <v/>
      </c>
      <c r="BA366" s="79" t="str">
        <f aca="false">IF(B366="","",ROUND(SUMIFS(AM$5:AM365,B$5:B365,"&gt;="&amp;(B366-WEEKDAY(B366,2)+1),B$5:B365,"&lt;="&amp;B366,BJ$5:BJ365,BJ366),2))</f>
        <v/>
      </c>
      <c r="BB366" s="68" t="str">
        <f aca="false">IF(B366="","",IF(AND(AF366&lt;&gt;"",AV366&lt;&gt;"",N(AF366)&gt;N(AV366)*(1+Settings!$C$13)),"Oversized",IF(AX366&gt;Settings!$C$10,"Overtraded",IF(AY366&lt;=-Settings!$C$11*(AW366-AY366),"Daily loss hit",IF(BA366&lt;=-Settings!$C$12*(AW366-BA366),"Weekly loss hit","OK")))))</f>
        <v/>
      </c>
      <c r="BC366" s="69"/>
      <c r="BD366" s="69"/>
      <c r="BE366" s="69"/>
      <c r="BF366" s="73"/>
      <c r="BG366" s="73"/>
      <c r="BH366" s="71"/>
      <c r="BI366" s="71"/>
      <c r="BJ366" s="68" t="str">
        <f aca="false">IF(B366="","",IF(E366="",Settings!$F$5,E366))</f>
        <v/>
      </c>
      <c r="BK366" s="76" t="str">
        <f aca="false">IF(B366="","",IFERROR(INDEX(Settings!$G$5:$G$10,MATCH(BJ366,Settings!$F$5:$F$10,0)),Settings!$G$5))</f>
        <v/>
      </c>
      <c r="BL366" s="82" t="str">
        <f aca="false">IF(I366="","",IFERROR(1/(1/INDEX(Lists!$C$6:$C$17,MATCH(I366,Lists!$B$6:$B$17,0))),""))</f>
        <v/>
      </c>
      <c r="BM366" s="81" t="str">
        <f aca="false">IF(I366="","",IFERROR(1/(1/INDEX(Lists!$D$6:$D$17,MATCH(I366,Lists!$B$6:$B$17,0))),""))</f>
        <v/>
      </c>
      <c r="BN366" s="76" t="str">
        <f aca="false">IF(AN366="","",MAX(BK366,_xlfn.MAXIFS(AN$6:AN366,BJ$6:BJ366,BJ366)))</f>
        <v/>
      </c>
      <c r="BO366" s="83" t="str">
        <f aca="false">IF(AN366="","",(AN366-BN366)/BN366)</f>
        <v/>
      </c>
      <c r="BP366" s="66" t="n">
        <f aca="false">IF(OR(B366="",AL366=""),0,IF(OR(Settings!$C$28="All Accounts",BJ366=Settings!$C$28),1,0))</f>
        <v>0</v>
      </c>
      <c r="BQ366" s="66" t="str">
        <f aca="false">IF(BP366=1,SUM(BP$6:BP366),"")</f>
        <v/>
      </c>
      <c r="BR366" s="76" t="str">
        <f aca="false">IF(BP366=1,ROUND(Settings!$C$29+SUMIFS(AM$6:AM366,BP$6:BP366,1),2),"")</f>
        <v/>
      </c>
      <c r="BS366" s="76" t="str">
        <f aca="false">IF(BP366=1,MAX(Settings!$C$29,MAX(BR$6:BR366)),"")</f>
        <v/>
      </c>
      <c r="BT366" s="83" t="str">
        <f aca="false">IF(BP366=1,(BR366-BS366)/BS366,"")</f>
        <v/>
      </c>
      <c r="BU366" s="66" t="str">
        <f aca="false">IF(BP366=1,IF(AL366="Win",1+IF(BQ366=1,0,INDEX(BU$5:BU365,MATCH(BQ366-1,BQ$5:BQ365,0))),0),"")</f>
        <v/>
      </c>
      <c r="BV366" s="66" t="str">
        <f aca="false">IF(BP366=1,IF(AL366="Loss",1+IF(BQ366=1,0,INDEX(BV$5:BV365,MATCH(BQ366-1,BQ$5:BQ365,0))),0),"")</f>
        <v/>
      </c>
    </row>
    <row r="367" customFormat="false" ht="15" hidden="false" customHeight="false" outlineLevel="0" collapsed="false">
      <c r="A367" s="66" t="str">
        <f aca="false">IF(B367="","",ROW()-5)</f>
        <v/>
      </c>
      <c r="B367" s="67"/>
      <c r="C367" s="68" t="str">
        <f aca="false">IF(B367="","",CHOOSE(WEEKDAY(B367,2),"Mon","Tue","Wed","Thu","Fri","Sat","Sun"))</f>
        <v/>
      </c>
      <c r="D367" s="66" t="str">
        <f aca="false">IF(B367="","",WEEKNUM(B367,2))</f>
        <v/>
      </c>
      <c r="E367" s="69"/>
      <c r="F367" s="69"/>
      <c r="G367" s="70"/>
      <c r="H367" s="70"/>
      <c r="I367" s="69"/>
      <c r="J367" s="69"/>
      <c r="K367" s="69"/>
      <c r="L367" s="71"/>
      <c r="M367" s="69"/>
      <c r="N367" s="69"/>
      <c r="O367" s="69"/>
      <c r="P367" s="71"/>
      <c r="Q367" s="69"/>
      <c r="R367" s="69"/>
      <c r="S367" s="69"/>
      <c r="T367" s="69"/>
      <c r="U367" s="69"/>
      <c r="V367" s="69"/>
      <c r="W367" s="69"/>
      <c r="X367" s="66" t="str">
        <f aca="false">IF(B367="","",COUNTIF(Q367:W367,"Yes"))</f>
        <v/>
      </c>
      <c r="Y367" s="68" t="str">
        <f aca="false">IF(B367="","",IF(X367&gt;=Settings!$C$16,"A+",IF(X367&gt;=Settings!$C$17,"A",IF(X367&gt;=Settings!$C$18,"B","C"))))</f>
        <v/>
      </c>
      <c r="Z367" s="72"/>
      <c r="AA367" s="72"/>
      <c r="AB367" s="72"/>
      <c r="AC367" s="72"/>
      <c r="AD367" s="72"/>
      <c r="AE367" s="72"/>
      <c r="AF367" s="73"/>
      <c r="AG367" s="74"/>
      <c r="AH367" s="75"/>
      <c r="AI367" s="76" t="str">
        <f aca="false">IF(B367="","",ROUND(IF(AG367="",Settings!$C$5,AG367)*AW367,2))</f>
        <v/>
      </c>
      <c r="AJ367" s="77" t="str">
        <f aca="false">IF(OR(B367="",AB367="",AC367="",AD367=""),"",IFERROR(ROUND(ABS(AD367-AB367)/ABS(AB367-AC367),2),""))</f>
        <v/>
      </c>
      <c r="AK367" s="78" t="str">
        <f aca="false">IF(OR(B367="",AB367="",AC367="",AE367=""),"",IFERROR(ROUND(IF(J367="Short",AB367-AE367,AE367-AB367)/ABS(AB367-AC367),2),""))</f>
        <v/>
      </c>
      <c r="AL367" s="68" t="str">
        <f aca="false">IF(AK367="","",IF(ABS(AK367)&lt;=Settings!$C$6,"BE",IF(AK367&gt;0,"Win","Loss")))</f>
        <v/>
      </c>
      <c r="AM367" s="79" t="str">
        <f aca="false">IF(OR(AK367="",AI367=""),"",ROUND(AK367*AI367-N(AH367),2))</f>
        <v/>
      </c>
      <c r="AN367" s="76" t="str">
        <f aca="false">IF(AM367="","",ROUND(BK367+SUMIFS(AM$6:AM367,BJ$6:BJ367,BJ367),2))</f>
        <v/>
      </c>
      <c r="AO367" s="78" t="str">
        <f aca="false">IF(AK367="","",ROUND(SUMIFS(AK$6:AK367,BJ$6:BJ367,BJ367),2))</f>
        <v/>
      </c>
      <c r="AP367" s="80" t="str">
        <f aca="false">IF(OR(AK367="",BL367=""),"",IFERROR(ROUND(IF(J367="Short",AB367-AE367,AE367-AB367)/BL367,1),""))</f>
        <v/>
      </c>
      <c r="AQ367" s="66" t="str">
        <f aca="false">IF(OR(G367="",H367=""),"",ROUND(MOD(H367-G367,1)*1440,0))</f>
        <v/>
      </c>
      <c r="AR367" s="68" t="str">
        <f aca="false">IF(AQ367="","",IF(AQ367&lt;15,"Under 15m",IF(AQ367&lt;60,"15-60m",IF(AQ367&lt;240,"1-4 hours","4+ hours"))))</f>
        <v/>
      </c>
      <c r="AS367" s="66" t="str">
        <f aca="false">IF(G367="","",HOUR(G367))</f>
        <v/>
      </c>
      <c r="AT367" s="80" t="str">
        <f aca="false">IF(OR(Z367="",AB367="",BL367=""),"",IFERROR(ROUND(IF(J367="Short",Z367-AB367,AB367-Z367)/BL367,1),""))</f>
        <v/>
      </c>
      <c r="AU367" s="68" t="str">
        <f aca="false">IF(OR(AA367="",AC367=""),"",IF(AA367=AC367,"No","Yes"))</f>
        <v/>
      </c>
      <c r="AV367" s="81" t="str">
        <f aca="false">IF(OR(B367="",BL367="",BM367="",AB367="",AC367=""),"",IFERROR(ROUND(AI367/(ABS(AB367-AC367)/BL367*BM367),2),""))</f>
        <v/>
      </c>
      <c r="AW367" s="76" t="str">
        <f aca="false">IF(B367="","",ROUND(BK367+SUMIFS(AM$5:AM366,BJ$5:BJ366,BJ367),2))</f>
        <v/>
      </c>
      <c r="AX367" s="66" t="str">
        <f aca="false">IF(B367="","",COUNTIFS(B$6:B367,B367,BJ$6:BJ367,BJ367))</f>
        <v/>
      </c>
      <c r="AY367" s="79" t="str">
        <f aca="false">IF(B367="","",ROUND(SUMIFS(AM$5:AM366,B$5:B366,B367,BJ$5:BJ366,BJ367),2))</f>
        <v/>
      </c>
      <c r="AZ367" s="79" t="str">
        <f aca="false">IF(AM367="","",ROUND(AY367+AM367,2))</f>
        <v/>
      </c>
      <c r="BA367" s="79" t="str">
        <f aca="false">IF(B367="","",ROUND(SUMIFS(AM$5:AM366,B$5:B366,"&gt;="&amp;(B367-WEEKDAY(B367,2)+1),B$5:B366,"&lt;="&amp;B367,BJ$5:BJ366,BJ367),2))</f>
        <v/>
      </c>
      <c r="BB367" s="68" t="str">
        <f aca="false">IF(B367="","",IF(AND(AF367&lt;&gt;"",AV367&lt;&gt;"",N(AF367)&gt;N(AV367)*(1+Settings!$C$13)),"Oversized",IF(AX367&gt;Settings!$C$10,"Overtraded",IF(AY367&lt;=-Settings!$C$11*(AW367-AY367),"Daily loss hit",IF(BA367&lt;=-Settings!$C$12*(AW367-BA367),"Weekly loss hit","OK")))))</f>
        <v/>
      </c>
      <c r="BC367" s="69"/>
      <c r="BD367" s="69"/>
      <c r="BE367" s="69"/>
      <c r="BF367" s="73"/>
      <c r="BG367" s="73"/>
      <c r="BH367" s="71"/>
      <c r="BI367" s="71"/>
      <c r="BJ367" s="68" t="str">
        <f aca="false">IF(B367="","",IF(E367="",Settings!$F$5,E367))</f>
        <v/>
      </c>
      <c r="BK367" s="76" t="str">
        <f aca="false">IF(B367="","",IFERROR(INDEX(Settings!$G$5:$G$10,MATCH(BJ367,Settings!$F$5:$F$10,0)),Settings!$G$5))</f>
        <v/>
      </c>
      <c r="BL367" s="82" t="str">
        <f aca="false">IF(I367="","",IFERROR(1/(1/INDEX(Lists!$C$6:$C$17,MATCH(I367,Lists!$B$6:$B$17,0))),""))</f>
        <v/>
      </c>
      <c r="BM367" s="81" t="str">
        <f aca="false">IF(I367="","",IFERROR(1/(1/INDEX(Lists!$D$6:$D$17,MATCH(I367,Lists!$B$6:$B$17,0))),""))</f>
        <v/>
      </c>
      <c r="BN367" s="76" t="str">
        <f aca="false">IF(AN367="","",MAX(BK367,_xlfn.MAXIFS(AN$6:AN367,BJ$6:BJ367,BJ367)))</f>
        <v/>
      </c>
      <c r="BO367" s="83" t="str">
        <f aca="false">IF(AN367="","",(AN367-BN367)/BN367)</f>
        <v/>
      </c>
      <c r="BP367" s="66" t="n">
        <f aca="false">IF(OR(B367="",AL367=""),0,IF(OR(Settings!$C$28="All Accounts",BJ367=Settings!$C$28),1,0))</f>
        <v>0</v>
      </c>
      <c r="BQ367" s="66" t="str">
        <f aca="false">IF(BP367=1,SUM(BP$6:BP367),"")</f>
        <v/>
      </c>
      <c r="BR367" s="76" t="str">
        <f aca="false">IF(BP367=1,ROUND(Settings!$C$29+SUMIFS(AM$6:AM367,BP$6:BP367,1),2),"")</f>
        <v/>
      </c>
      <c r="BS367" s="76" t="str">
        <f aca="false">IF(BP367=1,MAX(Settings!$C$29,MAX(BR$6:BR367)),"")</f>
        <v/>
      </c>
      <c r="BT367" s="83" t="str">
        <f aca="false">IF(BP367=1,(BR367-BS367)/BS367,"")</f>
        <v/>
      </c>
      <c r="BU367" s="66" t="str">
        <f aca="false">IF(BP367=1,IF(AL367="Win",1+IF(BQ367=1,0,INDEX(BU$5:BU366,MATCH(BQ367-1,BQ$5:BQ366,0))),0),"")</f>
        <v/>
      </c>
      <c r="BV367" s="66" t="str">
        <f aca="false">IF(BP367=1,IF(AL367="Loss",1+IF(BQ367=1,0,INDEX(BV$5:BV366,MATCH(BQ367-1,BQ$5:BQ366,0))),0),"")</f>
        <v/>
      </c>
    </row>
    <row r="368" customFormat="false" ht="15" hidden="false" customHeight="false" outlineLevel="0" collapsed="false">
      <c r="A368" s="66" t="str">
        <f aca="false">IF(B368="","",ROW()-5)</f>
        <v/>
      </c>
      <c r="B368" s="67"/>
      <c r="C368" s="68" t="str">
        <f aca="false">IF(B368="","",CHOOSE(WEEKDAY(B368,2),"Mon","Tue","Wed","Thu","Fri","Sat","Sun"))</f>
        <v/>
      </c>
      <c r="D368" s="66" t="str">
        <f aca="false">IF(B368="","",WEEKNUM(B368,2))</f>
        <v/>
      </c>
      <c r="E368" s="69"/>
      <c r="F368" s="69"/>
      <c r="G368" s="70"/>
      <c r="H368" s="70"/>
      <c r="I368" s="69"/>
      <c r="J368" s="69"/>
      <c r="K368" s="69"/>
      <c r="L368" s="71"/>
      <c r="M368" s="69"/>
      <c r="N368" s="69"/>
      <c r="O368" s="69"/>
      <c r="P368" s="71"/>
      <c r="Q368" s="69"/>
      <c r="R368" s="69"/>
      <c r="S368" s="69"/>
      <c r="T368" s="69"/>
      <c r="U368" s="69"/>
      <c r="V368" s="69"/>
      <c r="W368" s="69"/>
      <c r="X368" s="66" t="str">
        <f aca="false">IF(B368="","",COUNTIF(Q368:W368,"Yes"))</f>
        <v/>
      </c>
      <c r="Y368" s="68" t="str">
        <f aca="false">IF(B368="","",IF(X368&gt;=Settings!$C$16,"A+",IF(X368&gt;=Settings!$C$17,"A",IF(X368&gt;=Settings!$C$18,"B","C"))))</f>
        <v/>
      </c>
      <c r="Z368" s="72"/>
      <c r="AA368" s="72"/>
      <c r="AB368" s="72"/>
      <c r="AC368" s="72"/>
      <c r="AD368" s="72"/>
      <c r="AE368" s="72"/>
      <c r="AF368" s="73"/>
      <c r="AG368" s="74"/>
      <c r="AH368" s="75"/>
      <c r="AI368" s="76" t="str">
        <f aca="false">IF(B368="","",ROUND(IF(AG368="",Settings!$C$5,AG368)*AW368,2))</f>
        <v/>
      </c>
      <c r="AJ368" s="77" t="str">
        <f aca="false">IF(OR(B368="",AB368="",AC368="",AD368=""),"",IFERROR(ROUND(ABS(AD368-AB368)/ABS(AB368-AC368),2),""))</f>
        <v/>
      </c>
      <c r="AK368" s="78" t="str">
        <f aca="false">IF(OR(B368="",AB368="",AC368="",AE368=""),"",IFERROR(ROUND(IF(J368="Short",AB368-AE368,AE368-AB368)/ABS(AB368-AC368),2),""))</f>
        <v/>
      </c>
      <c r="AL368" s="68" t="str">
        <f aca="false">IF(AK368="","",IF(ABS(AK368)&lt;=Settings!$C$6,"BE",IF(AK368&gt;0,"Win","Loss")))</f>
        <v/>
      </c>
      <c r="AM368" s="79" t="str">
        <f aca="false">IF(OR(AK368="",AI368=""),"",ROUND(AK368*AI368-N(AH368),2))</f>
        <v/>
      </c>
      <c r="AN368" s="76" t="str">
        <f aca="false">IF(AM368="","",ROUND(BK368+SUMIFS(AM$6:AM368,BJ$6:BJ368,BJ368),2))</f>
        <v/>
      </c>
      <c r="AO368" s="78" t="str">
        <f aca="false">IF(AK368="","",ROUND(SUMIFS(AK$6:AK368,BJ$6:BJ368,BJ368),2))</f>
        <v/>
      </c>
      <c r="AP368" s="80" t="str">
        <f aca="false">IF(OR(AK368="",BL368=""),"",IFERROR(ROUND(IF(J368="Short",AB368-AE368,AE368-AB368)/BL368,1),""))</f>
        <v/>
      </c>
      <c r="AQ368" s="66" t="str">
        <f aca="false">IF(OR(G368="",H368=""),"",ROUND(MOD(H368-G368,1)*1440,0))</f>
        <v/>
      </c>
      <c r="AR368" s="68" t="str">
        <f aca="false">IF(AQ368="","",IF(AQ368&lt;15,"Under 15m",IF(AQ368&lt;60,"15-60m",IF(AQ368&lt;240,"1-4 hours","4+ hours"))))</f>
        <v/>
      </c>
      <c r="AS368" s="66" t="str">
        <f aca="false">IF(G368="","",HOUR(G368))</f>
        <v/>
      </c>
      <c r="AT368" s="80" t="str">
        <f aca="false">IF(OR(Z368="",AB368="",BL368=""),"",IFERROR(ROUND(IF(J368="Short",Z368-AB368,AB368-Z368)/BL368,1),""))</f>
        <v/>
      </c>
      <c r="AU368" s="68" t="str">
        <f aca="false">IF(OR(AA368="",AC368=""),"",IF(AA368=AC368,"No","Yes"))</f>
        <v/>
      </c>
      <c r="AV368" s="81" t="str">
        <f aca="false">IF(OR(B368="",BL368="",BM368="",AB368="",AC368=""),"",IFERROR(ROUND(AI368/(ABS(AB368-AC368)/BL368*BM368),2),""))</f>
        <v/>
      </c>
      <c r="AW368" s="76" t="str">
        <f aca="false">IF(B368="","",ROUND(BK368+SUMIFS(AM$5:AM367,BJ$5:BJ367,BJ368),2))</f>
        <v/>
      </c>
      <c r="AX368" s="66" t="str">
        <f aca="false">IF(B368="","",COUNTIFS(B$6:B368,B368,BJ$6:BJ368,BJ368))</f>
        <v/>
      </c>
      <c r="AY368" s="79" t="str">
        <f aca="false">IF(B368="","",ROUND(SUMIFS(AM$5:AM367,B$5:B367,B368,BJ$5:BJ367,BJ368),2))</f>
        <v/>
      </c>
      <c r="AZ368" s="79" t="str">
        <f aca="false">IF(AM368="","",ROUND(AY368+AM368,2))</f>
        <v/>
      </c>
      <c r="BA368" s="79" t="str">
        <f aca="false">IF(B368="","",ROUND(SUMIFS(AM$5:AM367,B$5:B367,"&gt;="&amp;(B368-WEEKDAY(B368,2)+1),B$5:B367,"&lt;="&amp;B368,BJ$5:BJ367,BJ368),2))</f>
        <v/>
      </c>
      <c r="BB368" s="68" t="str">
        <f aca="false">IF(B368="","",IF(AND(AF368&lt;&gt;"",AV368&lt;&gt;"",N(AF368)&gt;N(AV368)*(1+Settings!$C$13)),"Oversized",IF(AX368&gt;Settings!$C$10,"Overtraded",IF(AY368&lt;=-Settings!$C$11*(AW368-AY368),"Daily loss hit",IF(BA368&lt;=-Settings!$C$12*(AW368-BA368),"Weekly loss hit","OK")))))</f>
        <v/>
      </c>
      <c r="BC368" s="69"/>
      <c r="BD368" s="69"/>
      <c r="BE368" s="69"/>
      <c r="BF368" s="73"/>
      <c r="BG368" s="73"/>
      <c r="BH368" s="71"/>
      <c r="BI368" s="71"/>
      <c r="BJ368" s="68" t="str">
        <f aca="false">IF(B368="","",IF(E368="",Settings!$F$5,E368))</f>
        <v/>
      </c>
      <c r="BK368" s="76" t="str">
        <f aca="false">IF(B368="","",IFERROR(INDEX(Settings!$G$5:$G$10,MATCH(BJ368,Settings!$F$5:$F$10,0)),Settings!$G$5))</f>
        <v/>
      </c>
      <c r="BL368" s="82" t="str">
        <f aca="false">IF(I368="","",IFERROR(1/(1/INDEX(Lists!$C$6:$C$17,MATCH(I368,Lists!$B$6:$B$17,0))),""))</f>
        <v/>
      </c>
      <c r="BM368" s="81" t="str">
        <f aca="false">IF(I368="","",IFERROR(1/(1/INDEX(Lists!$D$6:$D$17,MATCH(I368,Lists!$B$6:$B$17,0))),""))</f>
        <v/>
      </c>
      <c r="BN368" s="76" t="str">
        <f aca="false">IF(AN368="","",MAX(BK368,_xlfn.MAXIFS(AN$6:AN368,BJ$6:BJ368,BJ368)))</f>
        <v/>
      </c>
      <c r="BO368" s="83" t="str">
        <f aca="false">IF(AN368="","",(AN368-BN368)/BN368)</f>
        <v/>
      </c>
      <c r="BP368" s="66" t="n">
        <f aca="false">IF(OR(B368="",AL368=""),0,IF(OR(Settings!$C$28="All Accounts",BJ368=Settings!$C$28),1,0))</f>
        <v>0</v>
      </c>
      <c r="BQ368" s="66" t="str">
        <f aca="false">IF(BP368=1,SUM(BP$6:BP368),"")</f>
        <v/>
      </c>
      <c r="BR368" s="76" t="str">
        <f aca="false">IF(BP368=1,ROUND(Settings!$C$29+SUMIFS(AM$6:AM368,BP$6:BP368,1),2),"")</f>
        <v/>
      </c>
      <c r="BS368" s="76" t="str">
        <f aca="false">IF(BP368=1,MAX(Settings!$C$29,MAX(BR$6:BR368)),"")</f>
        <v/>
      </c>
      <c r="BT368" s="83" t="str">
        <f aca="false">IF(BP368=1,(BR368-BS368)/BS368,"")</f>
        <v/>
      </c>
      <c r="BU368" s="66" t="str">
        <f aca="false">IF(BP368=1,IF(AL368="Win",1+IF(BQ368=1,0,INDEX(BU$5:BU367,MATCH(BQ368-1,BQ$5:BQ367,0))),0),"")</f>
        <v/>
      </c>
      <c r="BV368" s="66" t="str">
        <f aca="false">IF(BP368=1,IF(AL368="Loss",1+IF(BQ368=1,0,INDEX(BV$5:BV367,MATCH(BQ368-1,BQ$5:BQ367,0))),0),"")</f>
        <v/>
      </c>
    </row>
    <row r="369" customFormat="false" ht="15" hidden="false" customHeight="false" outlineLevel="0" collapsed="false">
      <c r="A369" s="66" t="str">
        <f aca="false">IF(B369="","",ROW()-5)</f>
        <v/>
      </c>
      <c r="B369" s="67"/>
      <c r="C369" s="68" t="str">
        <f aca="false">IF(B369="","",CHOOSE(WEEKDAY(B369,2),"Mon","Tue","Wed","Thu","Fri","Sat","Sun"))</f>
        <v/>
      </c>
      <c r="D369" s="66" t="str">
        <f aca="false">IF(B369="","",WEEKNUM(B369,2))</f>
        <v/>
      </c>
      <c r="E369" s="69"/>
      <c r="F369" s="69"/>
      <c r="G369" s="70"/>
      <c r="H369" s="70"/>
      <c r="I369" s="69"/>
      <c r="J369" s="69"/>
      <c r="K369" s="69"/>
      <c r="L369" s="71"/>
      <c r="M369" s="69"/>
      <c r="N369" s="69"/>
      <c r="O369" s="69"/>
      <c r="P369" s="71"/>
      <c r="Q369" s="69"/>
      <c r="R369" s="69"/>
      <c r="S369" s="69"/>
      <c r="T369" s="69"/>
      <c r="U369" s="69"/>
      <c r="V369" s="69"/>
      <c r="W369" s="69"/>
      <c r="X369" s="66" t="str">
        <f aca="false">IF(B369="","",COUNTIF(Q369:W369,"Yes"))</f>
        <v/>
      </c>
      <c r="Y369" s="68" t="str">
        <f aca="false">IF(B369="","",IF(X369&gt;=Settings!$C$16,"A+",IF(X369&gt;=Settings!$C$17,"A",IF(X369&gt;=Settings!$C$18,"B","C"))))</f>
        <v/>
      </c>
      <c r="Z369" s="72"/>
      <c r="AA369" s="72"/>
      <c r="AB369" s="72"/>
      <c r="AC369" s="72"/>
      <c r="AD369" s="72"/>
      <c r="AE369" s="72"/>
      <c r="AF369" s="73"/>
      <c r="AG369" s="74"/>
      <c r="AH369" s="75"/>
      <c r="AI369" s="76" t="str">
        <f aca="false">IF(B369="","",ROUND(IF(AG369="",Settings!$C$5,AG369)*AW369,2))</f>
        <v/>
      </c>
      <c r="AJ369" s="77" t="str">
        <f aca="false">IF(OR(B369="",AB369="",AC369="",AD369=""),"",IFERROR(ROUND(ABS(AD369-AB369)/ABS(AB369-AC369),2),""))</f>
        <v/>
      </c>
      <c r="AK369" s="78" t="str">
        <f aca="false">IF(OR(B369="",AB369="",AC369="",AE369=""),"",IFERROR(ROUND(IF(J369="Short",AB369-AE369,AE369-AB369)/ABS(AB369-AC369),2),""))</f>
        <v/>
      </c>
      <c r="AL369" s="68" t="str">
        <f aca="false">IF(AK369="","",IF(ABS(AK369)&lt;=Settings!$C$6,"BE",IF(AK369&gt;0,"Win","Loss")))</f>
        <v/>
      </c>
      <c r="AM369" s="79" t="str">
        <f aca="false">IF(OR(AK369="",AI369=""),"",ROUND(AK369*AI369-N(AH369),2))</f>
        <v/>
      </c>
      <c r="AN369" s="76" t="str">
        <f aca="false">IF(AM369="","",ROUND(BK369+SUMIFS(AM$6:AM369,BJ$6:BJ369,BJ369),2))</f>
        <v/>
      </c>
      <c r="AO369" s="78" t="str">
        <f aca="false">IF(AK369="","",ROUND(SUMIFS(AK$6:AK369,BJ$6:BJ369,BJ369),2))</f>
        <v/>
      </c>
      <c r="AP369" s="80" t="str">
        <f aca="false">IF(OR(AK369="",BL369=""),"",IFERROR(ROUND(IF(J369="Short",AB369-AE369,AE369-AB369)/BL369,1),""))</f>
        <v/>
      </c>
      <c r="AQ369" s="66" t="str">
        <f aca="false">IF(OR(G369="",H369=""),"",ROUND(MOD(H369-G369,1)*1440,0))</f>
        <v/>
      </c>
      <c r="AR369" s="68" t="str">
        <f aca="false">IF(AQ369="","",IF(AQ369&lt;15,"Under 15m",IF(AQ369&lt;60,"15-60m",IF(AQ369&lt;240,"1-4 hours","4+ hours"))))</f>
        <v/>
      </c>
      <c r="AS369" s="66" t="str">
        <f aca="false">IF(G369="","",HOUR(G369))</f>
        <v/>
      </c>
      <c r="AT369" s="80" t="str">
        <f aca="false">IF(OR(Z369="",AB369="",BL369=""),"",IFERROR(ROUND(IF(J369="Short",Z369-AB369,AB369-Z369)/BL369,1),""))</f>
        <v/>
      </c>
      <c r="AU369" s="68" t="str">
        <f aca="false">IF(OR(AA369="",AC369=""),"",IF(AA369=AC369,"No","Yes"))</f>
        <v/>
      </c>
      <c r="AV369" s="81" t="str">
        <f aca="false">IF(OR(B369="",BL369="",BM369="",AB369="",AC369=""),"",IFERROR(ROUND(AI369/(ABS(AB369-AC369)/BL369*BM369),2),""))</f>
        <v/>
      </c>
      <c r="AW369" s="76" t="str">
        <f aca="false">IF(B369="","",ROUND(BK369+SUMIFS(AM$5:AM368,BJ$5:BJ368,BJ369),2))</f>
        <v/>
      </c>
      <c r="AX369" s="66" t="str">
        <f aca="false">IF(B369="","",COUNTIFS(B$6:B369,B369,BJ$6:BJ369,BJ369))</f>
        <v/>
      </c>
      <c r="AY369" s="79" t="str">
        <f aca="false">IF(B369="","",ROUND(SUMIFS(AM$5:AM368,B$5:B368,B369,BJ$5:BJ368,BJ369),2))</f>
        <v/>
      </c>
      <c r="AZ369" s="79" t="str">
        <f aca="false">IF(AM369="","",ROUND(AY369+AM369,2))</f>
        <v/>
      </c>
      <c r="BA369" s="79" t="str">
        <f aca="false">IF(B369="","",ROUND(SUMIFS(AM$5:AM368,B$5:B368,"&gt;="&amp;(B369-WEEKDAY(B369,2)+1),B$5:B368,"&lt;="&amp;B369,BJ$5:BJ368,BJ369),2))</f>
        <v/>
      </c>
      <c r="BB369" s="68" t="str">
        <f aca="false">IF(B369="","",IF(AND(AF369&lt;&gt;"",AV369&lt;&gt;"",N(AF369)&gt;N(AV369)*(1+Settings!$C$13)),"Oversized",IF(AX369&gt;Settings!$C$10,"Overtraded",IF(AY369&lt;=-Settings!$C$11*(AW369-AY369),"Daily loss hit",IF(BA369&lt;=-Settings!$C$12*(AW369-BA369),"Weekly loss hit","OK")))))</f>
        <v/>
      </c>
      <c r="BC369" s="69"/>
      <c r="BD369" s="69"/>
      <c r="BE369" s="69"/>
      <c r="BF369" s="73"/>
      <c r="BG369" s="73"/>
      <c r="BH369" s="71"/>
      <c r="BI369" s="71"/>
      <c r="BJ369" s="68" t="str">
        <f aca="false">IF(B369="","",IF(E369="",Settings!$F$5,E369))</f>
        <v/>
      </c>
      <c r="BK369" s="76" t="str">
        <f aca="false">IF(B369="","",IFERROR(INDEX(Settings!$G$5:$G$10,MATCH(BJ369,Settings!$F$5:$F$10,0)),Settings!$G$5))</f>
        <v/>
      </c>
      <c r="BL369" s="82" t="str">
        <f aca="false">IF(I369="","",IFERROR(1/(1/INDEX(Lists!$C$6:$C$17,MATCH(I369,Lists!$B$6:$B$17,0))),""))</f>
        <v/>
      </c>
      <c r="BM369" s="81" t="str">
        <f aca="false">IF(I369="","",IFERROR(1/(1/INDEX(Lists!$D$6:$D$17,MATCH(I369,Lists!$B$6:$B$17,0))),""))</f>
        <v/>
      </c>
      <c r="BN369" s="76" t="str">
        <f aca="false">IF(AN369="","",MAX(BK369,_xlfn.MAXIFS(AN$6:AN369,BJ$6:BJ369,BJ369)))</f>
        <v/>
      </c>
      <c r="BO369" s="83" t="str">
        <f aca="false">IF(AN369="","",(AN369-BN369)/BN369)</f>
        <v/>
      </c>
      <c r="BP369" s="66" t="n">
        <f aca="false">IF(OR(B369="",AL369=""),0,IF(OR(Settings!$C$28="All Accounts",BJ369=Settings!$C$28),1,0))</f>
        <v>0</v>
      </c>
      <c r="BQ369" s="66" t="str">
        <f aca="false">IF(BP369=1,SUM(BP$6:BP369),"")</f>
        <v/>
      </c>
      <c r="BR369" s="76" t="str">
        <f aca="false">IF(BP369=1,ROUND(Settings!$C$29+SUMIFS(AM$6:AM369,BP$6:BP369,1),2),"")</f>
        <v/>
      </c>
      <c r="BS369" s="76" t="str">
        <f aca="false">IF(BP369=1,MAX(Settings!$C$29,MAX(BR$6:BR369)),"")</f>
        <v/>
      </c>
      <c r="BT369" s="83" t="str">
        <f aca="false">IF(BP369=1,(BR369-BS369)/BS369,"")</f>
        <v/>
      </c>
      <c r="BU369" s="66" t="str">
        <f aca="false">IF(BP369=1,IF(AL369="Win",1+IF(BQ369=1,0,INDEX(BU$5:BU368,MATCH(BQ369-1,BQ$5:BQ368,0))),0),"")</f>
        <v/>
      </c>
      <c r="BV369" s="66" t="str">
        <f aca="false">IF(BP369=1,IF(AL369="Loss",1+IF(BQ369=1,0,INDEX(BV$5:BV368,MATCH(BQ369-1,BQ$5:BQ368,0))),0),"")</f>
        <v/>
      </c>
    </row>
    <row r="370" customFormat="false" ht="15" hidden="false" customHeight="false" outlineLevel="0" collapsed="false">
      <c r="A370" s="66" t="str">
        <f aca="false">IF(B370="","",ROW()-5)</f>
        <v/>
      </c>
      <c r="B370" s="67"/>
      <c r="C370" s="68" t="str">
        <f aca="false">IF(B370="","",CHOOSE(WEEKDAY(B370,2),"Mon","Tue","Wed","Thu","Fri","Sat","Sun"))</f>
        <v/>
      </c>
      <c r="D370" s="66" t="str">
        <f aca="false">IF(B370="","",WEEKNUM(B370,2))</f>
        <v/>
      </c>
      <c r="E370" s="69"/>
      <c r="F370" s="69"/>
      <c r="G370" s="70"/>
      <c r="H370" s="70"/>
      <c r="I370" s="69"/>
      <c r="J370" s="69"/>
      <c r="K370" s="69"/>
      <c r="L370" s="71"/>
      <c r="M370" s="69"/>
      <c r="N370" s="69"/>
      <c r="O370" s="69"/>
      <c r="P370" s="71"/>
      <c r="Q370" s="69"/>
      <c r="R370" s="69"/>
      <c r="S370" s="69"/>
      <c r="T370" s="69"/>
      <c r="U370" s="69"/>
      <c r="V370" s="69"/>
      <c r="W370" s="69"/>
      <c r="X370" s="66" t="str">
        <f aca="false">IF(B370="","",COUNTIF(Q370:W370,"Yes"))</f>
        <v/>
      </c>
      <c r="Y370" s="68" t="str">
        <f aca="false">IF(B370="","",IF(X370&gt;=Settings!$C$16,"A+",IF(X370&gt;=Settings!$C$17,"A",IF(X370&gt;=Settings!$C$18,"B","C"))))</f>
        <v/>
      </c>
      <c r="Z370" s="72"/>
      <c r="AA370" s="72"/>
      <c r="AB370" s="72"/>
      <c r="AC370" s="72"/>
      <c r="AD370" s="72"/>
      <c r="AE370" s="72"/>
      <c r="AF370" s="73"/>
      <c r="AG370" s="74"/>
      <c r="AH370" s="75"/>
      <c r="AI370" s="76" t="str">
        <f aca="false">IF(B370="","",ROUND(IF(AG370="",Settings!$C$5,AG370)*AW370,2))</f>
        <v/>
      </c>
      <c r="AJ370" s="77" t="str">
        <f aca="false">IF(OR(B370="",AB370="",AC370="",AD370=""),"",IFERROR(ROUND(ABS(AD370-AB370)/ABS(AB370-AC370),2),""))</f>
        <v/>
      </c>
      <c r="AK370" s="78" t="str">
        <f aca="false">IF(OR(B370="",AB370="",AC370="",AE370=""),"",IFERROR(ROUND(IF(J370="Short",AB370-AE370,AE370-AB370)/ABS(AB370-AC370),2),""))</f>
        <v/>
      </c>
      <c r="AL370" s="68" t="str">
        <f aca="false">IF(AK370="","",IF(ABS(AK370)&lt;=Settings!$C$6,"BE",IF(AK370&gt;0,"Win","Loss")))</f>
        <v/>
      </c>
      <c r="AM370" s="79" t="str">
        <f aca="false">IF(OR(AK370="",AI370=""),"",ROUND(AK370*AI370-N(AH370),2))</f>
        <v/>
      </c>
      <c r="AN370" s="76" t="str">
        <f aca="false">IF(AM370="","",ROUND(BK370+SUMIFS(AM$6:AM370,BJ$6:BJ370,BJ370),2))</f>
        <v/>
      </c>
      <c r="AO370" s="78" t="str">
        <f aca="false">IF(AK370="","",ROUND(SUMIFS(AK$6:AK370,BJ$6:BJ370,BJ370),2))</f>
        <v/>
      </c>
      <c r="AP370" s="80" t="str">
        <f aca="false">IF(OR(AK370="",BL370=""),"",IFERROR(ROUND(IF(J370="Short",AB370-AE370,AE370-AB370)/BL370,1),""))</f>
        <v/>
      </c>
      <c r="AQ370" s="66" t="str">
        <f aca="false">IF(OR(G370="",H370=""),"",ROUND(MOD(H370-G370,1)*1440,0))</f>
        <v/>
      </c>
      <c r="AR370" s="68" t="str">
        <f aca="false">IF(AQ370="","",IF(AQ370&lt;15,"Under 15m",IF(AQ370&lt;60,"15-60m",IF(AQ370&lt;240,"1-4 hours","4+ hours"))))</f>
        <v/>
      </c>
      <c r="AS370" s="66" t="str">
        <f aca="false">IF(G370="","",HOUR(G370))</f>
        <v/>
      </c>
      <c r="AT370" s="80" t="str">
        <f aca="false">IF(OR(Z370="",AB370="",BL370=""),"",IFERROR(ROUND(IF(J370="Short",Z370-AB370,AB370-Z370)/BL370,1),""))</f>
        <v/>
      </c>
      <c r="AU370" s="68" t="str">
        <f aca="false">IF(OR(AA370="",AC370=""),"",IF(AA370=AC370,"No","Yes"))</f>
        <v/>
      </c>
      <c r="AV370" s="81" t="str">
        <f aca="false">IF(OR(B370="",BL370="",BM370="",AB370="",AC370=""),"",IFERROR(ROUND(AI370/(ABS(AB370-AC370)/BL370*BM370),2),""))</f>
        <v/>
      </c>
      <c r="AW370" s="76" t="str">
        <f aca="false">IF(B370="","",ROUND(BK370+SUMIFS(AM$5:AM369,BJ$5:BJ369,BJ370),2))</f>
        <v/>
      </c>
      <c r="AX370" s="66" t="str">
        <f aca="false">IF(B370="","",COUNTIFS(B$6:B370,B370,BJ$6:BJ370,BJ370))</f>
        <v/>
      </c>
      <c r="AY370" s="79" t="str">
        <f aca="false">IF(B370="","",ROUND(SUMIFS(AM$5:AM369,B$5:B369,B370,BJ$5:BJ369,BJ370),2))</f>
        <v/>
      </c>
      <c r="AZ370" s="79" t="str">
        <f aca="false">IF(AM370="","",ROUND(AY370+AM370,2))</f>
        <v/>
      </c>
      <c r="BA370" s="79" t="str">
        <f aca="false">IF(B370="","",ROUND(SUMIFS(AM$5:AM369,B$5:B369,"&gt;="&amp;(B370-WEEKDAY(B370,2)+1),B$5:B369,"&lt;="&amp;B370,BJ$5:BJ369,BJ370),2))</f>
        <v/>
      </c>
      <c r="BB370" s="68" t="str">
        <f aca="false">IF(B370="","",IF(AND(AF370&lt;&gt;"",AV370&lt;&gt;"",N(AF370)&gt;N(AV370)*(1+Settings!$C$13)),"Oversized",IF(AX370&gt;Settings!$C$10,"Overtraded",IF(AY370&lt;=-Settings!$C$11*(AW370-AY370),"Daily loss hit",IF(BA370&lt;=-Settings!$C$12*(AW370-BA370),"Weekly loss hit","OK")))))</f>
        <v/>
      </c>
      <c r="BC370" s="69"/>
      <c r="BD370" s="69"/>
      <c r="BE370" s="69"/>
      <c r="BF370" s="73"/>
      <c r="BG370" s="73"/>
      <c r="BH370" s="71"/>
      <c r="BI370" s="71"/>
      <c r="BJ370" s="68" t="str">
        <f aca="false">IF(B370="","",IF(E370="",Settings!$F$5,E370))</f>
        <v/>
      </c>
      <c r="BK370" s="76" t="str">
        <f aca="false">IF(B370="","",IFERROR(INDEX(Settings!$G$5:$G$10,MATCH(BJ370,Settings!$F$5:$F$10,0)),Settings!$G$5))</f>
        <v/>
      </c>
      <c r="BL370" s="82" t="str">
        <f aca="false">IF(I370="","",IFERROR(1/(1/INDEX(Lists!$C$6:$C$17,MATCH(I370,Lists!$B$6:$B$17,0))),""))</f>
        <v/>
      </c>
      <c r="BM370" s="81" t="str">
        <f aca="false">IF(I370="","",IFERROR(1/(1/INDEX(Lists!$D$6:$D$17,MATCH(I370,Lists!$B$6:$B$17,0))),""))</f>
        <v/>
      </c>
      <c r="BN370" s="76" t="str">
        <f aca="false">IF(AN370="","",MAX(BK370,_xlfn.MAXIFS(AN$6:AN370,BJ$6:BJ370,BJ370)))</f>
        <v/>
      </c>
      <c r="BO370" s="83" t="str">
        <f aca="false">IF(AN370="","",(AN370-BN370)/BN370)</f>
        <v/>
      </c>
      <c r="BP370" s="66" t="n">
        <f aca="false">IF(OR(B370="",AL370=""),0,IF(OR(Settings!$C$28="All Accounts",BJ370=Settings!$C$28),1,0))</f>
        <v>0</v>
      </c>
      <c r="BQ370" s="66" t="str">
        <f aca="false">IF(BP370=1,SUM(BP$6:BP370),"")</f>
        <v/>
      </c>
      <c r="BR370" s="76" t="str">
        <f aca="false">IF(BP370=1,ROUND(Settings!$C$29+SUMIFS(AM$6:AM370,BP$6:BP370,1),2),"")</f>
        <v/>
      </c>
      <c r="BS370" s="76" t="str">
        <f aca="false">IF(BP370=1,MAX(Settings!$C$29,MAX(BR$6:BR370)),"")</f>
        <v/>
      </c>
      <c r="BT370" s="83" t="str">
        <f aca="false">IF(BP370=1,(BR370-BS370)/BS370,"")</f>
        <v/>
      </c>
      <c r="BU370" s="66" t="str">
        <f aca="false">IF(BP370=1,IF(AL370="Win",1+IF(BQ370=1,0,INDEX(BU$5:BU369,MATCH(BQ370-1,BQ$5:BQ369,0))),0),"")</f>
        <v/>
      </c>
      <c r="BV370" s="66" t="str">
        <f aca="false">IF(BP370=1,IF(AL370="Loss",1+IF(BQ370=1,0,INDEX(BV$5:BV369,MATCH(BQ370-1,BQ$5:BQ369,0))),0),"")</f>
        <v/>
      </c>
    </row>
    <row r="371" customFormat="false" ht="15" hidden="false" customHeight="false" outlineLevel="0" collapsed="false">
      <c r="A371" s="66" t="str">
        <f aca="false">IF(B371="","",ROW()-5)</f>
        <v/>
      </c>
      <c r="B371" s="67"/>
      <c r="C371" s="68" t="str">
        <f aca="false">IF(B371="","",CHOOSE(WEEKDAY(B371,2),"Mon","Tue","Wed","Thu","Fri","Sat","Sun"))</f>
        <v/>
      </c>
      <c r="D371" s="66" t="str">
        <f aca="false">IF(B371="","",WEEKNUM(B371,2))</f>
        <v/>
      </c>
      <c r="E371" s="69"/>
      <c r="F371" s="69"/>
      <c r="G371" s="70"/>
      <c r="H371" s="70"/>
      <c r="I371" s="69"/>
      <c r="J371" s="69"/>
      <c r="K371" s="69"/>
      <c r="L371" s="71"/>
      <c r="M371" s="69"/>
      <c r="N371" s="69"/>
      <c r="O371" s="69"/>
      <c r="P371" s="71"/>
      <c r="Q371" s="69"/>
      <c r="R371" s="69"/>
      <c r="S371" s="69"/>
      <c r="T371" s="69"/>
      <c r="U371" s="69"/>
      <c r="V371" s="69"/>
      <c r="W371" s="69"/>
      <c r="X371" s="66" t="str">
        <f aca="false">IF(B371="","",COUNTIF(Q371:W371,"Yes"))</f>
        <v/>
      </c>
      <c r="Y371" s="68" t="str">
        <f aca="false">IF(B371="","",IF(X371&gt;=Settings!$C$16,"A+",IF(X371&gt;=Settings!$C$17,"A",IF(X371&gt;=Settings!$C$18,"B","C"))))</f>
        <v/>
      </c>
      <c r="Z371" s="72"/>
      <c r="AA371" s="72"/>
      <c r="AB371" s="72"/>
      <c r="AC371" s="72"/>
      <c r="AD371" s="72"/>
      <c r="AE371" s="72"/>
      <c r="AF371" s="73"/>
      <c r="AG371" s="74"/>
      <c r="AH371" s="75"/>
      <c r="AI371" s="76" t="str">
        <f aca="false">IF(B371="","",ROUND(IF(AG371="",Settings!$C$5,AG371)*AW371,2))</f>
        <v/>
      </c>
      <c r="AJ371" s="77" t="str">
        <f aca="false">IF(OR(B371="",AB371="",AC371="",AD371=""),"",IFERROR(ROUND(ABS(AD371-AB371)/ABS(AB371-AC371),2),""))</f>
        <v/>
      </c>
      <c r="AK371" s="78" t="str">
        <f aca="false">IF(OR(B371="",AB371="",AC371="",AE371=""),"",IFERROR(ROUND(IF(J371="Short",AB371-AE371,AE371-AB371)/ABS(AB371-AC371),2),""))</f>
        <v/>
      </c>
      <c r="AL371" s="68" t="str">
        <f aca="false">IF(AK371="","",IF(ABS(AK371)&lt;=Settings!$C$6,"BE",IF(AK371&gt;0,"Win","Loss")))</f>
        <v/>
      </c>
      <c r="AM371" s="79" t="str">
        <f aca="false">IF(OR(AK371="",AI371=""),"",ROUND(AK371*AI371-N(AH371),2))</f>
        <v/>
      </c>
      <c r="AN371" s="76" t="str">
        <f aca="false">IF(AM371="","",ROUND(BK371+SUMIFS(AM$6:AM371,BJ$6:BJ371,BJ371),2))</f>
        <v/>
      </c>
      <c r="AO371" s="78" t="str">
        <f aca="false">IF(AK371="","",ROUND(SUMIFS(AK$6:AK371,BJ$6:BJ371,BJ371),2))</f>
        <v/>
      </c>
      <c r="AP371" s="80" t="str">
        <f aca="false">IF(OR(AK371="",BL371=""),"",IFERROR(ROUND(IF(J371="Short",AB371-AE371,AE371-AB371)/BL371,1),""))</f>
        <v/>
      </c>
      <c r="AQ371" s="66" t="str">
        <f aca="false">IF(OR(G371="",H371=""),"",ROUND(MOD(H371-G371,1)*1440,0))</f>
        <v/>
      </c>
      <c r="AR371" s="68" t="str">
        <f aca="false">IF(AQ371="","",IF(AQ371&lt;15,"Under 15m",IF(AQ371&lt;60,"15-60m",IF(AQ371&lt;240,"1-4 hours","4+ hours"))))</f>
        <v/>
      </c>
      <c r="AS371" s="66" t="str">
        <f aca="false">IF(G371="","",HOUR(G371))</f>
        <v/>
      </c>
      <c r="AT371" s="80" t="str">
        <f aca="false">IF(OR(Z371="",AB371="",BL371=""),"",IFERROR(ROUND(IF(J371="Short",Z371-AB371,AB371-Z371)/BL371,1),""))</f>
        <v/>
      </c>
      <c r="AU371" s="68" t="str">
        <f aca="false">IF(OR(AA371="",AC371=""),"",IF(AA371=AC371,"No","Yes"))</f>
        <v/>
      </c>
      <c r="AV371" s="81" t="str">
        <f aca="false">IF(OR(B371="",BL371="",BM371="",AB371="",AC371=""),"",IFERROR(ROUND(AI371/(ABS(AB371-AC371)/BL371*BM371),2),""))</f>
        <v/>
      </c>
      <c r="AW371" s="76" t="str">
        <f aca="false">IF(B371="","",ROUND(BK371+SUMIFS(AM$5:AM370,BJ$5:BJ370,BJ371),2))</f>
        <v/>
      </c>
      <c r="AX371" s="66" t="str">
        <f aca="false">IF(B371="","",COUNTIFS(B$6:B371,B371,BJ$6:BJ371,BJ371))</f>
        <v/>
      </c>
      <c r="AY371" s="79" t="str">
        <f aca="false">IF(B371="","",ROUND(SUMIFS(AM$5:AM370,B$5:B370,B371,BJ$5:BJ370,BJ371),2))</f>
        <v/>
      </c>
      <c r="AZ371" s="79" t="str">
        <f aca="false">IF(AM371="","",ROUND(AY371+AM371,2))</f>
        <v/>
      </c>
      <c r="BA371" s="79" t="str">
        <f aca="false">IF(B371="","",ROUND(SUMIFS(AM$5:AM370,B$5:B370,"&gt;="&amp;(B371-WEEKDAY(B371,2)+1),B$5:B370,"&lt;="&amp;B371,BJ$5:BJ370,BJ371),2))</f>
        <v/>
      </c>
      <c r="BB371" s="68" t="str">
        <f aca="false">IF(B371="","",IF(AND(AF371&lt;&gt;"",AV371&lt;&gt;"",N(AF371)&gt;N(AV371)*(1+Settings!$C$13)),"Oversized",IF(AX371&gt;Settings!$C$10,"Overtraded",IF(AY371&lt;=-Settings!$C$11*(AW371-AY371),"Daily loss hit",IF(BA371&lt;=-Settings!$C$12*(AW371-BA371),"Weekly loss hit","OK")))))</f>
        <v/>
      </c>
      <c r="BC371" s="69"/>
      <c r="BD371" s="69"/>
      <c r="BE371" s="69"/>
      <c r="BF371" s="73"/>
      <c r="BG371" s="73"/>
      <c r="BH371" s="71"/>
      <c r="BI371" s="71"/>
      <c r="BJ371" s="68" t="str">
        <f aca="false">IF(B371="","",IF(E371="",Settings!$F$5,E371))</f>
        <v/>
      </c>
      <c r="BK371" s="76" t="str">
        <f aca="false">IF(B371="","",IFERROR(INDEX(Settings!$G$5:$G$10,MATCH(BJ371,Settings!$F$5:$F$10,0)),Settings!$G$5))</f>
        <v/>
      </c>
      <c r="BL371" s="82" t="str">
        <f aca="false">IF(I371="","",IFERROR(1/(1/INDEX(Lists!$C$6:$C$17,MATCH(I371,Lists!$B$6:$B$17,0))),""))</f>
        <v/>
      </c>
      <c r="BM371" s="81" t="str">
        <f aca="false">IF(I371="","",IFERROR(1/(1/INDEX(Lists!$D$6:$D$17,MATCH(I371,Lists!$B$6:$B$17,0))),""))</f>
        <v/>
      </c>
      <c r="BN371" s="76" t="str">
        <f aca="false">IF(AN371="","",MAX(BK371,_xlfn.MAXIFS(AN$6:AN371,BJ$6:BJ371,BJ371)))</f>
        <v/>
      </c>
      <c r="BO371" s="83" t="str">
        <f aca="false">IF(AN371="","",(AN371-BN371)/BN371)</f>
        <v/>
      </c>
      <c r="BP371" s="66" t="n">
        <f aca="false">IF(OR(B371="",AL371=""),0,IF(OR(Settings!$C$28="All Accounts",BJ371=Settings!$C$28),1,0))</f>
        <v>0</v>
      </c>
      <c r="BQ371" s="66" t="str">
        <f aca="false">IF(BP371=1,SUM(BP$6:BP371),"")</f>
        <v/>
      </c>
      <c r="BR371" s="76" t="str">
        <f aca="false">IF(BP371=1,ROUND(Settings!$C$29+SUMIFS(AM$6:AM371,BP$6:BP371,1),2),"")</f>
        <v/>
      </c>
      <c r="BS371" s="76" t="str">
        <f aca="false">IF(BP371=1,MAX(Settings!$C$29,MAX(BR$6:BR371)),"")</f>
        <v/>
      </c>
      <c r="BT371" s="83" t="str">
        <f aca="false">IF(BP371=1,(BR371-BS371)/BS371,"")</f>
        <v/>
      </c>
      <c r="BU371" s="66" t="str">
        <f aca="false">IF(BP371=1,IF(AL371="Win",1+IF(BQ371=1,0,INDEX(BU$5:BU370,MATCH(BQ371-1,BQ$5:BQ370,0))),0),"")</f>
        <v/>
      </c>
      <c r="BV371" s="66" t="str">
        <f aca="false">IF(BP371=1,IF(AL371="Loss",1+IF(BQ371=1,0,INDEX(BV$5:BV370,MATCH(BQ371-1,BQ$5:BQ370,0))),0),"")</f>
        <v/>
      </c>
    </row>
    <row r="372" customFormat="false" ht="15" hidden="false" customHeight="false" outlineLevel="0" collapsed="false">
      <c r="A372" s="66" t="str">
        <f aca="false">IF(B372="","",ROW()-5)</f>
        <v/>
      </c>
      <c r="B372" s="67"/>
      <c r="C372" s="68" t="str">
        <f aca="false">IF(B372="","",CHOOSE(WEEKDAY(B372,2),"Mon","Tue","Wed","Thu","Fri","Sat","Sun"))</f>
        <v/>
      </c>
      <c r="D372" s="66" t="str">
        <f aca="false">IF(B372="","",WEEKNUM(B372,2))</f>
        <v/>
      </c>
      <c r="E372" s="69"/>
      <c r="F372" s="69"/>
      <c r="G372" s="70"/>
      <c r="H372" s="70"/>
      <c r="I372" s="69"/>
      <c r="J372" s="69"/>
      <c r="K372" s="69"/>
      <c r="L372" s="71"/>
      <c r="M372" s="69"/>
      <c r="N372" s="69"/>
      <c r="O372" s="69"/>
      <c r="P372" s="71"/>
      <c r="Q372" s="69"/>
      <c r="R372" s="69"/>
      <c r="S372" s="69"/>
      <c r="T372" s="69"/>
      <c r="U372" s="69"/>
      <c r="V372" s="69"/>
      <c r="W372" s="69"/>
      <c r="X372" s="66" t="str">
        <f aca="false">IF(B372="","",COUNTIF(Q372:W372,"Yes"))</f>
        <v/>
      </c>
      <c r="Y372" s="68" t="str">
        <f aca="false">IF(B372="","",IF(X372&gt;=Settings!$C$16,"A+",IF(X372&gt;=Settings!$C$17,"A",IF(X372&gt;=Settings!$C$18,"B","C"))))</f>
        <v/>
      </c>
      <c r="Z372" s="72"/>
      <c r="AA372" s="72"/>
      <c r="AB372" s="72"/>
      <c r="AC372" s="72"/>
      <c r="AD372" s="72"/>
      <c r="AE372" s="72"/>
      <c r="AF372" s="73"/>
      <c r="AG372" s="74"/>
      <c r="AH372" s="75"/>
      <c r="AI372" s="76" t="str">
        <f aca="false">IF(B372="","",ROUND(IF(AG372="",Settings!$C$5,AG372)*AW372,2))</f>
        <v/>
      </c>
      <c r="AJ372" s="77" t="str">
        <f aca="false">IF(OR(B372="",AB372="",AC372="",AD372=""),"",IFERROR(ROUND(ABS(AD372-AB372)/ABS(AB372-AC372),2),""))</f>
        <v/>
      </c>
      <c r="AK372" s="78" t="str">
        <f aca="false">IF(OR(B372="",AB372="",AC372="",AE372=""),"",IFERROR(ROUND(IF(J372="Short",AB372-AE372,AE372-AB372)/ABS(AB372-AC372),2),""))</f>
        <v/>
      </c>
      <c r="AL372" s="68" t="str">
        <f aca="false">IF(AK372="","",IF(ABS(AK372)&lt;=Settings!$C$6,"BE",IF(AK372&gt;0,"Win","Loss")))</f>
        <v/>
      </c>
      <c r="AM372" s="79" t="str">
        <f aca="false">IF(OR(AK372="",AI372=""),"",ROUND(AK372*AI372-N(AH372),2))</f>
        <v/>
      </c>
      <c r="AN372" s="76" t="str">
        <f aca="false">IF(AM372="","",ROUND(BK372+SUMIFS(AM$6:AM372,BJ$6:BJ372,BJ372),2))</f>
        <v/>
      </c>
      <c r="AO372" s="78" t="str">
        <f aca="false">IF(AK372="","",ROUND(SUMIFS(AK$6:AK372,BJ$6:BJ372,BJ372),2))</f>
        <v/>
      </c>
      <c r="AP372" s="80" t="str">
        <f aca="false">IF(OR(AK372="",BL372=""),"",IFERROR(ROUND(IF(J372="Short",AB372-AE372,AE372-AB372)/BL372,1),""))</f>
        <v/>
      </c>
      <c r="AQ372" s="66" t="str">
        <f aca="false">IF(OR(G372="",H372=""),"",ROUND(MOD(H372-G372,1)*1440,0))</f>
        <v/>
      </c>
      <c r="AR372" s="68" t="str">
        <f aca="false">IF(AQ372="","",IF(AQ372&lt;15,"Under 15m",IF(AQ372&lt;60,"15-60m",IF(AQ372&lt;240,"1-4 hours","4+ hours"))))</f>
        <v/>
      </c>
      <c r="AS372" s="66" t="str">
        <f aca="false">IF(G372="","",HOUR(G372))</f>
        <v/>
      </c>
      <c r="AT372" s="80" t="str">
        <f aca="false">IF(OR(Z372="",AB372="",BL372=""),"",IFERROR(ROUND(IF(J372="Short",Z372-AB372,AB372-Z372)/BL372,1),""))</f>
        <v/>
      </c>
      <c r="AU372" s="68" t="str">
        <f aca="false">IF(OR(AA372="",AC372=""),"",IF(AA372=AC372,"No","Yes"))</f>
        <v/>
      </c>
      <c r="AV372" s="81" t="str">
        <f aca="false">IF(OR(B372="",BL372="",BM372="",AB372="",AC372=""),"",IFERROR(ROUND(AI372/(ABS(AB372-AC372)/BL372*BM372),2),""))</f>
        <v/>
      </c>
      <c r="AW372" s="76" t="str">
        <f aca="false">IF(B372="","",ROUND(BK372+SUMIFS(AM$5:AM371,BJ$5:BJ371,BJ372),2))</f>
        <v/>
      </c>
      <c r="AX372" s="66" t="str">
        <f aca="false">IF(B372="","",COUNTIFS(B$6:B372,B372,BJ$6:BJ372,BJ372))</f>
        <v/>
      </c>
      <c r="AY372" s="79" t="str">
        <f aca="false">IF(B372="","",ROUND(SUMIFS(AM$5:AM371,B$5:B371,B372,BJ$5:BJ371,BJ372),2))</f>
        <v/>
      </c>
      <c r="AZ372" s="79" t="str">
        <f aca="false">IF(AM372="","",ROUND(AY372+AM372,2))</f>
        <v/>
      </c>
      <c r="BA372" s="79" t="str">
        <f aca="false">IF(B372="","",ROUND(SUMIFS(AM$5:AM371,B$5:B371,"&gt;="&amp;(B372-WEEKDAY(B372,2)+1),B$5:B371,"&lt;="&amp;B372,BJ$5:BJ371,BJ372),2))</f>
        <v/>
      </c>
      <c r="BB372" s="68" t="str">
        <f aca="false">IF(B372="","",IF(AND(AF372&lt;&gt;"",AV372&lt;&gt;"",N(AF372)&gt;N(AV372)*(1+Settings!$C$13)),"Oversized",IF(AX372&gt;Settings!$C$10,"Overtraded",IF(AY372&lt;=-Settings!$C$11*(AW372-AY372),"Daily loss hit",IF(BA372&lt;=-Settings!$C$12*(AW372-BA372),"Weekly loss hit","OK")))))</f>
        <v/>
      </c>
      <c r="BC372" s="69"/>
      <c r="BD372" s="69"/>
      <c r="BE372" s="69"/>
      <c r="BF372" s="73"/>
      <c r="BG372" s="73"/>
      <c r="BH372" s="71"/>
      <c r="BI372" s="71"/>
      <c r="BJ372" s="68" t="str">
        <f aca="false">IF(B372="","",IF(E372="",Settings!$F$5,E372))</f>
        <v/>
      </c>
      <c r="BK372" s="76" t="str">
        <f aca="false">IF(B372="","",IFERROR(INDEX(Settings!$G$5:$G$10,MATCH(BJ372,Settings!$F$5:$F$10,0)),Settings!$G$5))</f>
        <v/>
      </c>
      <c r="BL372" s="82" t="str">
        <f aca="false">IF(I372="","",IFERROR(1/(1/INDEX(Lists!$C$6:$C$17,MATCH(I372,Lists!$B$6:$B$17,0))),""))</f>
        <v/>
      </c>
      <c r="BM372" s="81" t="str">
        <f aca="false">IF(I372="","",IFERROR(1/(1/INDEX(Lists!$D$6:$D$17,MATCH(I372,Lists!$B$6:$B$17,0))),""))</f>
        <v/>
      </c>
      <c r="BN372" s="76" t="str">
        <f aca="false">IF(AN372="","",MAX(BK372,_xlfn.MAXIFS(AN$6:AN372,BJ$6:BJ372,BJ372)))</f>
        <v/>
      </c>
      <c r="BO372" s="83" t="str">
        <f aca="false">IF(AN372="","",(AN372-BN372)/BN372)</f>
        <v/>
      </c>
      <c r="BP372" s="66" t="n">
        <f aca="false">IF(OR(B372="",AL372=""),0,IF(OR(Settings!$C$28="All Accounts",BJ372=Settings!$C$28),1,0))</f>
        <v>0</v>
      </c>
      <c r="BQ372" s="66" t="str">
        <f aca="false">IF(BP372=1,SUM(BP$6:BP372),"")</f>
        <v/>
      </c>
      <c r="BR372" s="76" t="str">
        <f aca="false">IF(BP372=1,ROUND(Settings!$C$29+SUMIFS(AM$6:AM372,BP$6:BP372,1),2),"")</f>
        <v/>
      </c>
      <c r="BS372" s="76" t="str">
        <f aca="false">IF(BP372=1,MAX(Settings!$C$29,MAX(BR$6:BR372)),"")</f>
        <v/>
      </c>
      <c r="BT372" s="83" t="str">
        <f aca="false">IF(BP372=1,(BR372-BS372)/BS372,"")</f>
        <v/>
      </c>
      <c r="BU372" s="66" t="str">
        <f aca="false">IF(BP372=1,IF(AL372="Win",1+IF(BQ372=1,0,INDEX(BU$5:BU371,MATCH(BQ372-1,BQ$5:BQ371,0))),0),"")</f>
        <v/>
      </c>
      <c r="BV372" s="66" t="str">
        <f aca="false">IF(BP372=1,IF(AL372="Loss",1+IF(BQ372=1,0,INDEX(BV$5:BV371,MATCH(BQ372-1,BQ$5:BQ371,0))),0),"")</f>
        <v/>
      </c>
    </row>
    <row r="373" customFormat="false" ht="15" hidden="false" customHeight="false" outlineLevel="0" collapsed="false">
      <c r="A373" s="66" t="str">
        <f aca="false">IF(B373="","",ROW()-5)</f>
        <v/>
      </c>
      <c r="B373" s="67"/>
      <c r="C373" s="68" t="str">
        <f aca="false">IF(B373="","",CHOOSE(WEEKDAY(B373,2),"Mon","Tue","Wed","Thu","Fri","Sat","Sun"))</f>
        <v/>
      </c>
      <c r="D373" s="66" t="str">
        <f aca="false">IF(B373="","",WEEKNUM(B373,2))</f>
        <v/>
      </c>
      <c r="E373" s="69"/>
      <c r="F373" s="69"/>
      <c r="G373" s="70"/>
      <c r="H373" s="70"/>
      <c r="I373" s="69"/>
      <c r="J373" s="69"/>
      <c r="K373" s="69"/>
      <c r="L373" s="71"/>
      <c r="M373" s="69"/>
      <c r="N373" s="69"/>
      <c r="O373" s="69"/>
      <c r="P373" s="71"/>
      <c r="Q373" s="69"/>
      <c r="R373" s="69"/>
      <c r="S373" s="69"/>
      <c r="T373" s="69"/>
      <c r="U373" s="69"/>
      <c r="V373" s="69"/>
      <c r="W373" s="69"/>
      <c r="X373" s="66" t="str">
        <f aca="false">IF(B373="","",COUNTIF(Q373:W373,"Yes"))</f>
        <v/>
      </c>
      <c r="Y373" s="68" t="str">
        <f aca="false">IF(B373="","",IF(X373&gt;=Settings!$C$16,"A+",IF(X373&gt;=Settings!$C$17,"A",IF(X373&gt;=Settings!$C$18,"B","C"))))</f>
        <v/>
      </c>
      <c r="Z373" s="72"/>
      <c r="AA373" s="72"/>
      <c r="AB373" s="72"/>
      <c r="AC373" s="72"/>
      <c r="AD373" s="72"/>
      <c r="AE373" s="72"/>
      <c r="AF373" s="73"/>
      <c r="AG373" s="74"/>
      <c r="AH373" s="75"/>
      <c r="AI373" s="76" t="str">
        <f aca="false">IF(B373="","",ROUND(IF(AG373="",Settings!$C$5,AG373)*AW373,2))</f>
        <v/>
      </c>
      <c r="AJ373" s="77" t="str">
        <f aca="false">IF(OR(B373="",AB373="",AC373="",AD373=""),"",IFERROR(ROUND(ABS(AD373-AB373)/ABS(AB373-AC373),2),""))</f>
        <v/>
      </c>
      <c r="AK373" s="78" t="str">
        <f aca="false">IF(OR(B373="",AB373="",AC373="",AE373=""),"",IFERROR(ROUND(IF(J373="Short",AB373-AE373,AE373-AB373)/ABS(AB373-AC373),2),""))</f>
        <v/>
      </c>
      <c r="AL373" s="68" t="str">
        <f aca="false">IF(AK373="","",IF(ABS(AK373)&lt;=Settings!$C$6,"BE",IF(AK373&gt;0,"Win","Loss")))</f>
        <v/>
      </c>
      <c r="AM373" s="79" t="str">
        <f aca="false">IF(OR(AK373="",AI373=""),"",ROUND(AK373*AI373-N(AH373),2))</f>
        <v/>
      </c>
      <c r="AN373" s="76" t="str">
        <f aca="false">IF(AM373="","",ROUND(BK373+SUMIFS(AM$6:AM373,BJ$6:BJ373,BJ373),2))</f>
        <v/>
      </c>
      <c r="AO373" s="78" t="str">
        <f aca="false">IF(AK373="","",ROUND(SUMIFS(AK$6:AK373,BJ$6:BJ373,BJ373),2))</f>
        <v/>
      </c>
      <c r="AP373" s="80" t="str">
        <f aca="false">IF(OR(AK373="",BL373=""),"",IFERROR(ROUND(IF(J373="Short",AB373-AE373,AE373-AB373)/BL373,1),""))</f>
        <v/>
      </c>
      <c r="AQ373" s="66" t="str">
        <f aca="false">IF(OR(G373="",H373=""),"",ROUND(MOD(H373-G373,1)*1440,0))</f>
        <v/>
      </c>
      <c r="AR373" s="68" t="str">
        <f aca="false">IF(AQ373="","",IF(AQ373&lt;15,"Under 15m",IF(AQ373&lt;60,"15-60m",IF(AQ373&lt;240,"1-4 hours","4+ hours"))))</f>
        <v/>
      </c>
      <c r="AS373" s="66" t="str">
        <f aca="false">IF(G373="","",HOUR(G373))</f>
        <v/>
      </c>
      <c r="AT373" s="80" t="str">
        <f aca="false">IF(OR(Z373="",AB373="",BL373=""),"",IFERROR(ROUND(IF(J373="Short",Z373-AB373,AB373-Z373)/BL373,1),""))</f>
        <v/>
      </c>
      <c r="AU373" s="68" t="str">
        <f aca="false">IF(OR(AA373="",AC373=""),"",IF(AA373=AC373,"No","Yes"))</f>
        <v/>
      </c>
      <c r="AV373" s="81" t="str">
        <f aca="false">IF(OR(B373="",BL373="",BM373="",AB373="",AC373=""),"",IFERROR(ROUND(AI373/(ABS(AB373-AC373)/BL373*BM373),2),""))</f>
        <v/>
      </c>
      <c r="AW373" s="76" t="str">
        <f aca="false">IF(B373="","",ROUND(BK373+SUMIFS(AM$5:AM372,BJ$5:BJ372,BJ373),2))</f>
        <v/>
      </c>
      <c r="AX373" s="66" t="str">
        <f aca="false">IF(B373="","",COUNTIFS(B$6:B373,B373,BJ$6:BJ373,BJ373))</f>
        <v/>
      </c>
      <c r="AY373" s="79" t="str">
        <f aca="false">IF(B373="","",ROUND(SUMIFS(AM$5:AM372,B$5:B372,B373,BJ$5:BJ372,BJ373),2))</f>
        <v/>
      </c>
      <c r="AZ373" s="79" t="str">
        <f aca="false">IF(AM373="","",ROUND(AY373+AM373,2))</f>
        <v/>
      </c>
      <c r="BA373" s="79" t="str">
        <f aca="false">IF(B373="","",ROUND(SUMIFS(AM$5:AM372,B$5:B372,"&gt;="&amp;(B373-WEEKDAY(B373,2)+1),B$5:B372,"&lt;="&amp;B373,BJ$5:BJ372,BJ373),2))</f>
        <v/>
      </c>
      <c r="BB373" s="68" t="str">
        <f aca="false">IF(B373="","",IF(AND(AF373&lt;&gt;"",AV373&lt;&gt;"",N(AF373)&gt;N(AV373)*(1+Settings!$C$13)),"Oversized",IF(AX373&gt;Settings!$C$10,"Overtraded",IF(AY373&lt;=-Settings!$C$11*(AW373-AY373),"Daily loss hit",IF(BA373&lt;=-Settings!$C$12*(AW373-BA373),"Weekly loss hit","OK")))))</f>
        <v/>
      </c>
      <c r="BC373" s="69"/>
      <c r="BD373" s="69"/>
      <c r="BE373" s="69"/>
      <c r="BF373" s="73"/>
      <c r="BG373" s="73"/>
      <c r="BH373" s="71"/>
      <c r="BI373" s="71"/>
      <c r="BJ373" s="68" t="str">
        <f aca="false">IF(B373="","",IF(E373="",Settings!$F$5,E373))</f>
        <v/>
      </c>
      <c r="BK373" s="76" t="str">
        <f aca="false">IF(B373="","",IFERROR(INDEX(Settings!$G$5:$G$10,MATCH(BJ373,Settings!$F$5:$F$10,0)),Settings!$G$5))</f>
        <v/>
      </c>
      <c r="BL373" s="82" t="str">
        <f aca="false">IF(I373="","",IFERROR(1/(1/INDEX(Lists!$C$6:$C$17,MATCH(I373,Lists!$B$6:$B$17,0))),""))</f>
        <v/>
      </c>
      <c r="BM373" s="81" t="str">
        <f aca="false">IF(I373="","",IFERROR(1/(1/INDEX(Lists!$D$6:$D$17,MATCH(I373,Lists!$B$6:$B$17,0))),""))</f>
        <v/>
      </c>
      <c r="BN373" s="76" t="str">
        <f aca="false">IF(AN373="","",MAX(BK373,_xlfn.MAXIFS(AN$6:AN373,BJ$6:BJ373,BJ373)))</f>
        <v/>
      </c>
      <c r="BO373" s="83" t="str">
        <f aca="false">IF(AN373="","",(AN373-BN373)/BN373)</f>
        <v/>
      </c>
      <c r="BP373" s="66" t="n">
        <f aca="false">IF(OR(B373="",AL373=""),0,IF(OR(Settings!$C$28="All Accounts",BJ373=Settings!$C$28),1,0))</f>
        <v>0</v>
      </c>
      <c r="BQ373" s="66" t="str">
        <f aca="false">IF(BP373=1,SUM(BP$6:BP373),"")</f>
        <v/>
      </c>
      <c r="BR373" s="76" t="str">
        <f aca="false">IF(BP373=1,ROUND(Settings!$C$29+SUMIFS(AM$6:AM373,BP$6:BP373,1),2),"")</f>
        <v/>
      </c>
      <c r="BS373" s="76" t="str">
        <f aca="false">IF(BP373=1,MAX(Settings!$C$29,MAX(BR$6:BR373)),"")</f>
        <v/>
      </c>
      <c r="BT373" s="83" t="str">
        <f aca="false">IF(BP373=1,(BR373-BS373)/BS373,"")</f>
        <v/>
      </c>
      <c r="BU373" s="66" t="str">
        <f aca="false">IF(BP373=1,IF(AL373="Win",1+IF(BQ373=1,0,INDEX(BU$5:BU372,MATCH(BQ373-1,BQ$5:BQ372,0))),0),"")</f>
        <v/>
      </c>
      <c r="BV373" s="66" t="str">
        <f aca="false">IF(BP373=1,IF(AL373="Loss",1+IF(BQ373=1,0,INDEX(BV$5:BV372,MATCH(BQ373-1,BQ$5:BQ372,0))),0),"")</f>
        <v/>
      </c>
    </row>
    <row r="374" customFormat="false" ht="15" hidden="false" customHeight="false" outlineLevel="0" collapsed="false">
      <c r="A374" s="66" t="str">
        <f aca="false">IF(B374="","",ROW()-5)</f>
        <v/>
      </c>
      <c r="B374" s="67"/>
      <c r="C374" s="68" t="str">
        <f aca="false">IF(B374="","",CHOOSE(WEEKDAY(B374,2),"Mon","Tue","Wed","Thu","Fri","Sat","Sun"))</f>
        <v/>
      </c>
      <c r="D374" s="66" t="str">
        <f aca="false">IF(B374="","",WEEKNUM(B374,2))</f>
        <v/>
      </c>
      <c r="E374" s="69"/>
      <c r="F374" s="69"/>
      <c r="G374" s="70"/>
      <c r="H374" s="70"/>
      <c r="I374" s="69"/>
      <c r="J374" s="69"/>
      <c r="K374" s="69"/>
      <c r="L374" s="71"/>
      <c r="M374" s="69"/>
      <c r="N374" s="69"/>
      <c r="O374" s="69"/>
      <c r="P374" s="71"/>
      <c r="Q374" s="69"/>
      <c r="R374" s="69"/>
      <c r="S374" s="69"/>
      <c r="T374" s="69"/>
      <c r="U374" s="69"/>
      <c r="V374" s="69"/>
      <c r="W374" s="69"/>
      <c r="X374" s="66" t="str">
        <f aca="false">IF(B374="","",COUNTIF(Q374:W374,"Yes"))</f>
        <v/>
      </c>
      <c r="Y374" s="68" t="str">
        <f aca="false">IF(B374="","",IF(X374&gt;=Settings!$C$16,"A+",IF(X374&gt;=Settings!$C$17,"A",IF(X374&gt;=Settings!$C$18,"B","C"))))</f>
        <v/>
      </c>
      <c r="Z374" s="72"/>
      <c r="AA374" s="72"/>
      <c r="AB374" s="72"/>
      <c r="AC374" s="72"/>
      <c r="AD374" s="72"/>
      <c r="AE374" s="72"/>
      <c r="AF374" s="73"/>
      <c r="AG374" s="74"/>
      <c r="AH374" s="75"/>
      <c r="AI374" s="76" t="str">
        <f aca="false">IF(B374="","",ROUND(IF(AG374="",Settings!$C$5,AG374)*AW374,2))</f>
        <v/>
      </c>
      <c r="AJ374" s="77" t="str">
        <f aca="false">IF(OR(B374="",AB374="",AC374="",AD374=""),"",IFERROR(ROUND(ABS(AD374-AB374)/ABS(AB374-AC374),2),""))</f>
        <v/>
      </c>
      <c r="AK374" s="78" t="str">
        <f aca="false">IF(OR(B374="",AB374="",AC374="",AE374=""),"",IFERROR(ROUND(IF(J374="Short",AB374-AE374,AE374-AB374)/ABS(AB374-AC374),2),""))</f>
        <v/>
      </c>
      <c r="AL374" s="68" t="str">
        <f aca="false">IF(AK374="","",IF(ABS(AK374)&lt;=Settings!$C$6,"BE",IF(AK374&gt;0,"Win","Loss")))</f>
        <v/>
      </c>
      <c r="AM374" s="79" t="str">
        <f aca="false">IF(OR(AK374="",AI374=""),"",ROUND(AK374*AI374-N(AH374),2))</f>
        <v/>
      </c>
      <c r="AN374" s="76" t="str">
        <f aca="false">IF(AM374="","",ROUND(BK374+SUMIFS(AM$6:AM374,BJ$6:BJ374,BJ374),2))</f>
        <v/>
      </c>
      <c r="AO374" s="78" t="str">
        <f aca="false">IF(AK374="","",ROUND(SUMIFS(AK$6:AK374,BJ$6:BJ374,BJ374),2))</f>
        <v/>
      </c>
      <c r="AP374" s="80" t="str">
        <f aca="false">IF(OR(AK374="",BL374=""),"",IFERROR(ROUND(IF(J374="Short",AB374-AE374,AE374-AB374)/BL374,1),""))</f>
        <v/>
      </c>
      <c r="AQ374" s="66" t="str">
        <f aca="false">IF(OR(G374="",H374=""),"",ROUND(MOD(H374-G374,1)*1440,0))</f>
        <v/>
      </c>
      <c r="AR374" s="68" t="str">
        <f aca="false">IF(AQ374="","",IF(AQ374&lt;15,"Under 15m",IF(AQ374&lt;60,"15-60m",IF(AQ374&lt;240,"1-4 hours","4+ hours"))))</f>
        <v/>
      </c>
      <c r="AS374" s="66" t="str">
        <f aca="false">IF(G374="","",HOUR(G374))</f>
        <v/>
      </c>
      <c r="AT374" s="80" t="str">
        <f aca="false">IF(OR(Z374="",AB374="",BL374=""),"",IFERROR(ROUND(IF(J374="Short",Z374-AB374,AB374-Z374)/BL374,1),""))</f>
        <v/>
      </c>
      <c r="AU374" s="68" t="str">
        <f aca="false">IF(OR(AA374="",AC374=""),"",IF(AA374=AC374,"No","Yes"))</f>
        <v/>
      </c>
      <c r="AV374" s="81" t="str">
        <f aca="false">IF(OR(B374="",BL374="",BM374="",AB374="",AC374=""),"",IFERROR(ROUND(AI374/(ABS(AB374-AC374)/BL374*BM374),2),""))</f>
        <v/>
      </c>
      <c r="AW374" s="76" t="str">
        <f aca="false">IF(B374="","",ROUND(BK374+SUMIFS(AM$5:AM373,BJ$5:BJ373,BJ374),2))</f>
        <v/>
      </c>
      <c r="AX374" s="66" t="str">
        <f aca="false">IF(B374="","",COUNTIFS(B$6:B374,B374,BJ$6:BJ374,BJ374))</f>
        <v/>
      </c>
      <c r="AY374" s="79" t="str">
        <f aca="false">IF(B374="","",ROUND(SUMIFS(AM$5:AM373,B$5:B373,B374,BJ$5:BJ373,BJ374),2))</f>
        <v/>
      </c>
      <c r="AZ374" s="79" t="str">
        <f aca="false">IF(AM374="","",ROUND(AY374+AM374,2))</f>
        <v/>
      </c>
      <c r="BA374" s="79" t="str">
        <f aca="false">IF(B374="","",ROUND(SUMIFS(AM$5:AM373,B$5:B373,"&gt;="&amp;(B374-WEEKDAY(B374,2)+1),B$5:B373,"&lt;="&amp;B374,BJ$5:BJ373,BJ374),2))</f>
        <v/>
      </c>
      <c r="BB374" s="68" t="str">
        <f aca="false">IF(B374="","",IF(AND(AF374&lt;&gt;"",AV374&lt;&gt;"",N(AF374)&gt;N(AV374)*(1+Settings!$C$13)),"Oversized",IF(AX374&gt;Settings!$C$10,"Overtraded",IF(AY374&lt;=-Settings!$C$11*(AW374-AY374),"Daily loss hit",IF(BA374&lt;=-Settings!$C$12*(AW374-BA374),"Weekly loss hit","OK")))))</f>
        <v/>
      </c>
      <c r="BC374" s="69"/>
      <c r="BD374" s="69"/>
      <c r="BE374" s="69"/>
      <c r="BF374" s="73"/>
      <c r="BG374" s="73"/>
      <c r="BH374" s="71"/>
      <c r="BI374" s="71"/>
      <c r="BJ374" s="68" t="str">
        <f aca="false">IF(B374="","",IF(E374="",Settings!$F$5,E374))</f>
        <v/>
      </c>
      <c r="BK374" s="76" t="str">
        <f aca="false">IF(B374="","",IFERROR(INDEX(Settings!$G$5:$G$10,MATCH(BJ374,Settings!$F$5:$F$10,0)),Settings!$G$5))</f>
        <v/>
      </c>
      <c r="BL374" s="82" t="str">
        <f aca="false">IF(I374="","",IFERROR(1/(1/INDEX(Lists!$C$6:$C$17,MATCH(I374,Lists!$B$6:$B$17,0))),""))</f>
        <v/>
      </c>
      <c r="BM374" s="81" t="str">
        <f aca="false">IF(I374="","",IFERROR(1/(1/INDEX(Lists!$D$6:$D$17,MATCH(I374,Lists!$B$6:$B$17,0))),""))</f>
        <v/>
      </c>
      <c r="BN374" s="76" t="str">
        <f aca="false">IF(AN374="","",MAX(BK374,_xlfn.MAXIFS(AN$6:AN374,BJ$6:BJ374,BJ374)))</f>
        <v/>
      </c>
      <c r="BO374" s="83" t="str">
        <f aca="false">IF(AN374="","",(AN374-BN374)/BN374)</f>
        <v/>
      </c>
      <c r="BP374" s="66" t="n">
        <f aca="false">IF(OR(B374="",AL374=""),0,IF(OR(Settings!$C$28="All Accounts",BJ374=Settings!$C$28),1,0))</f>
        <v>0</v>
      </c>
      <c r="BQ374" s="66" t="str">
        <f aca="false">IF(BP374=1,SUM(BP$6:BP374),"")</f>
        <v/>
      </c>
      <c r="BR374" s="76" t="str">
        <f aca="false">IF(BP374=1,ROUND(Settings!$C$29+SUMIFS(AM$6:AM374,BP$6:BP374,1),2),"")</f>
        <v/>
      </c>
      <c r="BS374" s="76" t="str">
        <f aca="false">IF(BP374=1,MAX(Settings!$C$29,MAX(BR$6:BR374)),"")</f>
        <v/>
      </c>
      <c r="BT374" s="83" t="str">
        <f aca="false">IF(BP374=1,(BR374-BS374)/BS374,"")</f>
        <v/>
      </c>
      <c r="BU374" s="66" t="str">
        <f aca="false">IF(BP374=1,IF(AL374="Win",1+IF(BQ374=1,0,INDEX(BU$5:BU373,MATCH(BQ374-1,BQ$5:BQ373,0))),0),"")</f>
        <v/>
      </c>
      <c r="BV374" s="66" t="str">
        <f aca="false">IF(BP374=1,IF(AL374="Loss",1+IF(BQ374=1,0,INDEX(BV$5:BV373,MATCH(BQ374-1,BQ$5:BQ373,0))),0),"")</f>
        <v/>
      </c>
    </row>
    <row r="375" customFormat="false" ht="15" hidden="false" customHeight="false" outlineLevel="0" collapsed="false">
      <c r="A375" s="66" t="str">
        <f aca="false">IF(B375="","",ROW()-5)</f>
        <v/>
      </c>
      <c r="B375" s="67"/>
      <c r="C375" s="68" t="str">
        <f aca="false">IF(B375="","",CHOOSE(WEEKDAY(B375,2),"Mon","Tue","Wed","Thu","Fri","Sat","Sun"))</f>
        <v/>
      </c>
      <c r="D375" s="66" t="str">
        <f aca="false">IF(B375="","",WEEKNUM(B375,2))</f>
        <v/>
      </c>
      <c r="E375" s="69"/>
      <c r="F375" s="69"/>
      <c r="G375" s="70"/>
      <c r="H375" s="70"/>
      <c r="I375" s="69"/>
      <c r="J375" s="69"/>
      <c r="K375" s="69"/>
      <c r="L375" s="71"/>
      <c r="M375" s="69"/>
      <c r="N375" s="69"/>
      <c r="O375" s="69"/>
      <c r="P375" s="71"/>
      <c r="Q375" s="69"/>
      <c r="R375" s="69"/>
      <c r="S375" s="69"/>
      <c r="T375" s="69"/>
      <c r="U375" s="69"/>
      <c r="V375" s="69"/>
      <c r="W375" s="69"/>
      <c r="X375" s="66" t="str">
        <f aca="false">IF(B375="","",COUNTIF(Q375:W375,"Yes"))</f>
        <v/>
      </c>
      <c r="Y375" s="68" t="str">
        <f aca="false">IF(B375="","",IF(X375&gt;=Settings!$C$16,"A+",IF(X375&gt;=Settings!$C$17,"A",IF(X375&gt;=Settings!$C$18,"B","C"))))</f>
        <v/>
      </c>
      <c r="Z375" s="72"/>
      <c r="AA375" s="72"/>
      <c r="AB375" s="72"/>
      <c r="AC375" s="72"/>
      <c r="AD375" s="72"/>
      <c r="AE375" s="72"/>
      <c r="AF375" s="73"/>
      <c r="AG375" s="74"/>
      <c r="AH375" s="75"/>
      <c r="AI375" s="76" t="str">
        <f aca="false">IF(B375="","",ROUND(IF(AG375="",Settings!$C$5,AG375)*AW375,2))</f>
        <v/>
      </c>
      <c r="AJ375" s="77" t="str">
        <f aca="false">IF(OR(B375="",AB375="",AC375="",AD375=""),"",IFERROR(ROUND(ABS(AD375-AB375)/ABS(AB375-AC375),2),""))</f>
        <v/>
      </c>
      <c r="AK375" s="78" t="str">
        <f aca="false">IF(OR(B375="",AB375="",AC375="",AE375=""),"",IFERROR(ROUND(IF(J375="Short",AB375-AE375,AE375-AB375)/ABS(AB375-AC375),2),""))</f>
        <v/>
      </c>
      <c r="AL375" s="68" t="str">
        <f aca="false">IF(AK375="","",IF(ABS(AK375)&lt;=Settings!$C$6,"BE",IF(AK375&gt;0,"Win","Loss")))</f>
        <v/>
      </c>
      <c r="AM375" s="79" t="str">
        <f aca="false">IF(OR(AK375="",AI375=""),"",ROUND(AK375*AI375-N(AH375),2))</f>
        <v/>
      </c>
      <c r="AN375" s="76" t="str">
        <f aca="false">IF(AM375="","",ROUND(BK375+SUMIFS(AM$6:AM375,BJ$6:BJ375,BJ375),2))</f>
        <v/>
      </c>
      <c r="AO375" s="78" t="str">
        <f aca="false">IF(AK375="","",ROUND(SUMIFS(AK$6:AK375,BJ$6:BJ375,BJ375),2))</f>
        <v/>
      </c>
      <c r="AP375" s="80" t="str">
        <f aca="false">IF(OR(AK375="",BL375=""),"",IFERROR(ROUND(IF(J375="Short",AB375-AE375,AE375-AB375)/BL375,1),""))</f>
        <v/>
      </c>
      <c r="AQ375" s="66" t="str">
        <f aca="false">IF(OR(G375="",H375=""),"",ROUND(MOD(H375-G375,1)*1440,0))</f>
        <v/>
      </c>
      <c r="AR375" s="68" t="str">
        <f aca="false">IF(AQ375="","",IF(AQ375&lt;15,"Under 15m",IF(AQ375&lt;60,"15-60m",IF(AQ375&lt;240,"1-4 hours","4+ hours"))))</f>
        <v/>
      </c>
      <c r="AS375" s="66" t="str">
        <f aca="false">IF(G375="","",HOUR(G375))</f>
        <v/>
      </c>
      <c r="AT375" s="80" t="str">
        <f aca="false">IF(OR(Z375="",AB375="",BL375=""),"",IFERROR(ROUND(IF(J375="Short",Z375-AB375,AB375-Z375)/BL375,1),""))</f>
        <v/>
      </c>
      <c r="AU375" s="68" t="str">
        <f aca="false">IF(OR(AA375="",AC375=""),"",IF(AA375=AC375,"No","Yes"))</f>
        <v/>
      </c>
      <c r="AV375" s="81" t="str">
        <f aca="false">IF(OR(B375="",BL375="",BM375="",AB375="",AC375=""),"",IFERROR(ROUND(AI375/(ABS(AB375-AC375)/BL375*BM375),2),""))</f>
        <v/>
      </c>
      <c r="AW375" s="76" t="str">
        <f aca="false">IF(B375="","",ROUND(BK375+SUMIFS(AM$5:AM374,BJ$5:BJ374,BJ375),2))</f>
        <v/>
      </c>
      <c r="AX375" s="66" t="str">
        <f aca="false">IF(B375="","",COUNTIFS(B$6:B375,B375,BJ$6:BJ375,BJ375))</f>
        <v/>
      </c>
      <c r="AY375" s="79" t="str">
        <f aca="false">IF(B375="","",ROUND(SUMIFS(AM$5:AM374,B$5:B374,B375,BJ$5:BJ374,BJ375),2))</f>
        <v/>
      </c>
      <c r="AZ375" s="79" t="str">
        <f aca="false">IF(AM375="","",ROUND(AY375+AM375,2))</f>
        <v/>
      </c>
      <c r="BA375" s="79" t="str">
        <f aca="false">IF(B375="","",ROUND(SUMIFS(AM$5:AM374,B$5:B374,"&gt;="&amp;(B375-WEEKDAY(B375,2)+1),B$5:B374,"&lt;="&amp;B375,BJ$5:BJ374,BJ375),2))</f>
        <v/>
      </c>
      <c r="BB375" s="68" t="str">
        <f aca="false">IF(B375="","",IF(AND(AF375&lt;&gt;"",AV375&lt;&gt;"",N(AF375)&gt;N(AV375)*(1+Settings!$C$13)),"Oversized",IF(AX375&gt;Settings!$C$10,"Overtraded",IF(AY375&lt;=-Settings!$C$11*(AW375-AY375),"Daily loss hit",IF(BA375&lt;=-Settings!$C$12*(AW375-BA375),"Weekly loss hit","OK")))))</f>
        <v/>
      </c>
      <c r="BC375" s="69"/>
      <c r="BD375" s="69"/>
      <c r="BE375" s="69"/>
      <c r="BF375" s="73"/>
      <c r="BG375" s="73"/>
      <c r="BH375" s="71"/>
      <c r="BI375" s="71"/>
      <c r="BJ375" s="68" t="str">
        <f aca="false">IF(B375="","",IF(E375="",Settings!$F$5,E375))</f>
        <v/>
      </c>
      <c r="BK375" s="76" t="str">
        <f aca="false">IF(B375="","",IFERROR(INDEX(Settings!$G$5:$G$10,MATCH(BJ375,Settings!$F$5:$F$10,0)),Settings!$G$5))</f>
        <v/>
      </c>
      <c r="BL375" s="82" t="str">
        <f aca="false">IF(I375="","",IFERROR(1/(1/INDEX(Lists!$C$6:$C$17,MATCH(I375,Lists!$B$6:$B$17,0))),""))</f>
        <v/>
      </c>
      <c r="BM375" s="81" t="str">
        <f aca="false">IF(I375="","",IFERROR(1/(1/INDEX(Lists!$D$6:$D$17,MATCH(I375,Lists!$B$6:$B$17,0))),""))</f>
        <v/>
      </c>
      <c r="BN375" s="76" t="str">
        <f aca="false">IF(AN375="","",MAX(BK375,_xlfn.MAXIFS(AN$6:AN375,BJ$6:BJ375,BJ375)))</f>
        <v/>
      </c>
      <c r="BO375" s="83" t="str">
        <f aca="false">IF(AN375="","",(AN375-BN375)/BN375)</f>
        <v/>
      </c>
      <c r="BP375" s="66" t="n">
        <f aca="false">IF(OR(B375="",AL375=""),0,IF(OR(Settings!$C$28="All Accounts",BJ375=Settings!$C$28),1,0))</f>
        <v>0</v>
      </c>
      <c r="BQ375" s="66" t="str">
        <f aca="false">IF(BP375=1,SUM(BP$6:BP375),"")</f>
        <v/>
      </c>
      <c r="BR375" s="76" t="str">
        <f aca="false">IF(BP375=1,ROUND(Settings!$C$29+SUMIFS(AM$6:AM375,BP$6:BP375,1),2),"")</f>
        <v/>
      </c>
      <c r="BS375" s="76" t="str">
        <f aca="false">IF(BP375=1,MAX(Settings!$C$29,MAX(BR$6:BR375)),"")</f>
        <v/>
      </c>
      <c r="BT375" s="83" t="str">
        <f aca="false">IF(BP375=1,(BR375-BS375)/BS375,"")</f>
        <v/>
      </c>
      <c r="BU375" s="66" t="str">
        <f aca="false">IF(BP375=1,IF(AL375="Win",1+IF(BQ375=1,0,INDEX(BU$5:BU374,MATCH(BQ375-1,BQ$5:BQ374,0))),0),"")</f>
        <v/>
      </c>
      <c r="BV375" s="66" t="str">
        <f aca="false">IF(BP375=1,IF(AL375="Loss",1+IF(BQ375=1,0,INDEX(BV$5:BV374,MATCH(BQ375-1,BQ$5:BQ374,0))),0),"")</f>
        <v/>
      </c>
    </row>
    <row r="376" customFormat="false" ht="15" hidden="false" customHeight="false" outlineLevel="0" collapsed="false">
      <c r="A376" s="66" t="str">
        <f aca="false">IF(B376="","",ROW()-5)</f>
        <v/>
      </c>
      <c r="B376" s="67"/>
      <c r="C376" s="68" t="str">
        <f aca="false">IF(B376="","",CHOOSE(WEEKDAY(B376,2),"Mon","Tue","Wed","Thu","Fri","Sat","Sun"))</f>
        <v/>
      </c>
      <c r="D376" s="66" t="str">
        <f aca="false">IF(B376="","",WEEKNUM(B376,2))</f>
        <v/>
      </c>
      <c r="E376" s="69"/>
      <c r="F376" s="69"/>
      <c r="G376" s="70"/>
      <c r="H376" s="70"/>
      <c r="I376" s="69"/>
      <c r="J376" s="69"/>
      <c r="K376" s="69"/>
      <c r="L376" s="71"/>
      <c r="M376" s="69"/>
      <c r="N376" s="69"/>
      <c r="O376" s="69"/>
      <c r="P376" s="71"/>
      <c r="Q376" s="69"/>
      <c r="R376" s="69"/>
      <c r="S376" s="69"/>
      <c r="T376" s="69"/>
      <c r="U376" s="69"/>
      <c r="V376" s="69"/>
      <c r="W376" s="69"/>
      <c r="X376" s="66" t="str">
        <f aca="false">IF(B376="","",COUNTIF(Q376:W376,"Yes"))</f>
        <v/>
      </c>
      <c r="Y376" s="68" t="str">
        <f aca="false">IF(B376="","",IF(X376&gt;=Settings!$C$16,"A+",IF(X376&gt;=Settings!$C$17,"A",IF(X376&gt;=Settings!$C$18,"B","C"))))</f>
        <v/>
      </c>
      <c r="Z376" s="72"/>
      <c r="AA376" s="72"/>
      <c r="AB376" s="72"/>
      <c r="AC376" s="72"/>
      <c r="AD376" s="72"/>
      <c r="AE376" s="72"/>
      <c r="AF376" s="73"/>
      <c r="AG376" s="74"/>
      <c r="AH376" s="75"/>
      <c r="AI376" s="76" t="str">
        <f aca="false">IF(B376="","",ROUND(IF(AG376="",Settings!$C$5,AG376)*AW376,2))</f>
        <v/>
      </c>
      <c r="AJ376" s="77" t="str">
        <f aca="false">IF(OR(B376="",AB376="",AC376="",AD376=""),"",IFERROR(ROUND(ABS(AD376-AB376)/ABS(AB376-AC376),2),""))</f>
        <v/>
      </c>
      <c r="AK376" s="78" t="str">
        <f aca="false">IF(OR(B376="",AB376="",AC376="",AE376=""),"",IFERROR(ROUND(IF(J376="Short",AB376-AE376,AE376-AB376)/ABS(AB376-AC376),2),""))</f>
        <v/>
      </c>
      <c r="AL376" s="68" t="str">
        <f aca="false">IF(AK376="","",IF(ABS(AK376)&lt;=Settings!$C$6,"BE",IF(AK376&gt;0,"Win","Loss")))</f>
        <v/>
      </c>
      <c r="AM376" s="79" t="str">
        <f aca="false">IF(OR(AK376="",AI376=""),"",ROUND(AK376*AI376-N(AH376),2))</f>
        <v/>
      </c>
      <c r="AN376" s="76" t="str">
        <f aca="false">IF(AM376="","",ROUND(BK376+SUMIFS(AM$6:AM376,BJ$6:BJ376,BJ376),2))</f>
        <v/>
      </c>
      <c r="AO376" s="78" t="str">
        <f aca="false">IF(AK376="","",ROUND(SUMIFS(AK$6:AK376,BJ$6:BJ376,BJ376),2))</f>
        <v/>
      </c>
      <c r="AP376" s="80" t="str">
        <f aca="false">IF(OR(AK376="",BL376=""),"",IFERROR(ROUND(IF(J376="Short",AB376-AE376,AE376-AB376)/BL376,1),""))</f>
        <v/>
      </c>
      <c r="AQ376" s="66" t="str">
        <f aca="false">IF(OR(G376="",H376=""),"",ROUND(MOD(H376-G376,1)*1440,0))</f>
        <v/>
      </c>
      <c r="AR376" s="68" t="str">
        <f aca="false">IF(AQ376="","",IF(AQ376&lt;15,"Under 15m",IF(AQ376&lt;60,"15-60m",IF(AQ376&lt;240,"1-4 hours","4+ hours"))))</f>
        <v/>
      </c>
      <c r="AS376" s="66" t="str">
        <f aca="false">IF(G376="","",HOUR(G376))</f>
        <v/>
      </c>
      <c r="AT376" s="80" t="str">
        <f aca="false">IF(OR(Z376="",AB376="",BL376=""),"",IFERROR(ROUND(IF(J376="Short",Z376-AB376,AB376-Z376)/BL376,1),""))</f>
        <v/>
      </c>
      <c r="AU376" s="68" t="str">
        <f aca="false">IF(OR(AA376="",AC376=""),"",IF(AA376=AC376,"No","Yes"))</f>
        <v/>
      </c>
      <c r="AV376" s="81" t="str">
        <f aca="false">IF(OR(B376="",BL376="",BM376="",AB376="",AC376=""),"",IFERROR(ROUND(AI376/(ABS(AB376-AC376)/BL376*BM376),2),""))</f>
        <v/>
      </c>
      <c r="AW376" s="76" t="str">
        <f aca="false">IF(B376="","",ROUND(BK376+SUMIFS(AM$5:AM375,BJ$5:BJ375,BJ376),2))</f>
        <v/>
      </c>
      <c r="AX376" s="66" t="str">
        <f aca="false">IF(B376="","",COUNTIFS(B$6:B376,B376,BJ$6:BJ376,BJ376))</f>
        <v/>
      </c>
      <c r="AY376" s="79" t="str">
        <f aca="false">IF(B376="","",ROUND(SUMIFS(AM$5:AM375,B$5:B375,B376,BJ$5:BJ375,BJ376),2))</f>
        <v/>
      </c>
      <c r="AZ376" s="79" t="str">
        <f aca="false">IF(AM376="","",ROUND(AY376+AM376,2))</f>
        <v/>
      </c>
      <c r="BA376" s="79" t="str">
        <f aca="false">IF(B376="","",ROUND(SUMIFS(AM$5:AM375,B$5:B375,"&gt;="&amp;(B376-WEEKDAY(B376,2)+1),B$5:B375,"&lt;="&amp;B376,BJ$5:BJ375,BJ376),2))</f>
        <v/>
      </c>
      <c r="BB376" s="68" t="str">
        <f aca="false">IF(B376="","",IF(AND(AF376&lt;&gt;"",AV376&lt;&gt;"",N(AF376)&gt;N(AV376)*(1+Settings!$C$13)),"Oversized",IF(AX376&gt;Settings!$C$10,"Overtraded",IF(AY376&lt;=-Settings!$C$11*(AW376-AY376),"Daily loss hit",IF(BA376&lt;=-Settings!$C$12*(AW376-BA376),"Weekly loss hit","OK")))))</f>
        <v/>
      </c>
      <c r="BC376" s="69"/>
      <c r="BD376" s="69"/>
      <c r="BE376" s="69"/>
      <c r="BF376" s="73"/>
      <c r="BG376" s="73"/>
      <c r="BH376" s="71"/>
      <c r="BI376" s="71"/>
      <c r="BJ376" s="68" t="str">
        <f aca="false">IF(B376="","",IF(E376="",Settings!$F$5,E376))</f>
        <v/>
      </c>
      <c r="BK376" s="76" t="str">
        <f aca="false">IF(B376="","",IFERROR(INDEX(Settings!$G$5:$G$10,MATCH(BJ376,Settings!$F$5:$F$10,0)),Settings!$G$5))</f>
        <v/>
      </c>
      <c r="BL376" s="82" t="str">
        <f aca="false">IF(I376="","",IFERROR(1/(1/INDEX(Lists!$C$6:$C$17,MATCH(I376,Lists!$B$6:$B$17,0))),""))</f>
        <v/>
      </c>
      <c r="BM376" s="81" t="str">
        <f aca="false">IF(I376="","",IFERROR(1/(1/INDEX(Lists!$D$6:$D$17,MATCH(I376,Lists!$B$6:$B$17,0))),""))</f>
        <v/>
      </c>
      <c r="BN376" s="76" t="str">
        <f aca="false">IF(AN376="","",MAX(BK376,_xlfn.MAXIFS(AN$6:AN376,BJ$6:BJ376,BJ376)))</f>
        <v/>
      </c>
      <c r="BO376" s="83" t="str">
        <f aca="false">IF(AN376="","",(AN376-BN376)/BN376)</f>
        <v/>
      </c>
      <c r="BP376" s="66" t="n">
        <f aca="false">IF(OR(B376="",AL376=""),0,IF(OR(Settings!$C$28="All Accounts",BJ376=Settings!$C$28),1,0))</f>
        <v>0</v>
      </c>
      <c r="BQ376" s="66" t="str">
        <f aca="false">IF(BP376=1,SUM(BP$6:BP376),"")</f>
        <v/>
      </c>
      <c r="BR376" s="76" t="str">
        <f aca="false">IF(BP376=1,ROUND(Settings!$C$29+SUMIFS(AM$6:AM376,BP$6:BP376,1),2),"")</f>
        <v/>
      </c>
      <c r="BS376" s="76" t="str">
        <f aca="false">IF(BP376=1,MAX(Settings!$C$29,MAX(BR$6:BR376)),"")</f>
        <v/>
      </c>
      <c r="BT376" s="83" t="str">
        <f aca="false">IF(BP376=1,(BR376-BS376)/BS376,"")</f>
        <v/>
      </c>
      <c r="BU376" s="66" t="str">
        <f aca="false">IF(BP376=1,IF(AL376="Win",1+IF(BQ376=1,0,INDEX(BU$5:BU375,MATCH(BQ376-1,BQ$5:BQ375,0))),0),"")</f>
        <v/>
      </c>
      <c r="BV376" s="66" t="str">
        <f aca="false">IF(BP376=1,IF(AL376="Loss",1+IF(BQ376=1,0,INDEX(BV$5:BV375,MATCH(BQ376-1,BQ$5:BQ375,0))),0),"")</f>
        <v/>
      </c>
    </row>
    <row r="377" customFormat="false" ht="15" hidden="false" customHeight="false" outlineLevel="0" collapsed="false">
      <c r="A377" s="66" t="str">
        <f aca="false">IF(B377="","",ROW()-5)</f>
        <v/>
      </c>
      <c r="B377" s="67"/>
      <c r="C377" s="68" t="str">
        <f aca="false">IF(B377="","",CHOOSE(WEEKDAY(B377,2),"Mon","Tue","Wed","Thu","Fri","Sat","Sun"))</f>
        <v/>
      </c>
      <c r="D377" s="66" t="str">
        <f aca="false">IF(B377="","",WEEKNUM(B377,2))</f>
        <v/>
      </c>
      <c r="E377" s="69"/>
      <c r="F377" s="69"/>
      <c r="G377" s="70"/>
      <c r="H377" s="70"/>
      <c r="I377" s="69"/>
      <c r="J377" s="69"/>
      <c r="K377" s="69"/>
      <c r="L377" s="71"/>
      <c r="M377" s="69"/>
      <c r="N377" s="69"/>
      <c r="O377" s="69"/>
      <c r="P377" s="71"/>
      <c r="Q377" s="69"/>
      <c r="R377" s="69"/>
      <c r="S377" s="69"/>
      <c r="T377" s="69"/>
      <c r="U377" s="69"/>
      <c r="V377" s="69"/>
      <c r="W377" s="69"/>
      <c r="X377" s="66" t="str">
        <f aca="false">IF(B377="","",COUNTIF(Q377:W377,"Yes"))</f>
        <v/>
      </c>
      <c r="Y377" s="68" t="str">
        <f aca="false">IF(B377="","",IF(X377&gt;=Settings!$C$16,"A+",IF(X377&gt;=Settings!$C$17,"A",IF(X377&gt;=Settings!$C$18,"B","C"))))</f>
        <v/>
      </c>
      <c r="Z377" s="72"/>
      <c r="AA377" s="72"/>
      <c r="AB377" s="72"/>
      <c r="AC377" s="72"/>
      <c r="AD377" s="72"/>
      <c r="AE377" s="72"/>
      <c r="AF377" s="73"/>
      <c r="AG377" s="74"/>
      <c r="AH377" s="75"/>
      <c r="AI377" s="76" t="str">
        <f aca="false">IF(B377="","",ROUND(IF(AG377="",Settings!$C$5,AG377)*AW377,2))</f>
        <v/>
      </c>
      <c r="AJ377" s="77" t="str">
        <f aca="false">IF(OR(B377="",AB377="",AC377="",AD377=""),"",IFERROR(ROUND(ABS(AD377-AB377)/ABS(AB377-AC377),2),""))</f>
        <v/>
      </c>
      <c r="AK377" s="78" t="str">
        <f aca="false">IF(OR(B377="",AB377="",AC377="",AE377=""),"",IFERROR(ROUND(IF(J377="Short",AB377-AE377,AE377-AB377)/ABS(AB377-AC377),2),""))</f>
        <v/>
      </c>
      <c r="AL377" s="68" t="str">
        <f aca="false">IF(AK377="","",IF(ABS(AK377)&lt;=Settings!$C$6,"BE",IF(AK377&gt;0,"Win","Loss")))</f>
        <v/>
      </c>
      <c r="AM377" s="79" t="str">
        <f aca="false">IF(OR(AK377="",AI377=""),"",ROUND(AK377*AI377-N(AH377),2))</f>
        <v/>
      </c>
      <c r="AN377" s="76" t="str">
        <f aca="false">IF(AM377="","",ROUND(BK377+SUMIFS(AM$6:AM377,BJ$6:BJ377,BJ377),2))</f>
        <v/>
      </c>
      <c r="AO377" s="78" t="str">
        <f aca="false">IF(AK377="","",ROUND(SUMIFS(AK$6:AK377,BJ$6:BJ377,BJ377),2))</f>
        <v/>
      </c>
      <c r="AP377" s="80" t="str">
        <f aca="false">IF(OR(AK377="",BL377=""),"",IFERROR(ROUND(IF(J377="Short",AB377-AE377,AE377-AB377)/BL377,1),""))</f>
        <v/>
      </c>
      <c r="AQ377" s="66" t="str">
        <f aca="false">IF(OR(G377="",H377=""),"",ROUND(MOD(H377-G377,1)*1440,0))</f>
        <v/>
      </c>
      <c r="AR377" s="68" t="str">
        <f aca="false">IF(AQ377="","",IF(AQ377&lt;15,"Under 15m",IF(AQ377&lt;60,"15-60m",IF(AQ377&lt;240,"1-4 hours","4+ hours"))))</f>
        <v/>
      </c>
      <c r="AS377" s="66" t="str">
        <f aca="false">IF(G377="","",HOUR(G377))</f>
        <v/>
      </c>
      <c r="AT377" s="80" t="str">
        <f aca="false">IF(OR(Z377="",AB377="",BL377=""),"",IFERROR(ROUND(IF(J377="Short",Z377-AB377,AB377-Z377)/BL377,1),""))</f>
        <v/>
      </c>
      <c r="AU377" s="68" t="str">
        <f aca="false">IF(OR(AA377="",AC377=""),"",IF(AA377=AC377,"No","Yes"))</f>
        <v/>
      </c>
      <c r="AV377" s="81" t="str">
        <f aca="false">IF(OR(B377="",BL377="",BM377="",AB377="",AC377=""),"",IFERROR(ROUND(AI377/(ABS(AB377-AC377)/BL377*BM377),2),""))</f>
        <v/>
      </c>
      <c r="AW377" s="76" t="str">
        <f aca="false">IF(B377="","",ROUND(BK377+SUMIFS(AM$5:AM376,BJ$5:BJ376,BJ377),2))</f>
        <v/>
      </c>
      <c r="AX377" s="66" t="str">
        <f aca="false">IF(B377="","",COUNTIFS(B$6:B377,B377,BJ$6:BJ377,BJ377))</f>
        <v/>
      </c>
      <c r="AY377" s="79" t="str">
        <f aca="false">IF(B377="","",ROUND(SUMIFS(AM$5:AM376,B$5:B376,B377,BJ$5:BJ376,BJ377),2))</f>
        <v/>
      </c>
      <c r="AZ377" s="79" t="str">
        <f aca="false">IF(AM377="","",ROUND(AY377+AM377,2))</f>
        <v/>
      </c>
      <c r="BA377" s="79" t="str">
        <f aca="false">IF(B377="","",ROUND(SUMIFS(AM$5:AM376,B$5:B376,"&gt;="&amp;(B377-WEEKDAY(B377,2)+1),B$5:B376,"&lt;="&amp;B377,BJ$5:BJ376,BJ377),2))</f>
        <v/>
      </c>
      <c r="BB377" s="68" t="str">
        <f aca="false">IF(B377="","",IF(AND(AF377&lt;&gt;"",AV377&lt;&gt;"",N(AF377)&gt;N(AV377)*(1+Settings!$C$13)),"Oversized",IF(AX377&gt;Settings!$C$10,"Overtraded",IF(AY377&lt;=-Settings!$C$11*(AW377-AY377),"Daily loss hit",IF(BA377&lt;=-Settings!$C$12*(AW377-BA377),"Weekly loss hit","OK")))))</f>
        <v/>
      </c>
      <c r="BC377" s="69"/>
      <c r="BD377" s="69"/>
      <c r="BE377" s="69"/>
      <c r="BF377" s="73"/>
      <c r="BG377" s="73"/>
      <c r="BH377" s="71"/>
      <c r="BI377" s="71"/>
      <c r="BJ377" s="68" t="str">
        <f aca="false">IF(B377="","",IF(E377="",Settings!$F$5,E377))</f>
        <v/>
      </c>
      <c r="BK377" s="76" t="str">
        <f aca="false">IF(B377="","",IFERROR(INDEX(Settings!$G$5:$G$10,MATCH(BJ377,Settings!$F$5:$F$10,0)),Settings!$G$5))</f>
        <v/>
      </c>
      <c r="BL377" s="82" t="str">
        <f aca="false">IF(I377="","",IFERROR(1/(1/INDEX(Lists!$C$6:$C$17,MATCH(I377,Lists!$B$6:$B$17,0))),""))</f>
        <v/>
      </c>
      <c r="BM377" s="81" t="str">
        <f aca="false">IF(I377="","",IFERROR(1/(1/INDEX(Lists!$D$6:$D$17,MATCH(I377,Lists!$B$6:$B$17,0))),""))</f>
        <v/>
      </c>
      <c r="BN377" s="76" t="str">
        <f aca="false">IF(AN377="","",MAX(BK377,_xlfn.MAXIFS(AN$6:AN377,BJ$6:BJ377,BJ377)))</f>
        <v/>
      </c>
      <c r="BO377" s="83" t="str">
        <f aca="false">IF(AN377="","",(AN377-BN377)/BN377)</f>
        <v/>
      </c>
      <c r="BP377" s="66" t="n">
        <f aca="false">IF(OR(B377="",AL377=""),0,IF(OR(Settings!$C$28="All Accounts",BJ377=Settings!$C$28),1,0))</f>
        <v>0</v>
      </c>
      <c r="BQ377" s="66" t="str">
        <f aca="false">IF(BP377=1,SUM(BP$6:BP377),"")</f>
        <v/>
      </c>
      <c r="BR377" s="76" t="str">
        <f aca="false">IF(BP377=1,ROUND(Settings!$C$29+SUMIFS(AM$6:AM377,BP$6:BP377,1),2),"")</f>
        <v/>
      </c>
      <c r="BS377" s="76" t="str">
        <f aca="false">IF(BP377=1,MAX(Settings!$C$29,MAX(BR$6:BR377)),"")</f>
        <v/>
      </c>
      <c r="BT377" s="83" t="str">
        <f aca="false">IF(BP377=1,(BR377-BS377)/BS377,"")</f>
        <v/>
      </c>
      <c r="BU377" s="66" t="str">
        <f aca="false">IF(BP377=1,IF(AL377="Win",1+IF(BQ377=1,0,INDEX(BU$5:BU376,MATCH(BQ377-1,BQ$5:BQ376,0))),0),"")</f>
        <v/>
      </c>
      <c r="BV377" s="66" t="str">
        <f aca="false">IF(BP377=1,IF(AL377="Loss",1+IF(BQ377=1,0,INDEX(BV$5:BV376,MATCH(BQ377-1,BQ$5:BQ376,0))),0),"")</f>
        <v/>
      </c>
    </row>
    <row r="378" customFormat="false" ht="15" hidden="false" customHeight="false" outlineLevel="0" collapsed="false">
      <c r="A378" s="66" t="str">
        <f aca="false">IF(B378="","",ROW()-5)</f>
        <v/>
      </c>
      <c r="B378" s="67"/>
      <c r="C378" s="68" t="str">
        <f aca="false">IF(B378="","",CHOOSE(WEEKDAY(B378,2),"Mon","Tue","Wed","Thu","Fri","Sat","Sun"))</f>
        <v/>
      </c>
      <c r="D378" s="66" t="str">
        <f aca="false">IF(B378="","",WEEKNUM(B378,2))</f>
        <v/>
      </c>
      <c r="E378" s="69"/>
      <c r="F378" s="69"/>
      <c r="G378" s="70"/>
      <c r="H378" s="70"/>
      <c r="I378" s="69"/>
      <c r="J378" s="69"/>
      <c r="K378" s="69"/>
      <c r="L378" s="71"/>
      <c r="M378" s="69"/>
      <c r="N378" s="69"/>
      <c r="O378" s="69"/>
      <c r="P378" s="71"/>
      <c r="Q378" s="69"/>
      <c r="R378" s="69"/>
      <c r="S378" s="69"/>
      <c r="T378" s="69"/>
      <c r="U378" s="69"/>
      <c r="V378" s="69"/>
      <c r="W378" s="69"/>
      <c r="X378" s="66" t="str">
        <f aca="false">IF(B378="","",COUNTIF(Q378:W378,"Yes"))</f>
        <v/>
      </c>
      <c r="Y378" s="68" t="str">
        <f aca="false">IF(B378="","",IF(X378&gt;=Settings!$C$16,"A+",IF(X378&gt;=Settings!$C$17,"A",IF(X378&gt;=Settings!$C$18,"B","C"))))</f>
        <v/>
      </c>
      <c r="Z378" s="72"/>
      <c r="AA378" s="72"/>
      <c r="AB378" s="72"/>
      <c r="AC378" s="72"/>
      <c r="AD378" s="72"/>
      <c r="AE378" s="72"/>
      <c r="AF378" s="73"/>
      <c r="AG378" s="74"/>
      <c r="AH378" s="75"/>
      <c r="AI378" s="76" t="str">
        <f aca="false">IF(B378="","",ROUND(IF(AG378="",Settings!$C$5,AG378)*AW378,2))</f>
        <v/>
      </c>
      <c r="AJ378" s="77" t="str">
        <f aca="false">IF(OR(B378="",AB378="",AC378="",AD378=""),"",IFERROR(ROUND(ABS(AD378-AB378)/ABS(AB378-AC378),2),""))</f>
        <v/>
      </c>
      <c r="AK378" s="78" t="str">
        <f aca="false">IF(OR(B378="",AB378="",AC378="",AE378=""),"",IFERROR(ROUND(IF(J378="Short",AB378-AE378,AE378-AB378)/ABS(AB378-AC378),2),""))</f>
        <v/>
      </c>
      <c r="AL378" s="68" t="str">
        <f aca="false">IF(AK378="","",IF(ABS(AK378)&lt;=Settings!$C$6,"BE",IF(AK378&gt;0,"Win","Loss")))</f>
        <v/>
      </c>
      <c r="AM378" s="79" t="str">
        <f aca="false">IF(OR(AK378="",AI378=""),"",ROUND(AK378*AI378-N(AH378),2))</f>
        <v/>
      </c>
      <c r="AN378" s="76" t="str">
        <f aca="false">IF(AM378="","",ROUND(BK378+SUMIFS(AM$6:AM378,BJ$6:BJ378,BJ378),2))</f>
        <v/>
      </c>
      <c r="AO378" s="78" t="str">
        <f aca="false">IF(AK378="","",ROUND(SUMIFS(AK$6:AK378,BJ$6:BJ378,BJ378),2))</f>
        <v/>
      </c>
      <c r="AP378" s="80" t="str">
        <f aca="false">IF(OR(AK378="",BL378=""),"",IFERROR(ROUND(IF(J378="Short",AB378-AE378,AE378-AB378)/BL378,1),""))</f>
        <v/>
      </c>
      <c r="AQ378" s="66" t="str">
        <f aca="false">IF(OR(G378="",H378=""),"",ROUND(MOD(H378-G378,1)*1440,0))</f>
        <v/>
      </c>
      <c r="AR378" s="68" t="str">
        <f aca="false">IF(AQ378="","",IF(AQ378&lt;15,"Under 15m",IF(AQ378&lt;60,"15-60m",IF(AQ378&lt;240,"1-4 hours","4+ hours"))))</f>
        <v/>
      </c>
      <c r="AS378" s="66" t="str">
        <f aca="false">IF(G378="","",HOUR(G378))</f>
        <v/>
      </c>
      <c r="AT378" s="80" t="str">
        <f aca="false">IF(OR(Z378="",AB378="",BL378=""),"",IFERROR(ROUND(IF(J378="Short",Z378-AB378,AB378-Z378)/BL378,1),""))</f>
        <v/>
      </c>
      <c r="AU378" s="68" t="str">
        <f aca="false">IF(OR(AA378="",AC378=""),"",IF(AA378=AC378,"No","Yes"))</f>
        <v/>
      </c>
      <c r="AV378" s="81" t="str">
        <f aca="false">IF(OR(B378="",BL378="",BM378="",AB378="",AC378=""),"",IFERROR(ROUND(AI378/(ABS(AB378-AC378)/BL378*BM378),2),""))</f>
        <v/>
      </c>
      <c r="AW378" s="76" t="str">
        <f aca="false">IF(B378="","",ROUND(BK378+SUMIFS(AM$5:AM377,BJ$5:BJ377,BJ378),2))</f>
        <v/>
      </c>
      <c r="AX378" s="66" t="str">
        <f aca="false">IF(B378="","",COUNTIFS(B$6:B378,B378,BJ$6:BJ378,BJ378))</f>
        <v/>
      </c>
      <c r="AY378" s="79" t="str">
        <f aca="false">IF(B378="","",ROUND(SUMIFS(AM$5:AM377,B$5:B377,B378,BJ$5:BJ377,BJ378),2))</f>
        <v/>
      </c>
      <c r="AZ378" s="79" t="str">
        <f aca="false">IF(AM378="","",ROUND(AY378+AM378,2))</f>
        <v/>
      </c>
      <c r="BA378" s="79" t="str">
        <f aca="false">IF(B378="","",ROUND(SUMIFS(AM$5:AM377,B$5:B377,"&gt;="&amp;(B378-WEEKDAY(B378,2)+1),B$5:B377,"&lt;="&amp;B378,BJ$5:BJ377,BJ378),2))</f>
        <v/>
      </c>
      <c r="BB378" s="68" t="str">
        <f aca="false">IF(B378="","",IF(AND(AF378&lt;&gt;"",AV378&lt;&gt;"",N(AF378)&gt;N(AV378)*(1+Settings!$C$13)),"Oversized",IF(AX378&gt;Settings!$C$10,"Overtraded",IF(AY378&lt;=-Settings!$C$11*(AW378-AY378),"Daily loss hit",IF(BA378&lt;=-Settings!$C$12*(AW378-BA378),"Weekly loss hit","OK")))))</f>
        <v/>
      </c>
      <c r="BC378" s="69"/>
      <c r="BD378" s="69"/>
      <c r="BE378" s="69"/>
      <c r="BF378" s="73"/>
      <c r="BG378" s="73"/>
      <c r="BH378" s="71"/>
      <c r="BI378" s="71"/>
      <c r="BJ378" s="68" t="str">
        <f aca="false">IF(B378="","",IF(E378="",Settings!$F$5,E378))</f>
        <v/>
      </c>
      <c r="BK378" s="76" t="str">
        <f aca="false">IF(B378="","",IFERROR(INDEX(Settings!$G$5:$G$10,MATCH(BJ378,Settings!$F$5:$F$10,0)),Settings!$G$5))</f>
        <v/>
      </c>
      <c r="BL378" s="82" t="str">
        <f aca="false">IF(I378="","",IFERROR(1/(1/INDEX(Lists!$C$6:$C$17,MATCH(I378,Lists!$B$6:$B$17,0))),""))</f>
        <v/>
      </c>
      <c r="BM378" s="81" t="str">
        <f aca="false">IF(I378="","",IFERROR(1/(1/INDEX(Lists!$D$6:$D$17,MATCH(I378,Lists!$B$6:$B$17,0))),""))</f>
        <v/>
      </c>
      <c r="BN378" s="76" t="str">
        <f aca="false">IF(AN378="","",MAX(BK378,_xlfn.MAXIFS(AN$6:AN378,BJ$6:BJ378,BJ378)))</f>
        <v/>
      </c>
      <c r="BO378" s="83" t="str">
        <f aca="false">IF(AN378="","",(AN378-BN378)/BN378)</f>
        <v/>
      </c>
      <c r="BP378" s="66" t="n">
        <f aca="false">IF(OR(B378="",AL378=""),0,IF(OR(Settings!$C$28="All Accounts",BJ378=Settings!$C$28),1,0))</f>
        <v>0</v>
      </c>
      <c r="BQ378" s="66" t="str">
        <f aca="false">IF(BP378=1,SUM(BP$6:BP378),"")</f>
        <v/>
      </c>
      <c r="BR378" s="76" t="str">
        <f aca="false">IF(BP378=1,ROUND(Settings!$C$29+SUMIFS(AM$6:AM378,BP$6:BP378,1),2),"")</f>
        <v/>
      </c>
      <c r="BS378" s="76" t="str">
        <f aca="false">IF(BP378=1,MAX(Settings!$C$29,MAX(BR$6:BR378)),"")</f>
        <v/>
      </c>
      <c r="BT378" s="83" t="str">
        <f aca="false">IF(BP378=1,(BR378-BS378)/BS378,"")</f>
        <v/>
      </c>
      <c r="BU378" s="66" t="str">
        <f aca="false">IF(BP378=1,IF(AL378="Win",1+IF(BQ378=1,0,INDEX(BU$5:BU377,MATCH(BQ378-1,BQ$5:BQ377,0))),0),"")</f>
        <v/>
      </c>
      <c r="BV378" s="66" t="str">
        <f aca="false">IF(BP378=1,IF(AL378="Loss",1+IF(BQ378=1,0,INDEX(BV$5:BV377,MATCH(BQ378-1,BQ$5:BQ377,0))),0),"")</f>
        <v/>
      </c>
    </row>
    <row r="379" customFormat="false" ht="15" hidden="false" customHeight="false" outlineLevel="0" collapsed="false">
      <c r="A379" s="66" t="str">
        <f aca="false">IF(B379="","",ROW()-5)</f>
        <v/>
      </c>
      <c r="B379" s="67"/>
      <c r="C379" s="68" t="str">
        <f aca="false">IF(B379="","",CHOOSE(WEEKDAY(B379,2),"Mon","Tue","Wed","Thu","Fri","Sat","Sun"))</f>
        <v/>
      </c>
      <c r="D379" s="66" t="str">
        <f aca="false">IF(B379="","",WEEKNUM(B379,2))</f>
        <v/>
      </c>
      <c r="E379" s="69"/>
      <c r="F379" s="69"/>
      <c r="G379" s="70"/>
      <c r="H379" s="70"/>
      <c r="I379" s="69"/>
      <c r="J379" s="69"/>
      <c r="K379" s="69"/>
      <c r="L379" s="71"/>
      <c r="M379" s="69"/>
      <c r="N379" s="69"/>
      <c r="O379" s="69"/>
      <c r="P379" s="71"/>
      <c r="Q379" s="69"/>
      <c r="R379" s="69"/>
      <c r="S379" s="69"/>
      <c r="T379" s="69"/>
      <c r="U379" s="69"/>
      <c r="V379" s="69"/>
      <c r="W379" s="69"/>
      <c r="X379" s="66" t="str">
        <f aca="false">IF(B379="","",COUNTIF(Q379:W379,"Yes"))</f>
        <v/>
      </c>
      <c r="Y379" s="68" t="str">
        <f aca="false">IF(B379="","",IF(X379&gt;=Settings!$C$16,"A+",IF(X379&gt;=Settings!$C$17,"A",IF(X379&gt;=Settings!$C$18,"B","C"))))</f>
        <v/>
      </c>
      <c r="Z379" s="72"/>
      <c r="AA379" s="72"/>
      <c r="AB379" s="72"/>
      <c r="AC379" s="72"/>
      <c r="AD379" s="72"/>
      <c r="AE379" s="72"/>
      <c r="AF379" s="73"/>
      <c r="AG379" s="74"/>
      <c r="AH379" s="75"/>
      <c r="AI379" s="76" t="str">
        <f aca="false">IF(B379="","",ROUND(IF(AG379="",Settings!$C$5,AG379)*AW379,2))</f>
        <v/>
      </c>
      <c r="AJ379" s="77" t="str">
        <f aca="false">IF(OR(B379="",AB379="",AC379="",AD379=""),"",IFERROR(ROUND(ABS(AD379-AB379)/ABS(AB379-AC379),2),""))</f>
        <v/>
      </c>
      <c r="AK379" s="78" t="str">
        <f aca="false">IF(OR(B379="",AB379="",AC379="",AE379=""),"",IFERROR(ROUND(IF(J379="Short",AB379-AE379,AE379-AB379)/ABS(AB379-AC379),2),""))</f>
        <v/>
      </c>
      <c r="AL379" s="68" t="str">
        <f aca="false">IF(AK379="","",IF(ABS(AK379)&lt;=Settings!$C$6,"BE",IF(AK379&gt;0,"Win","Loss")))</f>
        <v/>
      </c>
      <c r="AM379" s="79" t="str">
        <f aca="false">IF(OR(AK379="",AI379=""),"",ROUND(AK379*AI379-N(AH379),2))</f>
        <v/>
      </c>
      <c r="AN379" s="76" t="str">
        <f aca="false">IF(AM379="","",ROUND(BK379+SUMIFS(AM$6:AM379,BJ$6:BJ379,BJ379),2))</f>
        <v/>
      </c>
      <c r="AO379" s="78" t="str">
        <f aca="false">IF(AK379="","",ROUND(SUMIFS(AK$6:AK379,BJ$6:BJ379,BJ379),2))</f>
        <v/>
      </c>
      <c r="AP379" s="80" t="str">
        <f aca="false">IF(OR(AK379="",BL379=""),"",IFERROR(ROUND(IF(J379="Short",AB379-AE379,AE379-AB379)/BL379,1),""))</f>
        <v/>
      </c>
      <c r="AQ379" s="66" t="str">
        <f aca="false">IF(OR(G379="",H379=""),"",ROUND(MOD(H379-G379,1)*1440,0))</f>
        <v/>
      </c>
      <c r="AR379" s="68" t="str">
        <f aca="false">IF(AQ379="","",IF(AQ379&lt;15,"Under 15m",IF(AQ379&lt;60,"15-60m",IF(AQ379&lt;240,"1-4 hours","4+ hours"))))</f>
        <v/>
      </c>
      <c r="AS379" s="66" t="str">
        <f aca="false">IF(G379="","",HOUR(G379))</f>
        <v/>
      </c>
      <c r="AT379" s="80" t="str">
        <f aca="false">IF(OR(Z379="",AB379="",BL379=""),"",IFERROR(ROUND(IF(J379="Short",Z379-AB379,AB379-Z379)/BL379,1),""))</f>
        <v/>
      </c>
      <c r="AU379" s="68" t="str">
        <f aca="false">IF(OR(AA379="",AC379=""),"",IF(AA379=AC379,"No","Yes"))</f>
        <v/>
      </c>
      <c r="AV379" s="81" t="str">
        <f aca="false">IF(OR(B379="",BL379="",BM379="",AB379="",AC379=""),"",IFERROR(ROUND(AI379/(ABS(AB379-AC379)/BL379*BM379),2),""))</f>
        <v/>
      </c>
      <c r="AW379" s="76" t="str">
        <f aca="false">IF(B379="","",ROUND(BK379+SUMIFS(AM$5:AM378,BJ$5:BJ378,BJ379),2))</f>
        <v/>
      </c>
      <c r="AX379" s="66" t="str">
        <f aca="false">IF(B379="","",COUNTIFS(B$6:B379,B379,BJ$6:BJ379,BJ379))</f>
        <v/>
      </c>
      <c r="AY379" s="79" t="str">
        <f aca="false">IF(B379="","",ROUND(SUMIFS(AM$5:AM378,B$5:B378,B379,BJ$5:BJ378,BJ379),2))</f>
        <v/>
      </c>
      <c r="AZ379" s="79" t="str">
        <f aca="false">IF(AM379="","",ROUND(AY379+AM379,2))</f>
        <v/>
      </c>
      <c r="BA379" s="79" t="str">
        <f aca="false">IF(B379="","",ROUND(SUMIFS(AM$5:AM378,B$5:B378,"&gt;="&amp;(B379-WEEKDAY(B379,2)+1),B$5:B378,"&lt;="&amp;B379,BJ$5:BJ378,BJ379),2))</f>
        <v/>
      </c>
      <c r="BB379" s="68" t="str">
        <f aca="false">IF(B379="","",IF(AND(AF379&lt;&gt;"",AV379&lt;&gt;"",N(AF379)&gt;N(AV379)*(1+Settings!$C$13)),"Oversized",IF(AX379&gt;Settings!$C$10,"Overtraded",IF(AY379&lt;=-Settings!$C$11*(AW379-AY379),"Daily loss hit",IF(BA379&lt;=-Settings!$C$12*(AW379-BA379),"Weekly loss hit","OK")))))</f>
        <v/>
      </c>
      <c r="BC379" s="69"/>
      <c r="BD379" s="69"/>
      <c r="BE379" s="69"/>
      <c r="BF379" s="73"/>
      <c r="BG379" s="73"/>
      <c r="BH379" s="71"/>
      <c r="BI379" s="71"/>
      <c r="BJ379" s="68" t="str">
        <f aca="false">IF(B379="","",IF(E379="",Settings!$F$5,E379))</f>
        <v/>
      </c>
      <c r="BK379" s="76" t="str">
        <f aca="false">IF(B379="","",IFERROR(INDEX(Settings!$G$5:$G$10,MATCH(BJ379,Settings!$F$5:$F$10,0)),Settings!$G$5))</f>
        <v/>
      </c>
      <c r="BL379" s="82" t="str">
        <f aca="false">IF(I379="","",IFERROR(1/(1/INDEX(Lists!$C$6:$C$17,MATCH(I379,Lists!$B$6:$B$17,0))),""))</f>
        <v/>
      </c>
      <c r="BM379" s="81" t="str">
        <f aca="false">IF(I379="","",IFERROR(1/(1/INDEX(Lists!$D$6:$D$17,MATCH(I379,Lists!$B$6:$B$17,0))),""))</f>
        <v/>
      </c>
      <c r="BN379" s="76" t="str">
        <f aca="false">IF(AN379="","",MAX(BK379,_xlfn.MAXIFS(AN$6:AN379,BJ$6:BJ379,BJ379)))</f>
        <v/>
      </c>
      <c r="BO379" s="83" t="str">
        <f aca="false">IF(AN379="","",(AN379-BN379)/BN379)</f>
        <v/>
      </c>
      <c r="BP379" s="66" t="n">
        <f aca="false">IF(OR(B379="",AL379=""),0,IF(OR(Settings!$C$28="All Accounts",BJ379=Settings!$C$28),1,0))</f>
        <v>0</v>
      </c>
      <c r="BQ379" s="66" t="str">
        <f aca="false">IF(BP379=1,SUM(BP$6:BP379),"")</f>
        <v/>
      </c>
      <c r="BR379" s="76" t="str">
        <f aca="false">IF(BP379=1,ROUND(Settings!$C$29+SUMIFS(AM$6:AM379,BP$6:BP379,1),2),"")</f>
        <v/>
      </c>
      <c r="BS379" s="76" t="str">
        <f aca="false">IF(BP379=1,MAX(Settings!$C$29,MAX(BR$6:BR379)),"")</f>
        <v/>
      </c>
      <c r="BT379" s="83" t="str">
        <f aca="false">IF(BP379=1,(BR379-BS379)/BS379,"")</f>
        <v/>
      </c>
      <c r="BU379" s="66" t="str">
        <f aca="false">IF(BP379=1,IF(AL379="Win",1+IF(BQ379=1,0,INDEX(BU$5:BU378,MATCH(BQ379-1,BQ$5:BQ378,0))),0),"")</f>
        <v/>
      </c>
      <c r="BV379" s="66" t="str">
        <f aca="false">IF(BP379=1,IF(AL379="Loss",1+IF(BQ379=1,0,INDEX(BV$5:BV378,MATCH(BQ379-1,BQ$5:BQ378,0))),0),"")</f>
        <v/>
      </c>
    </row>
    <row r="380" customFormat="false" ht="15" hidden="false" customHeight="false" outlineLevel="0" collapsed="false">
      <c r="A380" s="66" t="str">
        <f aca="false">IF(B380="","",ROW()-5)</f>
        <v/>
      </c>
      <c r="B380" s="67"/>
      <c r="C380" s="68" t="str">
        <f aca="false">IF(B380="","",CHOOSE(WEEKDAY(B380,2),"Mon","Tue","Wed","Thu","Fri","Sat","Sun"))</f>
        <v/>
      </c>
      <c r="D380" s="66" t="str">
        <f aca="false">IF(B380="","",WEEKNUM(B380,2))</f>
        <v/>
      </c>
      <c r="E380" s="69"/>
      <c r="F380" s="69"/>
      <c r="G380" s="70"/>
      <c r="H380" s="70"/>
      <c r="I380" s="69"/>
      <c r="J380" s="69"/>
      <c r="K380" s="69"/>
      <c r="L380" s="71"/>
      <c r="M380" s="69"/>
      <c r="N380" s="69"/>
      <c r="O380" s="69"/>
      <c r="P380" s="71"/>
      <c r="Q380" s="69"/>
      <c r="R380" s="69"/>
      <c r="S380" s="69"/>
      <c r="T380" s="69"/>
      <c r="U380" s="69"/>
      <c r="V380" s="69"/>
      <c r="W380" s="69"/>
      <c r="X380" s="66" t="str">
        <f aca="false">IF(B380="","",COUNTIF(Q380:W380,"Yes"))</f>
        <v/>
      </c>
      <c r="Y380" s="68" t="str">
        <f aca="false">IF(B380="","",IF(X380&gt;=Settings!$C$16,"A+",IF(X380&gt;=Settings!$C$17,"A",IF(X380&gt;=Settings!$C$18,"B","C"))))</f>
        <v/>
      </c>
      <c r="Z380" s="72"/>
      <c r="AA380" s="72"/>
      <c r="AB380" s="72"/>
      <c r="AC380" s="72"/>
      <c r="AD380" s="72"/>
      <c r="AE380" s="72"/>
      <c r="AF380" s="73"/>
      <c r="AG380" s="74"/>
      <c r="AH380" s="75"/>
      <c r="AI380" s="76" t="str">
        <f aca="false">IF(B380="","",ROUND(IF(AG380="",Settings!$C$5,AG380)*AW380,2))</f>
        <v/>
      </c>
      <c r="AJ380" s="77" t="str">
        <f aca="false">IF(OR(B380="",AB380="",AC380="",AD380=""),"",IFERROR(ROUND(ABS(AD380-AB380)/ABS(AB380-AC380),2),""))</f>
        <v/>
      </c>
      <c r="AK380" s="78" t="str">
        <f aca="false">IF(OR(B380="",AB380="",AC380="",AE380=""),"",IFERROR(ROUND(IF(J380="Short",AB380-AE380,AE380-AB380)/ABS(AB380-AC380),2),""))</f>
        <v/>
      </c>
      <c r="AL380" s="68" t="str">
        <f aca="false">IF(AK380="","",IF(ABS(AK380)&lt;=Settings!$C$6,"BE",IF(AK380&gt;0,"Win","Loss")))</f>
        <v/>
      </c>
      <c r="AM380" s="79" t="str">
        <f aca="false">IF(OR(AK380="",AI380=""),"",ROUND(AK380*AI380-N(AH380),2))</f>
        <v/>
      </c>
      <c r="AN380" s="76" t="str">
        <f aca="false">IF(AM380="","",ROUND(BK380+SUMIFS(AM$6:AM380,BJ$6:BJ380,BJ380),2))</f>
        <v/>
      </c>
      <c r="AO380" s="78" t="str">
        <f aca="false">IF(AK380="","",ROUND(SUMIFS(AK$6:AK380,BJ$6:BJ380,BJ380),2))</f>
        <v/>
      </c>
      <c r="AP380" s="80" t="str">
        <f aca="false">IF(OR(AK380="",BL380=""),"",IFERROR(ROUND(IF(J380="Short",AB380-AE380,AE380-AB380)/BL380,1),""))</f>
        <v/>
      </c>
      <c r="AQ380" s="66" t="str">
        <f aca="false">IF(OR(G380="",H380=""),"",ROUND(MOD(H380-G380,1)*1440,0))</f>
        <v/>
      </c>
      <c r="AR380" s="68" t="str">
        <f aca="false">IF(AQ380="","",IF(AQ380&lt;15,"Under 15m",IF(AQ380&lt;60,"15-60m",IF(AQ380&lt;240,"1-4 hours","4+ hours"))))</f>
        <v/>
      </c>
      <c r="AS380" s="66" t="str">
        <f aca="false">IF(G380="","",HOUR(G380))</f>
        <v/>
      </c>
      <c r="AT380" s="80" t="str">
        <f aca="false">IF(OR(Z380="",AB380="",BL380=""),"",IFERROR(ROUND(IF(J380="Short",Z380-AB380,AB380-Z380)/BL380,1),""))</f>
        <v/>
      </c>
      <c r="AU380" s="68" t="str">
        <f aca="false">IF(OR(AA380="",AC380=""),"",IF(AA380=AC380,"No","Yes"))</f>
        <v/>
      </c>
      <c r="AV380" s="81" t="str">
        <f aca="false">IF(OR(B380="",BL380="",BM380="",AB380="",AC380=""),"",IFERROR(ROUND(AI380/(ABS(AB380-AC380)/BL380*BM380),2),""))</f>
        <v/>
      </c>
      <c r="AW380" s="76" t="str">
        <f aca="false">IF(B380="","",ROUND(BK380+SUMIFS(AM$5:AM379,BJ$5:BJ379,BJ380),2))</f>
        <v/>
      </c>
      <c r="AX380" s="66" t="str">
        <f aca="false">IF(B380="","",COUNTIFS(B$6:B380,B380,BJ$6:BJ380,BJ380))</f>
        <v/>
      </c>
      <c r="AY380" s="79" t="str">
        <f aca="false">IF(B380="","",ROUND(SUMIFS(AM$5:AM379,B$5:B379,B380,BJ$5:BJ379,BJ380),2))</f>
        <v/>
      </c>
      <c r="AZ380" s="79" t="str">
        <f aca="false">IF(AM380="","",ROUND(AY380+AM380,2))</f>
        <v/>
      </c>
      <c r="BA380" s="79" t="str">
        <f aca="false">IF(B380="","",ROUND(SUMIFS(AM$5:AM379,B$5:B379,"&gt;="&amp;(B380-WEEKDAY(B380,2)+1),B$5:B379,"&lt;="&amp;B380,BJ$5:BJ379,BJ380),2))</f>
        <v/>
      </c>
      <c r="BB380" s="68" t="str">
        <f aca="false">IF(B380="","",IF(AND(AF380&lt;&gt;"",AV380&lt;&gt;"",N(AF380)&gt;N(AV380)*(1+Settings!$C$13)),"Oversized",IF(AX380&gt;Settings!$C$10,"Overtraded",IF(AY380&lt;=-Settings!$C$11*(AW380-AY380),"Daily loss hit",IF(BA380&lt;=-Settings!$C$12*(AW380-BA380),"Weekly loss hit","OK")))))</f>
        <v/>
      </c>
      <c r="BC380" s="69"/>
      <c r="BD380" s="69"/>
      <c r="BE380" s="69"/>
      <c r="BF380" s="73"/>
      <c r="BG380" s="73"/>
      <c r="BH380" s="71"/>
      <c r="BI380" s="71"/>
      <c r="BJ380" s="68" t="str">
        <f aca="false">IF(B380="","",IF(E380="",Settings!$F$5,E380))</f>
        <v/>
      </c>
      <c r="BK380" s="76" t="str">
        <f aca="false">IF(B380="","",IFERROR(INDEX(Settings!$G$5:$G$10,MATCH(BJ380,Settings!$F$5:$F$10,0)),Settings!$G$5))</f>
        <v/>
      </c>
      <c r="BL380" s="82" t="str">
        <f aca="false">IF(I380="","",IFERROR(1/(1/INDEX(Lists!$C$6:$C$17,MATCH(I380,Lists!$B$6:$B$17,0))),""))</f>
        <v/>
      </c>
      <c r="BM380" s="81" t="str">
        <f aca="false">IF(I380="","",IFERROR(1/(1/INDEX(Lists!$D$6:$D$17,MATCH(I380,Lists!$B$6:$B$17,0))),""))</f>
        <v/>
      </c>
      <c r="BN380" s="76" t="str">
        <f aca="false">IF(AN380="","",MAX(BK380,_xlfn.MAXIFS(AN$6:AN380,BJ$6:BJ380,BJ380)))</f>
        <v/>
      </c>
      <c r="BO380" s="83" t="str">
        <f aca="false">IF(AN380="","",(AN380-BN380)/BN380)</f>
        <v/>
      </c>
      <c r="BP380" s="66" t="n">
        <f aca="false">IF(OR(B380="",AL380=""),0,IF(OR(Settings!$C$28="All Accounts",BJ380=Settings!$C$28),1,0))</f>
        <v>0</v>
      </c>
      <c r="BQ380" s="66" t="str">
        <f aca="false">IF(BP380=1,SUM(BP$6:BP380),"")</f>
        <v/>
      </c>
      <c r="BR380" s="76" t="str">
        <f aca="false">IF(BP380=1,ROUND(Settings!$C$29+SUMIFS(AM$6:AM380,BP$6:BP380,1),2),"")</f>
        <v/>
      </c>
      <c r="BS380" s="76" t="str">
        <f aca="false">IF(BP380=1,MAX(Settings!$C$29,MAX(BR$6:BR380)),"")</f>
        <v/>
      </c>
      <c r="BT380" s="83" t="str">
        <f aca="false">IF(BP380=1,(BR380-BS380)/BS380,"")</f>
        <v/>
      </c>
      <c r="BU380" s="66" t="str">
        <f aca="false">IF(BP380=1,IF(AL380="Win",1+IF(BQ380=1,0,INDEX(BU$5:BU379,MATCH(BQ380-1,BQ$5:BQ379,0))),0),"")</f>
        <v/>
      </c>
      <c r="BV380" s="66" t="str">
        <f aca="false">IF(BP380=1,IF(AL380="Loss",1+IF(BQ380=1,0,INDEX(BV$5:BV379,MATCH(BQ380-1,BQ$5:BQ379,0))),0),"")</f>
        <v/>
      </c>
    </row>
    <row r="381" customFormat="false" ht="15" hidden="false" customHeight="false" outlineLevel="0" collapsed="false">
      <c r="A381" s="66" t="str">
        <f aca="false">IF(B381="","",ROW()-5)</f>
        <v/>
      </c>
      <c r="B381" s="67"/>
      <c r="C381" s="68" t="str">
        <f aca="false">IF(B381="","",CHOOSE(WEEKDAY(B381,2),"Mon","Tue","Wed","Thu","Fri","Sat","Sun"))</f>
        <v/>
      </c>
      <c r="D381" s="66" t="str">
        <f aca="false">IF(B381="","",WEEKNUM(B381,2))</f>
        <v/>
      </c>
      <c r="E381" s="69"/>
      <c r="F381" s="69"/>
      <c r="G381" s="70"/>
      <c r="H381" s="70"/>
      <c r="I381" s="69"/>
      <c r="J381" s="69"/>
      <c r="K381" s="69"/>
      <c r="L381" s="71"/>
      <c r="M381" s="69"/>
      <c r="N381" s="69"/>
      <c r="O381" s="69"/>
      <c r="P381" s="71"/>
      <c r="Q381" s="69"/>
      <c r="R381" s="69"/>
      <c r="S381" s="69"/>
      <c r="T381" s="69"/>
      <c r="U381" s="69"/>
      <c r="V381" s="69"/>
      <c r="W381" s="69"/>
      <c r="X381" s="66" t="str">
        <f aca="false">IF(B381="","",COUNTIF(Q381:W381,"Yes"))</f>
        <v/>
      </c>
      <c r="Y381" s="68" t="str">
        <f aca="false">IF(B381="","",IF(X381&gt;=Settings!$C$16,"A+",IF(X381&gt;=Settings!$C$17,"A",IF(X381&gt;=Settings!$C$18,"B","C"))))</f>
        <v/>
      </c>
      <c r="Z381" s="72"/>
      <c r="AA381" s="72"/>
      <c r="AB381" s="72"/>
      <c r="AC381" s="72"/>
      <c r="AD381" s="72"/>
      <c r="AE381" s="72"/>
      <c r="AF381" s="73"/>
      <c r="AG381" s="74"/>
      <c r="AH381" s="75"/>
      <c r="AI381" s="76" t="str">
        <f aca="false">IF(B381="","",ROUND(IF(AG381="",Settings!$C$5,AG381)*AW381,2))</f>
        <v/>
      </c>
      <c r="AJ381" s="77" t="str">
        <f aca="false">IF(OR(B381="",AB381="",AC381="",AD381=""),"",IFERROR(ROUND(ABS(AD381-AB381)/ABS(AB381-AC381),2),""))</f>
        <v/>
      </c>
      <c r="AK381" s="78" t="str">
        <f aca="false">IF(OR(B381="",AB381="",AC381="",AE381=""),"",IFERROR(ROUND(IF(J381="Short",AB381-AE381,AE381-AB381)/ABS(AB381-AC381),2),""))</f>
        <v/>
      </c>
      <c r="AL381" s="68" t="str">
        <f aca="false">IF(AK381="","",IF(ABS(AK381)&lt;=Settings!$C$6,"BE",IF(AK381&gt;0,"Win","Loss")))</f>
        <v/>
      </c>
      <c r="AM381" s="79" t="str">
        <f aca="false">IF(OR(AK381="",AI381=""),"",ROUND(AK381*AI381-N(AH381),2))</f>
        <v/>
      </c>
      <c r="AN381" s="76" t="str">
        <f aca="false">IF(AM381="","",ROUND(BK381+SUMIFS(AM$6:AM381,BJ$6:BJ381,BJ381),2))</f>
        <v/>
      </c>
      <c r="AO381" s="78" t="str">
        <f aca="false">IF(AK381="","",ROUND(SUMIFS(AK$6:AK381,BJ$6:BJ381,BJ381),2))</f>
        <v/>
      </c>
      <c r="AP381" s="80" t="str">
        <f aca="false">IF(OR(AK381="",BL381=""),"",IFERROR(ROUND(IF(J381="Short",AB381-AE381,AE381-AB381)/BL381,1),""))</f>
        <v/>
      </c>
      <c r="AQ381" s="66" t="str">
        <f aca="false">IF(OR(G381="",H381=""),"",ROUND(MOD(H381-G381,1)*1440,0))</f>
        <v/>
      </c>
      <c r="AR381" s="68" t="str">
        <f aca="false">IF(AQ381="","",IF(AQ381&lt;15,"Under 15m",IF(AQ381&lt;60,"15-60m",IF(AQ381&lt;240,"1-4 hours","4+ hours"))))</f>
        <v/>
      </c>
      <c r="AS381" s="66" t="str">
        <f aca="false">IF(G381="","",HOUR(G381))</f>
        <v/>
      </c>
      <c r="AT381" s="80" t="str">
        <f aca="false">IF(OR(Z381="",AB381="",BL381=""),"",IFERROR(ROUND(IF(J381="Short",Z381-AB381,AB381-Z381)/BL381,1),""))</f>
        <v/>
      </c>
      <c r="AU381" s="68" t="str">
        <f aca="false">IF(OR(AA381="",AC381=""),"",IF(AA381=AC381,"No","Yes"))</f>
        <v/>
      </c>
      <c r="AV381" s="81" t="str">
        <f aca="false">IF(OR(B381="",BL381="",BM381="",AB381="",AC381=""),"",IFERROR(ROUND(AI381/(ABS(AB381-AC381)/BL381*BM381),2),""))</f>
        <v/>
      </c>
      <c r="AW381" s="76" t="str">
        <f aca="false">IF(B381="","",ROUND(BK381+SUMIFS(AM$5:AM380,BJ$5:BJ380,BJ381),2))</f>
        <v/>
      </c>
      <c r="AX381" s="66" t="str">
        <f aca="false">IF(B381="","",COUNTIFS(B$6:B381,B381,BJ$6:BJ381,BJ381))</f>
        <v/>
      </c>
      <c r="AY381" s="79" t="str">
        <f aca="false">IF(B381="","",ROUND(SUMIFS(AM$5:AM380,B$5:B380,B381,BJ$5:BJ380,BJ381),2))</f>
        <v/>
      </c>
      <c r="AZ381" s="79" t="str">
        <f aca="false">IF(AM381="","",ROUND(AY381+AM381,2))</f>
        <v/>
      </c>
      <c r="BA381" s="79" t="str">
        <f aca="false">IF(B381="","",ROUND(SUMIFS(AM$5:AM380,B$5:B380,"&gt;="&amp;(B381-WEEKDAY(B381,2)+1),B$5:B380,"&lt;="&amp;B381,BJ$5:BJ380,BJ381),2))</f>
        <v/>
      </c>
      <c r="BB381" s="68" t="str">
        <f aca="false">IF(B381="","",IF(AND(AF381&lt;&gt;"",AV381&lt;&gt;"",N(AF381)&gt;N(AV381)*(1+Settings!$C$13)),"Oversized",IF(AX381&gt;Settings!$C$10,"Overtraded",IF(AY381&lt;=-Settings!$C$11*(AW381-AY381),"Daily loss hit",IF(BA381&lt;=-Settings!$C$12*(AW381-BA381),"Weekly loss hit","OK")))))</f>
        <v/>
      </c>
      <c r="BC381" s="69"/>
      <c r="BD381" s="69"/>
      <c r="BE381" s="69"/>
      <c r="BF381" s="73"/>
      <c r="BG381" s="73"/>
      <c r="BH381" s="71"/>
      <c r="BI381" s="71"/>
      <c r="BJ381" s="68" t="str">
        <f aca="false">IF(B381="","",IF(E381="",Settings!$F$5,E381))</f>
        <v/>
      </c>
      <c r="BK381" s="76" t="str">
        <f aca="false">IF(B381="","",IFERROR(INDEX(Settings!$G$5:$G$10,MATCH(BJ381,Settings!$F$5:$F$10,0)),Settings!$G$5))</f>
        <v/>
      </c>
      <c r="BL381" s="82" t="str">
        <f aca="false">IF(I381="","",IFERROR(1/(1/INDEX(Lists!$C$6:$C$17,MATCH(I381,Lists!$B$6:$B$17,0))),""))</f>
        <v/>
      </c>
      <c r="BM381" s="81" t="str">
        <f aca="false">IF(I381="","",IFERROR(1/(1/INDEX(Lists!$D$6:$D$17,MATCH(I381,Lists!$B$6:$B$17,0))),""))</f>
        <v/>
      </c>
      <c r="BN381" s="76" t="str">
        <f aca="false">IF(AN381="","",MAX(BK381,_xlfn.MAXIFS(AN$6:AN381,BJ$6:BJ381,BJ381)))</f>
        <v/>
      </c>
      <c r="BO381" s="83" t="str">
        <f aca="false">IF(AN381="","",(AN381-BN381)/BN381)</f>
        <v/>
      </c>
      <c r="BP381" s="66" t="n">
        <f aca="false">IF(OR(B381="",AL381=""),0,IF(OR(Settings!$C$28="All Accounts",BJ381=Settings!$C$28),1,0))</f>
        <v>0</v>
      </c>
      <c r="BQ381" s="66" t="str">
        <f aca="false">IF(BP381=1,SUM(BP$6:BP381),"")</f>
        <v/>
      </c>
      <c r="BR381" s="76" t="str">
        <f aca="false">IF(BP381=1,ROUND(Settings!$C$29+SUMIFS(AM$6:AM381,BP$6:BP381,1),2),"")</f>
        <v/>
      </c>
      <c r="BS381" s="76" t="str">
        <f aca="false">IF(BP381=1,MAX(Settings!$C$29,MAX(BR$6:BR381)),"")</f>
        <v/>
      </c>
      <c r="BT381" s="83" t="str">
        <f aca="false">IF(BP381=1,(BR381-BS381)/BS381,"")</f>
        <v/>
      </c>
      <c r="BU381" s="66" t="str">
        <f aca="false">IF(BP381=1,IF(AL381="Win",1+IF(BQ381=1,0,INDEX(BU$5:BU380,MATCH(BQ381-1,BQ$5:BQ380,0))),0),"")</f>
        <v/>
      </c>
      <c r="BV381" s="66" t="str">
        <f aca="false">IF(BP381=1,IF(AL381="Loss",1+IF(BQ381=1,0,INDEX(BV$5:BV380,MATCH(BQ381-1,BQ$5:BQ380,0))),0),"")</f>
        <v/>
      </c>
    </row>
    <row r="382" customFormat="false" ht="15" hidden="false" customHeight="false" outlineLevel="0" collapsed="false">
      <c r="A382" s="66" t="str">
        <f aca="false">IF(B382="","",ROW()-5)</f>
        <v/>
      </c>
      <c r="B382" s="67"/>
      <c r="C382" s="68" t="str">
        <f aca="false">IF(B382="","",CHOOSE(WEEKDAY(B382,2),"Mon","Tue","Wed","Thu","Fri","Sat","Sun"))</f>
        <v/>
      </c>
      <c r="D382" s="66" t="str">
        <f aca="false">IF(B382="","",WEEKNUM(B382,2))</f>
        <v/>
      </c>
      <c r="E382" s="69"/>
      <c r="F382" s="69"/>
      <c r="G382" s="70"/>
      <c r="H382" s="70"/>
      <c r="I382" s="69"/>
      <c r="J382" s="69"/>
      <c r="K382" s="69"/>
      <c r="L382" s="71"/>
      <c r="M382" s="69"/>
      <c r="N382" s="69"/>
      <c r="O382" s="69"/>
      <c r="P382" s="71"/>
      <c r="Q382" s="69"/>
      <c r="R382" s="69"/>
      <c r="S382" s="69"/>
      <c r="T382" s="69"/>
      <c r="U382" s="69"/>
      <c r="V382" s="69"/>
      <c r="W382" s="69"/>
      <c r="X382" s="66" t="str">
        <f aca="false">IF(B382="","",COUNTIF(Q382:W382,"Yes"))</f>
        <v/>
      </c>
      <c r="Y382" s="68" t="str">
        <f aca="false">IF(B382="","",IF(X382&gt;=Settings!$C$16,"A+",IF(X382&gt;=Settings!$C$17,"A",IF(X382&gt;=Settings!$C$18,"B","C"))))</f>
        <v/>
      </c>
      <c r="Z382" s="72"/>
      <c r="AA382" s="72"/>
      <c r="AB382" s="72"/>
      <c r="AC382" s="72"/>
      <c r="AD382" s="72"/>
      <c r="AE382" s="72"/>
      <c r="AF382" s="73"/>
      <c r="AG382" s="74"/>
      <c r="AH382" s="75"/>
      <c r="AI382" s="76" t="str">
        <f aca="false">IF(B382="","",ROUND(IF(AG382="",Settings!$C$5,AG382)*AW382,2))</f>
        <v/>
      </c>
      <c r="AJ382" s="77" t="str">
        <f aca="false">IF(OR(B382="",AB382="",AC382="",AD382=""),"",IFERROR(ROUND(ABS(AD382-AB382)/ABS(AB382-AC382),2),""))</f>
        <v/>
      </c>
      <c r="AK382" s="78" t="str">
        <f aca="false">IF(OR(B382="",AB382="",AC382="",AE382=""),"",IFERROR(ROUND(IF(J382="Short",AB382-AE382,AE382-AB382)/ABS(AB382-AC382),2),""))</f>
        <v/>
      </c>
      <c r="AL382" s="68" t="str">
        <f aca="false">IF(AK382="","",IF(ABS(AK382)&lt;=Settings!$C$6,"BE",IF(AK382&gt;0,"Win","Loss")))</f>
        <v/>
      </c>
      <c r="AM382" s="79" t="str">
        <f aca="false">IF(OR(AK382="",AI382=""),"",ROUND(AK382*AI382-N(AH382),2))</f>
        <v/>
      </c>
      <c r="AN382" s="76" t="str">
        <f aca="false">IF(AM382="","",ROUND(BK382+SUMIFS(AM$6:AM382,BJ$6:BJ382,BJ382),2))</f>
        <v/>
      </c>
      <c r="AO382" s="78" t="str">
        <f aca="false">IF(AK382="","",ROUND(SUMIFS(AK$6:AK382,BJ$6:BJ382,BJ382),2))</f>
        <v/>
      </c>
      <c r="AP382" s="80" t="str">
        <f aca="false">IF(OR(AK382="",BL382=""),"",IFERROR(ROUND(IF(J382="Short",AB382-AE382,AE382-AB382)/BL382,1),""))</f>
        <v/>
      </c>
      <c r="AQ382" s="66" t="str">
        <f aca="false">IF(OR(G382="",H382=""),"",ROUND(MOD(H382-G382,1)*1440,0))</f>
        <v/>
      </c>
      <c r="AR382" s="68" t="str">
        <f aca="false">IF(AQ382="","",IF(AQ382&lt;15,"Under 15m",IF(AQ382&lt;60,"15-60m",IF(AQ382&lt;240,"1-4 hours","4+ hours"))))</f>
        <v/>
      </c>
      <c r="AS382" s="66" t="str">
        <f aca="false">IF(G382="","",HOUR(G382))</f>
        <v/>
      </c>
      <c r="AT382" s="80" t="str">
        <f aca="false">IF(OR(Z382="",AB382="",BL382=""),"",IFERROR(ROUND(IF(J382="Short",Z382-AB382,AB382-Z382)/BL382,1),""))</f>
        <v/>
      </c>
      <c r="AU382" s="68" t="str">
        <f aca="false">IF(OR(AA382="",AC382=""),"",IF(AA382=AC382,"No","Yes"))</f>
        <v/>
      </c>
      <c r="AV382" s="81" t="str">
        <f aca="false">IF(OR(B382="",BL382="",BM382="",AB382="",AC382=""),"",IFERROR(ROUND(AI382/(ABS(AB382-AC382)/BL382*BM382),2),""))</f>
        <v/>
      </c>
      <c r="AW382" s="76" t="str">
        <f aca="false">IF(B382="","",ROUND(BK382+SUMIFS(AM$5:AM381,BJ$5:BJ381,BJ382),2))</f>
        <v/>
      </c>
      <c r="AX382" s="66" t="str">
        <f aca="false">IF(B382="","",COUNTIFS(B$6:B382,B382,BJ$6:BJ382,BJ382))</f>
        <v/>
      </c>
      <c r="AY382" s="79" t="str">
        <f aca="false">IF(B382="","",ROUND(SUMIFS(AM$5:AM381,B$5:B381,B382,BJ$5:BJ381,BJ382),2))</f>
        <v/>
      </c>
      <c r="AZ382" s="79" t="str">
        <f aca="false">IF(AM382="","",ROUND(AY382+AM382,2))</f>
        <v/>
      </c>
      <c r="BA382" s="79" t="str">
        <f aca="false">IF(B382="","",ROUND(SUMIFS(AM$5:AM381,B$5:B381,"&gt;="&amp;(B382-WEEKDAY(B382,2)+1),B$5:B381,"&lt;="&amp;B382,BJ$5:BJ381,BJ382),2))</f>
        <v/>
      </c>
      <c r="BB382" s="68" t="str">
        <f aca="false">IF(B382="","",IF(AND(AF382&lt;&gt;"",AV382&lt;&gt;"",N(AF382)&gt;N(AV382)*(1+Settings!$C$13)),"Oversized",IF(AX382&gt;Settings!$C$10,"Overtraded",IF(AY382&lt;=-Settings!$C$11*(AW382-AY382),"Daily loss hit",IF(BA382&lt;=-Settings!$C$12*(AW382-BA382),"Weekly loss hit","OK")))))</f>
        <v/>
      </c>
      <c r="BC382" s="69"/>
      <c r="BD382" s="69"/>
      <c r="BE382" s="69"/>
      <c r="BF382" s="73"/>
      <c r="BG382" s="73"/>
      <c r="BH382" s="71"/>
      <c r="BI382" s="71"/>
      <c r="BJ382" s="68" t="str">
        <f aca="false">IF(B382="","",IF(E382="",Settings!$F$5,E382))</f>
        <v/>
      </c>
      <c r="BK382" s="76" t="str">
        <f aca="false">IF(B382="","",IFERROR(INDEX(Settings!$G$5:$G$10,MATCH(BJ382,Settings!$F$5:$F$10,0)),Settings!$G$5))</f>
        <v/>
      </c>
      <c r="BL382" s="82" t="str">
        <f aca="false">IF(I382="","",IFERROR(1/(1/INDEX(Lists!$C$6:$C$17,MATCH(I382,Lists!$B$6:$B$17,0))),""))</f>
        <v/>
      </c>
      <c r="BM382" s="81" t="str">
        <f aca="false">IF(I382="","",IFERROR(1/(1/INDEX(Lists!$D$6:$D$17,MATCH(I382,Lists!$B$6:$B$17,0))),""))</f>
        <v/>
      </c>
      <c r="BN382" s="76" t="str">
        <f aca="false">IF(AN382="","",MAX(BK382,_xlfn.MAXIFS(AN$6:AN382,BJ$6:BJ382,BJ382)))</f>
        <v/>
      </c>
      <c r="BO382" s="83" t="str">
        <f aca="false">IF(AN382="","",(AN382-BN382)/BN382)</f>
        <v/>
      </c>
      <c r="BP382" s="66" t="n">
        <f aca="false">IF(OR(B382="",AL382=""),0,IF(OR(Settings!$C$28="All Accounts",BJ382=Settings!$C$28),1,0))</f>
        <v>0</v>
      </c>
      <c r="BQ382" s="66" t="str">
        <f aca="false">IF(BP382=1,SUM(BP$6:BP382),"")</f>
        <v/>
      </c>
      <c r="BR382" s="76" t="str">
        <f aca="false">IF(BP382=1,ROUND(Settings!$C$29+SUMIFS(AM$6:AM382,BP$6:BP382,1),2),"")</f>
        <v/>
      </c>
      <c r="BS382" s="76" t="str">
        <f aca="false">IF(BP382=1,MAX(Settings!$C$29,MAX(BR$6:BR382)),"")</f>
        <v/>
      </c>
      <c r="BT382" s="83" t="str">
        <f aca="false">IF(BP382=1,(BR382-BS382)/BS382,"")</f>
        <v/>
      </c>
      <c r="BU382" s="66" t="str">
        <f aca="false">IF(BP382=1,IF(AL382="Win",1+IF(BQ382=1,0,INDEX(BU$5:BU381,MATCH(BQ382-1,BQ$5:BQ381,0))),0),"")</f>
        <v/>
      </c>
      <c r="BV382" s="66" t="str">
        <f aca="false">IF(BP382=1,IF(AL382="Loss",1+IF(BQ382=1,0,INDEX(BV$5:BV381,MATCH(BQ382-1,BQ$5:BQ381,0))),0),"")</f>
        <v/>
      </c>
    </row>
    <row r="383" customFormat="false" ht="15" hidden="false" customHeight="false" outlineLevel="0" collapsed="false">
      <c r="A383" s="66" t="str">
        <f aca="false">IF(B383="","",ROW()-5)</f>
        <v/>
      </c>
      <c r="B383" s="67"/>
      <c r="C383" s="68" t="str">
        <f aca="false">IF(B383="","",CHOOSE(WEEKDAY(B383,2),"Mon","Tue","Wed","Thu","Fri","Sat","Sun"))</f>
        <v/>
      </c>
      <c r="D383" s="66" t="str">
        <f aca="false">IF(B383="","",WEEKNUM(B383,2))</f>
        <v/>
      </c>
      <c r="E383" s="69"/>
      <c r="F383" s="69"/>
      <c r="G383" s="70"/>
      <c r="H383" s="70"/>
      <c r="I383" s="69"/>
      <c r="J383" s="69"/>
      <c r="K383" s="69"/>
      <c r="L383" s="71"/>
      <c r="M383" s="69"/>
      <c r="N383" s="69"/>
      <c r="O383" s="69"/>
      <c r="P383" s="71"/>
      <c r="Q383" s="69"/>
      <c r="R383" s="69"/>
      <c r="S383" s="69"/>
      <c r="T383" s="69"/>
      <c r="U383" s="69"/>
      <c r="V383" s="69"/>
      <c r="W383" s="69"/>
      <c r="X383" s="66" t="str">
        <f aca="false">IF(B383="","",COUNTIF(Q383:W383,"Yes"))</f>
        <v/>
      </c>
      <c r="Y383" s="68" t="str">
        <f aca="false">IF(B383="","",IF(X383&gt;=Settings!$C$16,"A+",IF(X383&gt;=Settings!$C$17,"A",IF(X383&gt;=Settings!$C$18,"B","C"))))</f>
        <v/>
      </c>
      <c r="Z383" s="72"/>
      <c r="AA383" s="72"/>
      <c r="AB383" s="72"/>
      <c r="AC383" s="72"/>
      <c r="AD383" s="72"/>
      <c r="AE383" s="72"/>
      <c r="AF383" s="73"/>
      <c r="AG383" s="74"/>
      <c r="AH383" s="75"/>
      <c r="AI383" s="76" t="str">
        <f aca="false">IF(B383="","",ROUND(IF(AG383="",Settings!$C$5,AG383)*AW383,2))</f>
        <v/>
      </c>
      <c r="AJ383" s="77" t="str">
        <f aca="false">IF(OR(B383="",AB383="",AC383="",AD383=""),"",IFERROR(ROUND(ABS(AD383-AB383)/ABS(AB383-AC383),2),""))</f>
        <v/>
      </c>
      <c r="AK383" s="78" t="str">
        <f aca="false">IF(OR(B383="",AB383="",AC383="",AE383=""),"",IFERROR(ROUND(IF(J383="Short",AB383-AE383,AE383-AB383)/ABS(AB383-AC383),2),""))</f>
        <v/>
      </c>
      <c r="AL383" s="68" t="str">
        <f aca="false">IF(AK383="","",IF(ABS(AK383)&lt;=Settings!$C$6,"BE",IF(AK383&gt;0,"Win","Loss")))</f>
        <v/>
      </c>
      <c r="AM383" s="79" t="str">
        <f aca="false">IF(OR(AK383="",AI383=""),"",ROUND(AK383*AI383-N(AH383),2))</f>
        <v/>
      </c>
      <c r="AN383" s="76" t="str">
        <f aca="false">IF(AM383="","",ROUND(BK383+SUMIFS(AM$6:AM383,BJ$6:BJ383,BJ383),2))</f>
        <v/>
      </c>
      <c r="AO383" s="78" t="str">
        <f aca="false">IF(AK383="","",ROUND(SUMIFS(AK$6:AK383,BJ$6:BJ383,BJ383),2))</f>
        <v/>
      </c>
      <c r="AP383" s="80" t="str">
        <f aca="false">IF(OR(AK383="",BL383=""),"",IFERROR(ROUND(IF(J383="Short",AB383-AE383,AE383-AB383)/BL383,1),""))</f>
        <v/>
      </c>
      <c r="AQ383" s="66" t="str">
        <f aca="false">IF(OR(G383="",H383=""),"",ROUND(MOD(H383-G383,1)*1440,0))</f>
        <v/>
      </c>
      <c r="AR383" s="68" t="str">
        <f aca="false">IF(AQ383="","",IF(AQ383&lt;15,"Under 15m",IF(AQ383&lt;60,"15-60m",IF(AQ383&lt;240,"1-4 hours","4+ hours"))))</f>
        <v/>
      </c>
      <c r="AS383" s="66" t="str">
        <f aca="false">IF(G383="","",HOUR(G383))</f>
        <v/>
      </c>
      <c r="AT383" s="80" t="str">
        <f aca="false">IF(OR(Z383="",AB383="",BL383=""),"",IFERROR(ROUND(IF(J383="Short",Z383-AB383,AB383-Z383)/BL383,1),""))</f>
        <v/>
      </c>
      <c r="AU383" s="68" t="str">
        <f aca="false">IF(OR(AA383="",AC383=""),"",IF(AA383=AC383,"No","Yes"))</f>
        <v/>
      </c>
      <c r="AV383" s="81" t="str">
        <f aca="false">IF(OR(B383="",BL383="",BM383="",AB383="",AC383=""),"",IFERROR(ROUND(AI383/(ABS(AB383-AC383)/BL383*BM383),2),""))</f>
        <v/>
      </c>
      <c r="AW383" s="76" t="str">
        <f aca="false">IF(B383="","",ROUND(BK383+SUMIFS(AM$5:AM382,BJ$5:BJ382,BJ383),2))</f>
        <v/>
      </c>
      <c r="AX383" s="66" t="str">
        <f aca="false">IF(B383="","",COUNTIFS(B$6:B383,B383,BJ$6:BJ383,BJ383))</f>
        <v/>
      </c>
      <c r="AY383" s="79" t="str">
        <f aca="false">IF(B383="","",ROUND(SUMIFS(AM$5:AM382,B$5:B382,B383,BJ$5:BJ382,BJ383),2))</f>
        <v/>
      </c>
      <c r="AZ383" s="79" t="str">
        <f aca="false">IF(AM383="","",ROUND(AY383+AM383,2))</f>
        <v/>
      </c>
      <c r="BA383" s="79" t="str">
        <f aca="false">IF(B383="","",ROUND(SUMIFS(AM$5:AM382,B$5:B382,"&gt;="&amp;(B383-WEEKDAY(B383,2)+1),B$5:B382,"&lt;="&amp;B383,BJ$5:BJ382,BJ383),2))</f>
        <v/>
      </c>
      <c r="BB383" s="68" t="str">
        <f aca="false">IF(B383="","",IF(AND(AF383&lt;&gt;"",AV383&lt;&gt;"",N(AF383)&gt;N(AV383)*(1+Settings!$C$13)),"Oversized",IF(AX383&gt;Settings!$C$10,"Overtraded",IF(AY383&lt;=-Settings!$C$11*(AW383-AY383),"Daily loss hit",IF(BA383&lt;=-Settings!$C$12*(AW383-BA383),"Weekly loss hit","OK")))))</f>
        <v/>
      </c>
      <c r="BC383" s="69"/>
      <c r="BD383" s="69"/>
      <c r="BE383" s="69"/>
      <c r="BF383" s="73"/>
      <c r="BG383" s="73"/>
      <c r="BH383" s="71"/>
      <c r="BI383" s="71"/>
      <c r="BJ383" s="68" t="str">
        <f aca="false">IF(B383="","",IF(E383="",Settings!$F$5,E383))</f>
        <v/>
      </c>
      <c r="BK383" s="76" t="str">
        <f aca="false">IF(B383="","",IFERROR(INDEX(Settings!$G$5:$G$10,MATCH(BJ383,Settings!$F$5:$F$10,0)),Settings!$G$5))</f>
        <v/>
      </c>
      <c r="BL383" s="82" t="str">
        <f aca="false">IF(I383="","",IFERROR(1/(1/INDEX(Lists!$C$6:$C$17,MATCH(I383,Lists!$B$6:$B$17,0))),""))</f>
        <v/>
      </c>
      <c r="BM383" s="81" t="str">
        <f aca="false">IF(I383="","",IFERROR(1/(1/INDEX(Lists!$D$6:$D$17,MATCH(I383,Lists!$B$6:$B$17,0))),""))</f>
        <v/>
      </c>
      <c r="BN383" s="76" t="str">
        <f aca="false">IF(AN383="","",MAX(BK383,_xlfn.MAXIFS(AN$6:AN383,BJ$6:BJ383,BJ383)))</f>
        <v/>
      </c>
      <c r="BO383" s="83" t="str">
        <f aca="false">IF(AN383="","",(AN383-BN383)/BN383)</f>
        <v/>
      </c>
      <c r="BP383" s="66" t="n">
        <f aca="false">IF(OR(B383="",AL383=""),0,IF(OR(Settings!$C$28="All Accounts",BJ383=Settings!$C$28),1,0))</f>
        <v>0</v>
      </c>
      <c r="BQ383" s="66" t="str">
        <f aca="false">IF(BP383=1,SUM(BP$6:BP383),"")</f>
        <v/>
      </c>
      <c r="BR383" s="76" t="str">
        <f aca="false">IF(BP383=1,ROUND(Settings!$C$29+SUMIFS(AM$6:AM383,BP$6:BP383,1),2),"")</f>
        <v/>
      </c>
      <c r="BS383" s="76" t="str">
        <f aca="false">IF(BP383=1,MAX(Settings!$C$29,MAX(BR$6:BR383)),"")</f>
        <v/>
      </c>
      <c r="BT383" s="83" t="str">
        <f aca="false">IF(BP383=1,(BR383-BS383)/BS383,"")</f>
        <v/>
      </c>
      <c r="BU383" s="66" t="str">
        <f aca="false">IF(BP383=1,IF(AL383="Win",1+IF(BQ383=1,0,INDEX(BU$5:BU382,MATCH(BQ383-1,BQ$5:BQ382,0))),0),"")</f>
        <v/>
      </c>
      <c r="BV383" s="66" t="str">
        <f aca="false">IF(BP383=1,IF(AL383="Loss",1+IF(BQ383=1,0,INDEX(BV$5:BV382,MATCH(BQ383-1,BQ$5:BQ382,0))),0),"")</f>
        <v/>
      </c>
    </row>
    <row r="384" customFormat="false" ht="15" hidden="false" customHeight="false" outlineLevel="0" collapsed="false">
      <c r="A384" s="66" t="str">
        <f aca="false">IF(B384="","",ROW()-5)</f>
        <v/>
      </c>
      <c r="B384" s="67"/>
      <c r="C384" s="68" t="str">
        <f aca="false">IF(B384="","",CHOOSE(WEEKDAY(B384,2),"Mon","Tue","Wed","Thu","Fri","Sat","Sun"))</f>
        <v/>
      </c>
      <c r="D384" s="66" t="str">
        <f aca="false">IF(B384="","",WEEKNUM(B384,2))</f>
        <v/>
      </c>
      <c r="E384" s="69"/>
      <c r="F384" s="69"/>
      <c r="G384" s="70"/>
      <c r="H384" s="70"/>
      <c r="I384" s="69"/>
      <c r="J384" s="69"/>
      <c r="K384" s="69"/>
      <c r="L384" s="71"/>
      <c r="M384" s="69"/>
      <c r="N384" s="69"/>
      <c r="O384" s="69"/>
      <c r="P384" s="71"/>
      <c r="Q384" s="69"/>
      <c r="R384" s="69"/>
      <c r="S384" s="69"/>
      <c r="T384" s="69"/>
      <c r="U384" s="69"/>
      <c r="V384" s="69"/>
      <c r="W384" s="69"/>
      <c r="X384" s="66" t="str">
        <f aca="false">IF(B384="","",COUNTIF(Q384:W384,"Yes"))</f>
        <v/>
      </c>
      <c r="Y384" s="68" t="str">
        <f aca="false">IF(B384="","",IF(X384&gt;=Settings!$C$16,"A+",IF(X384&gt;=Settings!$C$17,"A",IF(X384&gt;=Settings!$C$18,"B","C"))))</f>
        <v/>
      </c>
      <c r="Z384" s="72"/>
      <c r="AA384" s="72"/>
      <c r="AB384" s="72"/>
      <c r="AC384" s="72"/>
      <c r="AD384" s="72"/>
      <c r="AE384" s="72"/>
      <c r="AF384" s="73"/>
      <c r="AG384" s="74"/>
      <c r="AH384" s="75"/>
      <c r="AI384" s="76" t="str">
        <f aca="false">IF(B384="","",ROUND(IF(AG384="",Settings!$C$5,AG384)*AW384,2))</f>
        <v/>
      </c>
      <c r="AJ384" s="77" t="str">
        <f aca="false">IF(OR(B384="",AB384="",AC384="",AD384=""),"",IFERROR(ROUND(ABS(AD384-AB384)/ABS(AB384-AC384),2),""))</f>
        <v/>
      </c>
      <c r="AK384" s="78" t="str">
        <f aca="false">IF(OR(B384="",AB384="",AC384="",AE384=""),"",IFERROR(ROUND(IF(J384="Short",AB384-AE384,AE384-AB384)/ABS(AB384-AC384),2),""))</f>
        <v/>
      </c>
      <c r="AL384" s="68" t="str">
        <f aca="false">IF(AK384="","",IF(ABS(AK384)&lt;=Settings!$C$6,"BE",IF(AK384&gt;0,"Win","Loss")))</f>
        <v/>
      </c>
      <c r="AM384" s="79" t="str">
        <f aca="false">IF(OR(AK384="",AI384=""),"",ROUND(AK384*AI384-N(AH384),2))</f>
        <v/>
      </c>
      <c r="AN384" s="76" t="str">
        <f aca="false">IF(AM384="","",ROUND(BK384+SUMIFS(AM$6:AM384,BJ$6:BJ384,BJ384),2))</f>
        <v/>
      </c>
      <c r="AO384" s="78" t="str">
        <f aca="false">IF(AK384="","",ROUND(SUMIFS(AK$6:AK384,BJ$6:BJ384,BJ384),2))</f>
        <v/>
      </c>
      <c r="AP384" s="80" t="str">
        <f aca="false">IF(OR(AK384="",BL384=""),"",IFERROR(ROUND(IF(J384="Short",AB384-AE384,AE384-AB384)/BL384,1),""))</f>
        <v/>
      </c>
      <c r="AQ384" s="66" t="str">
        <f aca="false">IF(OR(G384="",H384=""),"",ROUND(MOD(H384-G384,1)*1440,0))</f>
        <v/>
      </c>
      <c r="AR384" s="68" t="str">
        <f aca="false">IF(AQ384="","",IF(AQ384&lt;15,"Under 15m",IF(AQ384&lt;60,"15-60m",IF(AQ384&lt;240,"1-4 hours","4+ hours"))))</f>
        <v/>
      </c>
      <c r="AS384" s="66" t="str">
        <f aca="false">IF(G384="","",HOUR(G384))</f>
        <v/>
      </c>
      <c r="AT384" s="80" t="str">
        <f aca="false">IF(OR(Z384="",AB384="",BL384=""),"",IFERROR(ROUND(IF(J384="Short",Z384-AB384,AB384-Z384)/BL384,1),""))</f>
        <v/>
      </c>
      <c r="AU384" s="68" t="str">
        <f aca="false">IF(OR(AA384="",AC384=""),"",IF(AA384=AC384,"No","Yes"))</f>
        <v/>
      </c>
      <c r="AV384" s="81" t="str">
        <f aca="false">IF(OR(B384="",BL384="",BM384="",AB384="",AC384=""),"",IFERROR(ROUND(AI384/(ABS(AB384-AC384)/BL384*BM384),2),""))</f>
        <v/>
      </c>
      <c r="AW384" s="76" t="str">
        <f aca="false">IF(B384="","",ROUND(BK384+SUMIFS(AM$5:AM383,BJ$5:BJ383,BJ384),2))</f>
        <v/>
      </c>
      <c r="AX384" s="66" t="str">
        <f aca="false">IF(B384="","",COUNTIFS(B$6:B384,B384,BJ$6:BJ384,BJ384))</f>
        <v/>
      </c>
      <c r="AY384" s="79" t="str">
        <f aca="false">IF(B384="","",ROUND(SUMIFS(AM$5:AM383,B$5:B383,B384,BJ$5:BJ383,BJ384),2))</f>
        <v/>
      </c>
      <c r="AZ384" s="79" t="str">
        <f aca="false">IF(AM384="","",ROUND(AY384+AM384,2))</f>
        <v/>
      </c>
      <c r="BA384" s="79" t="str">
        <f aca="false">IF(B384="","",ROUND(SUMIFS(AM$5:AM383,B$5:B383,"&gt;="&amp;(B384-WEEKDAY(B384,2)+1),B$5:B383,"&lt;="&amp;B384,BJ$5:BJ383,BJ384),2))</f>
        <v/>
      </c>
      <c r="BB384" s="68" t="str">
        <f aca="false">IF(B384="","",IF(AND(AF384&lt;&gt;"",AV384&lt;&gt;"",N(AF384)&gt;N(AV384)*(1+Settings!$C$13)),"Oversized",IF(AX384&gt;Settings!$C$10,"Overtraded",IF(AY384&lt;=-Settings!$C$11*(AW384-AY384),"Daily loss hit",IF(BA384&lt;=-Settings!$C$12*(AW384-BA384),"Weekly loss hit","OK")))))</f>
        <v/>
      </c>
      <c r="BC384" s="69"/>
      <c r="BD384" s="69"/>
      <c r="BE384" s="69"/>
      <c r="BF384" s="73"/>
      <c r="BG384" s="73"/>
      <c r="BH384" s="71"/>
      <c r="BI384" s="71"/>
      <c r="BJ384" s="68" t="str">
        <f aca="false">IF(B384="","",IF(E384="",Settings!$F$5,E384))</f>
        <v/>
      </c>
      <c r="BK384" s="76" t="str">
        <f aca="false">IF(B384="","",IFERROR(INDEX(Settings!$G$5:$G$10,MATCH(BJ384,Settings!$F$5:$F$10,0)),Settings!$G$5))</f>
        <v/>
      </c>
      <c r="BL384" s="82" t="str">
        <f aca="false">IF(I384="","",IFERROR(1/(1/INDEX(Lists!$C$6:$C$17,MATCH(I384,Lists!$B$6:$B$17,0))),""))</f>
        <v/>
      </c>
      <c r="BM384" s="81" t="str">
        <f aca="false">IF(I384="","",IFERROR(1/(1/INDEX(Lists!$D$6:$D$17,MATCH(I384,Lists!$B$6:$B$17,0))),""))</f>
        <v/>
      </c>
      <c r="BN384" s="76" t="str">
        <f aca="false">IF(AN384="","",MAX(BK384,_xlfn.MAXIFS(AN$6:AN384,BJ$6:BJ384,BJ384)))</f>
        <v/>
      </c>
      <c r="BO384" s="83" t="str">
        <f aca="false">IF(AN384="","",(AN384-BN384)/BN384)</f>
        <v/>
      </c>
      <c r="BP384" s="66" t="n">
        <f aca="false">IF(OR(B384="",AL384=""),0,IF(OR(Settings!$C$28="All Accounts",BJ384=Settings!$C$28),1,0))</f>
        <v>0</v>
      </c>
      <c r="BQ384" s="66" t="str">
        <f aca="false">IF(BP384=1,SUM(BP$6:BP384),"")</f>
        <v/>
      </c>
      <c r="BR384" s="76" t="str">
        <f aca="false">IF(BP384=1,ROUND(Settings!$C$29+SUMIFS(AM$6:AM384,BP$6:BP384,1),2),"")</f>
        <v/>
      </c>
      <c r="BS384" s="76" t="str">
        <f aca="false">IF(BP384=1,MAX(Settings!$C$29,MAX(BR$6:BR384)),"")</f>
        <v/>
      </c>
      <c r="BT384" s="83" t="str">
        <f aca="false">IF(BP384=1,(BR384-BS384)/BS384,"")</f>
        <v/>
      </c>
      <c r="BU384" s="66" t="str">
        <f aca="false">IF(BP384=1,IF(AL384="Win",1+IF(BQ384=1,0,INDEX(BU$5:BU383,MATCH(BQ384-1,BQ$5:BQ383,0))),0),"")</f>
        <v/>
      </c>
      <c r="BV384" s="66" t="str">
        <f aca="false">IF(BP384=1,IF(AL384="Loss",1+IF(BQ384=1,0,INDEX(BV$5:BV383,MATCH(BQ384-1,BQ$5:BQ383,0))),0),"")</f>
        <v/>
      </c>
    </row>
    <row r="385" customFormat="false" ht="15" hidden="false" customHeight="false" outlineLevel="0" collapsed="false">
      <c r="A385" s="66" t="str">
        <f aca="false">IF(B385="","",ROW()-5)</f>
        <v/>
      </c>
      <c r="B385" s="67"/>
      <c r="C385" s="68" t="str">
        <f aca="false">IF(B385="","",CHOOSE(WEEKDAY(B385,2),"Mon","Tue","Wed","Thu","Fri","Sat","Sun"))</f>
        <v/>
      </c>
      <c r="D385" s="66" t="str">
        <f aca="false">IF(B385="","",WEEKNUM(B385,2))</f>
        <v/>
      </c>
      <c r="E385" s="69"/>
      <c r="F385" s="69"/>
      <c r="G385" s="70"/>
      <c r="H385" s="70"/>
      <c r="I385" s="69"/>
      <c r="J385" s="69"/>
      <c r="K385" s="69"/>
      <c r="L385" s="71"/>
      <c r="M385" s="69"/>
      <c r="N385" s="69"/>
      <c r="O385" s="69"/>
      <c r="P385" s="71"/>
      <c r="Q385" s="69"/>
      <c r="R385" s="69"/>
      <c r="S385" s="69"/>
      <c r="T385" s="69"/>
      <c r="U385" s="69"/>
      <c r="V385" s="69"/>
      <c r="W385" s="69"/>
      <c r="X385" s="66" t="str">
        <f aca="false">IF(B385="","",COUNTIF(Q385:W385,"Yes"))</f>
        <v/>
      </c>
      <c r="Y385" s="68" t="str">
        <f aca="false">IF(B385="","",IF(X385&gt;=Settings!$C$16,"A+",IF(X385&gt;=Settings!$C$17,"A",IF(X385&gt;=Settings!$C$18,"B","C"))))</f>
        <v/>
      </c>
      <c r="Z385" s="72"/>
      <c r="AA385" s="72"/>
      <c r="AB385" s="72"/>
      <c r="AC385" s="72"/>
      <c r="AD385" s="72"/>
      <c r="AE385" s="72"/>
      <c r="AF385" s="73"/>
      <c r="AG385" s="74"/>
      <c r="AH385" s="75"/>
      <c r="AI385" s="76" t="str">
        <f aca="false">IF(B385="","",ROUND(IF(AG385="",Settings!$C$5,AG385)*AW385,2))</f>
        <v/>
      </c>
      <c r="AJ385" s="77" t="str">
        <f aca="false">IF(OR(B385="",AB385="",AC385="",AD385=""),"",IFERROR(ROUND(ABS(AD385-AB385)/ABS(AB385-AC385),2),""))</f>
        <v/>
      </c>
      <c r="AK385" s="78" t="str">
        <f aca="false">IF(OR(B385="",AB385="",AC385="",AE385=""),"",IFERROR(ROUND(IF(J385="Short",AB385-AE385,AE385-AB385)/ABS(AB385-AC385),2),""))</f>
        <v/>
      </c>
      <c r="AL385" s="68" t="str">
        <f aca="false">IF(AK385="","",IF(ABS(AK385)&lt;=Settings!$C$6,"BE",IF(AK385&gt;0,"Win","Loss")))</f>
        <v/>
      </c>
      <c r="AM385" s="79" t="str">
        <f aca="false">IF(OR(AK385="",AI385=""),"",ROUND(AK385*AI385-N(AH385),2))</f>
        <v/>
      </c>
      <c r="AN385" s="76" t="str">
        <f aca="false">IF(AM385="","",ROUND(BK385+SUMIFS(AM$6:AM385,BJ$6:BJ385,BJ385),2))</f>
        <v/>
      </c>
      <c r="AO385" s="78" t="str">
        <f aca="false">IF(AK385="","",ROUND(SUMIFS(AK$6:AK385,BJ$6:BJ385,BJ385),2))</f>
        <v/>
      </c>
      <c r="AP385" s="80" t="str">
        <f aca="false">IF(OR(AK385="",BL385=""),"",IFERROR(ROUND(IF(J385="Short",AB385-AE385,AE385-AB385)/BL385,1),""))</f>
        <v/>
      </c>
      <c r="AQ385" s="66" t="str">
        <f aca="false">IF(OR(G385="",H385=""),"",ROUND(MOD(H385-G385,1)*1440,0))</f>
        <v/>
      </c>
      <c r="AR385" s="68" t="str">
        <f aca="false">IF(AQ385="","",IF(AQ385&lt;15,"Under 15m",IF(AQ385&lt;60,"15-60m",IF(AQ385&lt;240,"1-4 hours","4+ hours"))))</f>
        <v/>
      </c>
      <c r="AS385" s="66" t="str">
        <f aca="false">IF(G385="","",HOUR(G385))</f>
        <v/>
      </c>
      <c r="AT385" s="80" t="str">
        <f aca="false">IF(OR(Z385="",AB385="",BL385=""),"",IFERROR(ROUND(IF(J385="Short",Z385-AB385,AB385-Z385)/BL385,1),""))</f>
        <v/>
      </c>
      <c r="AU385" s="68" t="str">
        <f aca="false">IF(OR(AA385="",AC385=""),"",IF(AA385=AC385,"No","Yes"))</f>
        <v/>
      </c>
      <c r="AV385" s="81" t="str">
        <f aca="false">IF(OR(B385="",BL385="",BM385="",AB385="",AC385=""),"",IFERROR(ROUND(AI385/(ABS(AB385-AC385)/BL385*BM385),2),""))</f>
        <v/>
      </c>
      <c r="AW385" s="76" t="str">
        <f aca="false">IF(B385="","",ROUND(BK385+SUMIFS(AM$5:AM384,BJ$5:BJ384,BJ385),2))</f>
        <v/>
      </c>
      <c r="AX385" s="66" t="str">
        <f aca="false">IF(B385="","",COUNTIFS(B$6:B385,B385,BJ$6:BJ385,BJ385))</f>
        <v/>
      </c>
      <c r="AY385" s="79" t="str">
        <f aca="false">IF(B385="","",ROUND(SUMIFS(AM$5:AM384,B$5:B384,B385,BJ$5:BJ384,BJ385),2))</f>
        <v/>
      </c>
      <c r="AZ385" s="79" t="str">
        <f aca="false">IF(AM385="","",ROUND(AY385+AM385,2))</f>
        <v/>
      </c>
      <c r="BA385" s="79" t="str">
        <f aca="false">IF(B385="","",ROUND(SUMIFS(AM$5:AM384,B$5:B384,"&gt;="&amp;(B385-WEEKDAY(B385,2)+1),B$5:B384,"&lt;="&amp;B385,BJ$5:BJ384,BJ385),2))</f>
        <v/>
      </c>
      <c r="BB385" s="68" t="str">
        <f aca="false">IF(B385="","",IF(AND(AF385&lt;&gt;"",AV385&lt;&gt;"",N(AF385)&gt;N(AV385)*(1+Settings!$C$13)),"Oversized",IF(AX385&gt;Settings!$C$10,"Overtraded",IF(AY385&lt;=-Settings!$C$11*(AW385-AY385),"Daily loss hit",IF(BA385&lt;=-Settings!$C$12*(AW385-BA385),"Weekly loss hit","OK")))))</f>
        <v/>
      </c>
      <c r="BC385" s="69"/>
      <c r="BD385" s="69"/>
      <c r="BE385" s="69"/>
      <c r="BF385" s="73"/>
      <c r="BG385" s="73"/>
      <c r="BH385" s="71"/>
      <c r="BI385" s="71"/>
      <c r="BJ385" s="68" t="str">
        <f aca="false">IF(B385="","",IF(E385="",Settings!$F$5,E385))</f>
        <v/>
      </c>
      <c r="BK385" s="76" t="str">
        <f aca="false">IF(B385="","",IFERROR(INDEX(Settings!$G$5:$G$10,MATCH(BJ385,Settings!$F$5:$F$10,0)),Settings!$G$5))</f>
        <v/>
      </c>
      <c r="BL385" s="82" t="str">
        <f aca="false">IF(I385="","",IFERROR(1/(1/INDEX(Lists!$C$6:$C$17,MATCH(I385,Lists!$B$6:$B$17,0))),""))</f>
        <v/>
      </c>
      <c r="BM385" s="81" t="str">
        <f aca="false">IF(I385="","",IFERROR(1/(1/INDEX(Lists!$D$6:$D$17,MATCH(I385,Lists!$B$6:$B$17,0))),""))</f>
        <v/>
      </c>
      <c r="BN385" s="76" t="str">
        <f aca="false">IF(AN385="","",MAX(BK385,_xlfn.MAXIFS(AN$6:AN385,BJ$6:BJ385,BJ385)))</f>
        <v/>
      </c>
      <c r="BO385" s="83" t="str">
        <f aca="false">IF(AN385="","",(AN385-BN385)/BN385)</f>
        <v/>
      </c>
      <c r="BP385" s="66" t="n">
        <f aca="false">IF(OR(B385="",AL385=""),0,IF(OR(Settings!$C$28="All Accounts",BJ385=Settings!$C$28),1,0))</f>
        <v>0</v>
      </c>
      <c r="BQ385" s="66" t="str">
        <f aca="false">IF(BP385=1,SUM(BP$6:BP385),"")</f>
        <v/>
      </c>
      <c r="BR385" s="76" t="str">
        <f aca="false">IF(BP385=1,ROUND(Settings!$C$29+SUMIFS(AM$6:AM385,BP$6:BP385,1),2),"")</f>
        <v/>
      </c>
      <c r="BS385" s="76" t="str">
        <f aca="false">IF(BP385=1,MAX(Settings!$C$29,MAX(BR$6:BR385)),"")</f>
        <v/>
      </c>
      <c r="BT385" s="83" t="str">
        <f aca="false">IF(BP385=1,(BR385-BS385)/BS385,"")</f>
        <v/>
      </c>
      <c r="BU385" s="66" t="str">
        <f aca="false">IF(BP385=1,IF(AL385="Win",1+IF(BQ385=1,0,INDEX(BU$5:BU384,MATCH(BQ385-1,BQ$5:BQ384,0))),0),"")</f>
        <v/>
      </c>
      <c r="BV385" s="66" t="str">
        <f aca="false">IF(BP385=1,IF(AL385="Loss",1+IF(BQ385=1,0,INDEX(BV$5:BV384,MATCH(BQ385-1,BQ$5:BQ384,0))),0),"")</f>
        <v/>
      </c>
    </row>
    <row r="386" customFormat="false" ht="15" hidden="false" customHeight="false" outlineLevel="0" collapsed="false">
      <c r="A386" s="66" t="str">
        <f aca="false">IF(B386="","",ROW()-5)</f>
        <v/>
      </c>
      <c r="B386" s="67"/>
      <c r="C386" s="68" t="str">
        <f aca="false">IF(B386="","",CHOOSE(WEEKDAY(B386,2),"Mon","Tue","Wed","Thu","Fri","Sat","Sun"))</f>
        <v/>
      </c>
      <c r="D386" s="66" t="str">
        <f aca="false">IF(B386="","",WEEKNUM(B386,2))</f>
        <v/>
      </c>
      <c r="E386" s="69"/>
      <c r="F386" s="69"/>
      <c r="G386" s="70"/>
      <c r="H386" s="70"/>
      <c r="I386" s="69"/>
      <c r="J386" s="69"/>
      <c r="K386" s="69"/>
      <c r="L386" s="71"/>
      <c r="M386" s="69"/>
      <c r="N386" s="69"/>
      <c r="O386" s="69"/>
      <c r="P386" s="71"/>
      <c r="Q386" s="69"/>
      <c r="R386" s="69"/>
      <c r="S386" s="69"/>
      <c r="T386" s="69"/>
      <c r="U386" s="69"/>
      <c r="V386" s="69"/>
      <c r="W386" s="69"/>
      <c r="X386" s="66" t="str">
        <f aca="false">IF(B386="","",COUNTIF(Q386:W386,"Yes"))</f>
        <v/>
      </c>
      <c r="Y386" s="68" t="str">
        <f aca="false">IF(B386="","",IF(X386&gt;=Settings!$C$16,"A+",IF(X386&gt;=Settings!$C$17,"A",IF(X386&gt;=Settings!$C$18,"B","C"))))</f>
        <v/>
      </c>
      <c r="Z386" s="72"/>
      <c r="AA386" s="72"/>
      <c r="AB386" s="72"/>
      <c r="AC386" s="72"/>
      <c r="AD386" s="72"/>
      <c r="AE386" s="72"/>
      <c r="AF386" s="73"/>
      <c r="AG386" s="74"/>
      <c r="AH386" s="75"/>
      <c r="AI386" s="76" t="str">
        <f aca="false">IF(B386="","",ROUND(IF(AG386="",Settings!$C$5,AG386)*AW386,2))</f>
        <v/>
      </c>
      <c r="AJ386" s="77" t="str">
        <f aca="false">IF(OR(B386="",AB386="",AC386="",AD386=""),"",IFERROR(ROUND(ABS(AD386-AB386)/ABS(AB386-AC386),2),""))</f>
        <v/>
      </c>
      <c r="AK386" s="78" t="str">
        <f aca="false">IF(OR(B386="",AB386="",AC386="",AE386=""),"",IFERROR(ROUND(IF(J386="Short",AB386-AE386,AE386-AB386)/ABS(AB386-AC386),2),""))</f>
        <v/>
      </c>
      <c r="AL386" s="68" t="str">
        <f aca="false">IF(AK386="","",IF(ABS(AK386)&lt;=Settings!$C$6,"BE",IF(AK386&gt;0,"Win","Loss")))</f>
        <v/>
      </c>
      <c r="AM386" s="79" t="str">
        <f aca="false">IF(OR(AK386="",AI386=""),"",ROUND(AK386*AI386-N(AH386),2))</f>
        <v/>
      </c>
      <c r="AN386" s="76" t="str">
        <f aca="false">IF(AM386="","",ROUND(BK386+SUMIFS(AM$6:AM386,BJ$6:BJ386,BJ386),2))</f>
        <v/>
      </c>
      <c r="AO386" s="78" t="str">
        <f aca="false">IF(AK386="","",ROUND(SUMIFS(AK$6:AK386,BJ$6:BJ386,BJ386),2))</f>
        <v/>
      </c>
      <c r="AP386" s="80" t="str">
        <f aca="false">IF(OR(AK386="",BL386=""),"",IFERROR(ROUND(IF(J386="Short",AB386-AE386,AE386-AB386)/BL386,1),""))</f>
        <v/>
      </c>
      <c r="AQ386" s="66" t="str">
        <f aca="false">IF(OR(G386="",H386=""),"",ROUND(MOD(H386-G386,1)*1440,0))</f>
        <v/>
      </c>
      <c r="AR386" s="68" t="str">
        <f aca="false">IF(AQ386="","",IF(AQ386&lt;15,"Under 15m",IF(AQ386&lt;60,"15-60m",IF(AQ386&lt;240,"1-4 hours","4+ hours"))))</f>
        <v/>
      </c>
      <c r="AS386" s="66" t="str">
        <f aca="false">IF(G386="","",HOUR(G386))</f>
        <v/>
      </c>
      <c r="AT386" s="80" t="str">
        <f aca="false">IF(OR(Z386="",AB386="",BL386=""),"",IFERROR(ROUND(IF(J386="Short",Z386-AB386,AB386-Z386)/BL386,1),""))</f>
        <v/>
      </c>
      <c r="AU386" s="68" t="str">
        <f aca="false">IF(OR(AA386="",AC386=""),"",IF(AA386=AC386,"No","Yes"))</f>
        <v/>
      </c>
      <c r="AV386" s="81" t="str">
        <f aca="false">IF(OR(B386="",BL386="",BM386="",AB386="",AC386=""),"",IFERROR(ROUND(AI386/(ABS(AB386-AC386)/BL386*BM386),2),""))</f>
        <v/>
      </c>
      <c r="AW386" s="76" t="str">
        <f aca="false">IF(B386="","",ROUND(BK386+SUMIFS(AM$5:AM385,BJ$5:BJ385,BJ386),2))</f>
        <v/>
      </c>
      <c r="AX386" s="66" t="str">
        <f aca="false">IF(B386="","",COUNTIFS(B$6:B386,B386,BJ$6:BJ386,BJ386))</f>
        <v/>
      </c>
      <c r="AY386" s="79" t="str">
        <f aca="false">IF(B386="","",ROUND(SUMIFS(AM$5:AM385,B$5:B385,B386,BJ$5:BJ385,BJ386),2))</f>
        <v/>
      </c>
      <c r="AZ386" s="79" t="str">
        <f aca="false">IF(AM386="","",ROUND(AY386+AM386,2))</f>
        <v/>
      </c>
      <c r="BA386" s="79" t="str">
        <f aca="false">IF(B386="","",ROUND(SUMIFS(AM$5:AM385,B$5:B385,"&gt;="&amp;(B386-WEEKDAY(B386,2)+1),B$5:B385,"&lt;="&amp;B386,BJ$5:BJ385,BJ386),2))</f>
        <v/>
      </c>
      <c r="BB386" s="68" t="str">
        <f aca="false">IF(B386="","",IF(AND(AF386&lt;&gt;"",AV386&lt;&gt;"",N(AF386)&gt;N(AV386)*(1+Settings!$C$13)),"Oversized",IF(AX386&gt;Settings!$C$10,"Overtraded",IF(AY386&lt;=-Settings!$C$11*(AW386-AY386),"Daily loss hit",IF(BA386&lt;=-Settings!$C$12*(AW386-BA386),"Weekly loss hit","OK")))))</f>
        <v/>
      </c>
      <c r="BC386" s="69"/>
      <c r="BD386" s="69"/>
      <c r="BE386" s="69"/>
      <c r="BF386" s="73"/>
      <c r="BG386" s="73"/>
      <c r="BH386" s="71"/>
      <c r="BI386" s="71"/>
      <c r="BJ386" s="68" t="str">
        <f aca="false">IF(B386="","",IF(E386="",Settings!$F$5,E386))</f>
        <v/>
      </c>
      <c r="BK386" s="76" t="str">
        <f aca="false">IF(B386="","",IFERROR(INDEX(Settings!$G$5:$G$10,MATCH(BJ386,Settings!$F$5:$F$10,0)),Settings!$G$5))</f>
        <v/>
      </c>
      <c r="BL386" s="82" t="str">
        <f aca="false">IF(I386="","",IFERROR(1/(1/INDEX(Lists!$C$6:$C$17,MATCH(I386,Lists!$B$6:$B$17,0))),""))</f>
        <v/>
      </c>
      <c r="BM386" s="81" t="str">
        <f aca="false">IF(I386="","",IFERROR(1/(1/INDEX(Lists!$D$6:$D$17,MATCH(I386,Lists!$B$6:$B$17,0))),""))</f>
        <v/>
      </c>
      <c r="BN386" s="76" t="str">
        <f aca="false">IF(AN386="","",MAX(BK386,_xlfn.MAXIFS(AN$6:AN386,BJ$6:BJ386,BJ386)))</f>
        <v/>
      </c>
      <c r="BO386" s="83" t="str">
        <f aca="false">IF(AN386="","",(AN386-BN386)/BN386)</f>
        <v/>
      </c>
      <c r="BP386" s="66" t="n">
        <f aca="false">IF(OR(B386="",AL386=""),0,IF(OR(Settings!$C$28="All Accounts",BJ386=Settings!$C$28),1,0))</f>
        <v>0</v>
      </c>
      <c r="BQ386" s="66" t="str">
        <f aca="false">IF(BP386=1,SUM(BP$6:BP386),"")</f>
        <v/>
      </c>
      <c r="BR386" s="76" t="str">
        <f aca="false">IF(BP386=1,ROUND(Settings!$C$29+SUMIFS(AM$6:AM386,BP$6:BP386,1),2),"")</f>
        <v/>
      </c>
      <c r="BS386" s="76" t="str">
        <f aca="false">IF(BP386=1,MAX(Settings!$C$29,MAX(BR$6:BR386)),"")</f>
        <v/>
      </c>
      <c r="BT386" s="83" t="str">
        <f aca="false">IF(BP386=1,(BR386-BS386)/BS386,"")</f>
        <v/>
      </c>
      <c r="BU386" s="66" t="str">
        <f aca="false">IF(BP386=1,IF(AL386="Win",1+IF(BQ386=1,0,INDEX(BU$5:BU385,MATCH(BQ386-1,BQ$5:BQ385,0))),0),"")</f>
        <v/>
      </c>
      <c r="BV386" s="66" t="str">
        <f aca="false">IF(BP386=1,IF(AL386="Loss",1+IF(BQ386=1,0,INDEX(BV$5:BV385,MATCH(BQ386-1,BQ$5:BQ385,0))),0),"")</f>
        <v/>
      </c>
    </row>
    <row r="387" customFormat="false" ht="15" hidden="false" customHeight="false" outlineLevel="0" collapsed="false">
      <c r="A387" s="66" t="str">
        <f aca="false">IF(B387="","",ROW()-5)</f>
        <v/>
      </c>
      <c r="B387" s="67"/>
      <c r="C387" s="68" t="str">
        <f aca="false">IF(B387="","",CHOOSE(WEEKDAY(B387,2),"Mon","Tue","Wed","Thu","Fri","Sat","Sun"))</f>
        <v/>
      </c>
      <c r="D387" s="66" t="str">
        <f aca="false">IF(B387="","",WEEKNUM(B387,2))</f>
        <v/>
      </c>
      <c r="E387" s="69"/>
      <c r="F387" s="69"/>
      <c r="G387" s="70"/>
      <c r="H387" s="70"/>
      <c r="I387" s="69"/>
      <c r="J387" s="69"/>
      <c r="K387" s="69"/>
      <c r="L387" s="71"/>
      <c r="M387" s="69"/>
      <c r="N387" s="69"/>
      <c r="O387" s="69"/>
      <c r="P387" s="71"/>
      <c r="Q387" s="69"/>
      <c r="R387" s="69"/>
      <c r="S387" s="69"/>
      <c r="T387" s="69"/>
      <c r="U387" s="69"/>
      <c r="V387" s="69"/>
      <c r="W387" s="69"/>
      <c r="X387" s="66" t="str">
        <f aca="false">IF(B387="","",COUNTIF(Q387:W387,"Yes"))</f>
        <v/>
      </c>
      <c r="Y387" s="68" t="str">
        <f aca="false">IF(B387="","",IF(X387&gt;=Settings!$C$16,"A+",IF(X387&gt;=Settings!$C$17,"A",IF(X387&gt;=Settings!$C$18,"B","C"))))</f>
        <v/>
      </c>
      <c r="Z387" s="72"/>
      <c r="AA387" s="72"/>
      <c r="AB387" s="72"/>
      <c r="AC387" s="72"/>
      <c r="AD387" s="72"/>
      <c r="AE387" s="72"/>
      <c r="AF387" s="73"/>
      <c r="AG387" s="74"/>
      <c r="AH387" s="75"/>
      <c r="AI387" s="76" t="str">
        <f aca="false">IF(B387="","",ROUND(IF(AG387="",Settings!$C$5,AG387)*AW387,2))</f>
        <v/>
      </c>
      <c r="AJ387" s="77" t="str">
        <f aca="false">IF(OR(B387="",AB387="",AC387="",AD387=""),"",IFERROR(ROUND(ABS(AD387-AB387)/ABS(AB387-AC387),2),""))</f>
        <v/>
      </c>
      <c r="AK387" s="78" t="str">
        <f aca="false">IF(OR(B387="",AB387="",AC387="",AE387=""),"",IFERROR(ROUND(IF(J387="Short",AB387-AE387,AE387-AB387)/ABS(AB387-AC387),2),""))</f>
        <v/>
      </c>
      <c r="AL387" s="68" t="str">
        <f aca="false">IF(AK387="","",IF(ABS(AK387)&lt;=Settings!$C$6,"BE",IF(AK387&gt;0,"Win","Loss")))</f>
        <v/>
      </c>
      <c r="AM387" s="79" t="str">
        <f aca="false">IF(OR(AK387="",AI387=""),"",ROUND(AK387*AI387-N(AH387),2))</f>
        <v/>
      </c>
      <c r="AN387" s="76" t="str">
        <f aca="false">IF(AM387="","",ROUND(BK387+SUMIFS(AM$6:AM387,BJ$6:BJ387,BJ387),2))</f>
        <v/>
      </c>
      <c r="AO387" s="78" t="str">
        <f aca="false">IF(AK387="","",ROUND(SUMIFS(AK$6:AK387,BJ$6:BJ387,BJ387),2))</f>
        <v/>
      </c>
      <c r="AP387" s="80" t="str">
        <f aca="false">IF(OR(AK387="",BL387=""),"",IFERROR(ROUND(IF(J387="Short",AB387-AE387,AE387-AB387)/BL387,1),""))</f>
        <v/>
      </c>
      <c r="AQ387" s="66" t="str">
        <f aca="false">IF(OR(G387="",H387=""),"",ROUND(MOD(H387-G387,1)*1440,0))</f>
        <v/>
      </c>
      <c r="AR387" s="68" t="str">
        <f aca="false">IF(AQ387="","",IF(AQ387&lt;15,"Under 15m",IF(AQ387&lt;60,"15-60m",IF(AQ387&lt;240,"1-4 hours","4+ hours"))))</f>
        <v/>
      </c>
      <c r="AS387" s="66" t="str">
        <f aca="false">IF(G387="","",HOUR(G387))</f>
        <v/>
      </c>
      <c r="AT387" s="80" t="str">
        <f aca="false">IF(OR(Z387="",AB387="",BL387=""),"",IFERROR(ROUND(IF(J387="Short",Z387-AB387,AB387-Z387)/BL387,1),""))</f>
        <v/>
      </c>
      <c r="AU387" s="68" t="str">
        <f aca="false">IF(OR(AA387="",AC387=""),"",IF(AA387=AC387,"No","Yes"))</f>
        <v/>
      </c>
      <c r="AV387" s="81" t="str">
        <f aca="false">IF(OR(B387="",BL387="",BM387="",AB387="",AC387=""),"",IFERROR(ROUND(AI387/(ABS(AB387-AC387)/BL387*BM387),2),""))</f>
        <v/>
      </c>
      <c r="AW387" s="76" t="str">
        <f aca="false">IF(B387="","",ROUND(BK387+SUMIFS(AM$5:AM386,BJ$5:BJ386,BJ387),2))</f>
        <v/>
      </c>
      <c r="AX387" s="66" t="str">
        <f aca="false">IF(B387="","",COUNTIFS(B$6:B387,B387,BJ$6:BJ387,BJ387))</f>
        <v/>
      </c>
      <c r="AY387" s="79" t="str">
        <f aca="false">IF(B387="","",ROUND(SUMIFS(AM$5:AM386,B$5:B386,B387,BJ$5:BJ386,BJ387),2))</f>
        <v/>
      </c>
      <c r="AZ387" s="79" t="str">
        <f aca="false">IF(AM387="","",ROUND(AY387+AM387,2))</f>
        <v/>
      </c>
      <c r="BA387" s="79" t="str">
        <f aca="false">IF(B387="","",ROUND(SUMIFS(AM$5:AM386,B$5:B386,"&gt;="&amp;(B387-WEEKDAY(B387,2)+1),B$5:B386,"&lt;="&amp;B387,BJ$5:BJ386,BJ387),2))</f>
        <v/>
      </c>
      <c r="BB387" s="68" t="str">
        <f aca="false">IF(B387="","",IF(AND(AF387&lt;&gt;"",AV387&lt;&gt;"",N(AF387)&gt;N(AV387)*(1+Settings!$C$13)),"Oversized",IF(AX387&gt;Settings!$C$10,"Overtraded",IF(AY387&lt;=-Settings!$C$11*(AW387-AY387),"Daily loss hit",IF(BA387&lt;=-Settings!$C$12*(AW387-BA387),"Weekly loss hit","OK")))))</f>
        <v/>
      </c>
      <c r="BC387" s="69"/>
      <c r="BD387" s="69"/>
      <c r="BE387" s="69"/>
      <c r="BF387" s="73"/>
      <c r="BG387" s="73"/>
      <c r="BH387" s="71"/>
      <c r="BI387" s="71"/>
      <c r="BJ387" s="68" t="str">
        <f aca="false">IF(B387="","",IF(E387="",Settings!$F$5,E387))</f>
        <v/>
      </c>
      <c r="BK387" s="76" t="str">
        <f aca="false">IF(B387="","",IFERROR(INDEX(Settings!$G$5:$G$10,MATCH(BJ387,Settings!$F$5:$F$10,0)),Settings!$G$5))</f>
        <v/>
      </c>
      <c r="BL387" s="82" t="str">
        <f aca="false">IF(I387="","",IFERROR(1/(1/INDEX(Lists!$C$6:$C$17,MATCH(I387,Lists!$B$6:$B$17,0))),""))</f>
        <v/>
      </c>
      <c r="BM387" s="81" t="str">
        <f aca="false">IF(I387="","",IFERROR(1/(1/INDEX(Lists!$D$6:$D$17,MATCH(I387,Lists!$B$6:$B$17,0))),""))</f>
        <v/>
      </c>
      <c r="BN387" s="76" t="str">
        <f aca="false">IF(AN387="","",MAX(BK387,_xlfn.MAXIFS(AN$6:AN387,BJ$6:BJ387,BJ387)))</f>
        <v/>
      </c>
      <c r="BO387" s="83" t="str">
        <f aca="false">IF(AN387="","",(AN387-BN387)/BN387)</f>
        <v/>
      </c>
      <c r="BP387" s="66" t="n">
        <f aca="false">IF(OR(B387="",AL387=""),0,IF(OR(Settings!$C$28="All Accounts",BJ387=Settings!$C$28),1,0))</f>
        <v>0</v>
      </c>
      <c r="BQ387" s="66" t="str">
        <f aca="false">IF(BP387=1,SUM(BP$6:BP387),"")</f>
        <v/>
      </c>
      <c r="BR387" s="76" t="str">
        <f aca="false">IF(BP387=1,ROUND(Settings!$C$29+SUMIFS(AM$6:AM387,BP$6:BP387,1),2),"")</f>
        <v/>
      </c>
      <c r="BS387" s="76" t="str">
        <f aca="false">IF(BP387=1,MAX(Settings!$C$29,MAX(BR$6:BR387)),"")</f>
        <v/>
      </c>
      <c r="BT387" s="83" t="str">
        <f aca="false">IF(BP387=1,(BR387-BS387)/BS387,"")</f>
        <v/>
      </c>
      <c r="BU387" s="66" t="str">
        <f aca="false">IF(BP387=1,IF(AL387="Win",1+IF(BQ387=1,0,INDEX(BU$5:BU386,MATCH(BQ387-1,BQ$5:BQ386,0))),0),"")</f>
        <v/>
      </c>
      <c r="BV387" s="66" t="str">
        <f aca="false">IF(BP387=1,IF(AL387="Loss",1+IF(BQ387=1,0,INDEX(BV$5:BV386,MATCH(BQ387-1,BQ$5:BQ386,0))),0),"")</f>
        <v/>
      </c>
    </row>
    <row r="388" customFormat="false" ht="15" hidden="false" customHeight="false" outlineLevel="0" collapsed="false">
      <c r="A388" s="66" t="str">
        <f aca="false">IF(B388="","",ROW()-5)</f>
        <v/>
      </c>
      <c r="B388" s="67"/>
      <c r="C388" s="68" t="str">
        <f aca="false">IF(B388="","",CHOOSE(WEEKDAY(B388,2),"Mon","Tue","Wed","Thu","Fri","Sat","Sun"))</f>
        <v/>
      </c>
      <c r="D388" s="66" t="str">
        <f aca="false">IF(B388="","",WEEKNUM(B388,2))</f>
        <v/>
      </c>
      <c r="E388" s="69"/>
      <c r="F388" s="69"/>
      <c r="G388" s="70"/>
      <c r="H388" s="70"/>
      <c r="I388" s="69"/>
      <c r="J388" s="69"/>
      <c r="K388" s="69"/>
      <c r="L388" s="71"/>
      <c r="M388" s="69"/>
      <c r="N388" s="69"/>
      <c r="O388" s="69"/>
      <c r="P388" s="71"/>
      <c r="Q388" s="69"/>
      <c r="R388" s="69"/>
      <c r="S388" s="69"/>
      <c r="T388" s="69"/>
      <c r="U388" s="69"/>
      <c r="V388" s="69"/>
      <c r="W388" s="69"/>
      <c r="X388" s="66" t="str">
        <f aca="false">IF(B388="","",COUNTIF(Q388:W388,"Yes"))</f>
        <v/>
      </c>
      <c r="Y388" s="68" t="str">
        <f aca="false">IF(B388="","",IF(X388&gt;=Settings!$C$16,"A+",IF(X388&gt;=Settings!$C$17,"A",IF(X388&gt;=Settings!$C$18,"B","C"))))</f>
        <v/>
      </c>
      <c r="Z388" s="72"/>
      <c r="AA388" s="72"/>
      <c r="AB388" s="72"/>
      <c r="AC388" s="72"/>
      <c r="AD388" s="72"/>
      <c r="AE388" s="72"/>
      <c r="AF388" s="73"/>
      <c r="AG388" s="74"/>
      <c r="AH388" s="75"/>
      <c r="AI388" s="76" t="str">
        <f aca="false">IF(B388="","",ROUND(IF(AG388="",Settings!$C$5,AG388)*AW388,2))</f>
        <v/>
      </c>
      <c r="AJ388" s="77" t="str">
        <f aca="false">IF(OR(B388="",AB388="",AC388="",AD388=""),"",IFERROR(ROUND(ABS(AD388-AB388)/ABS(AB388-AC388),2),""))</f>
        <v/>
      </c>
      <c r="AK388" s="78" t="str">
        <f aca="false">IF(OR(B388="",AB388="",AC388="",AE388=""),"",IFERROR(ROUND(IF(J388="Short",AB388-AE388,AE388-AB388)/ABS(AB388-AC388),2),""))</f>
        <v/>
      </c>
      <c r="AL388" s="68" t="str">
        <f aca="false">IF(AK388="","",IF(ABS(AK388)&lt;=Settings!$C$6,"BE",IF(AK388&gt;0,"Win","Loss")))</f>
        <v/>
      </c>
      <c r="AM388" s="79" t="str">
        <f aca="false">IF(OR(AK388="",AI388=""),"",ROUND(AK388*AI388-N(AH388),2))</f>
        <v/>
      </c>
      <c r="AN388" s="76" t="str">
        <f aca="false">IF(AM388="","",ROUND(BK388+SUMIFS(AM$6:AM388,BJ$6:BJ388,BJ388),2))</f>
        <v/>
      </c>
      <c r="AO388" s="78" t="str">
        <f aca="false">IF(AK388="","",ROUND(SUMIFS(AK$6:AK388,BJ$6:BJ388,BJ388),2))</f>
        <v/>
      </c>
      <c r="AP388" s="80" t="str">
        <f aca="false">IF(OR(AK388="",BL388=""),"",IFERROR(ROUND(IF(J388="Short",AB388-AE388,AE388-AB388)/BL388,1),""))</f>
        <v/>
      </c>
      <c r="AQ388" s="66" t="str">
        <f aca="false">IF(OR(G388="",H388=""),"",ROUND(MOD(H388-G388,1)*1440,0))</f>
        <v/>
      </c>
      <c r="AR388" s="68" t="str">
        <f aca="false">IF(AQ388="","",IF(AQ388&lt;15,"Under 15m",IF(AQ388&lt;60,"15-60m",IF(AQ388&lt;240,"1-4 hours","4+ hours"))))</f>
        <v/>
      </c>
      <c r="AS388" s="66" t="str">
        <f aca="false">IF(G388="","",HOUR(G388))</f>
        <v/>
      </c>
      <c r="AT388" s="80" t="str">
        <f aca="false">IF(OR(Z388="",AB388="",BL388=""),"",IFERROR(ROUND(IF(J388="Short",Z388-AB388,AB388-Z388)/BL388,1),""))</f>
        <v/>
      </c>
      <c r="AU388" s="68" t="str">
        <f aca="false">IF(OR(AA388="",AC388=""),"",IF(AA388=AC388,"No","Yes"))</f>
        <v/>
      </c>
      <c r="AV388" s="81" t="str">
        <f aca="false">IF(OR(B388="",BL388="",BM388="",AB388="",AC388=""),"",IFERROR(ROUND(AI388/(ABS(AB388-AC388)/BL388*BM388),2),""))</f>
        <v/>
      </c>
      <c r="AW388" s="76" t="str">
        <f aca="false">IF(B388="","",ROUND(BK388+SUMIFS(AM$5:AM387,BJ$5:BJ387,BJ388),2))</f>
        <v/>
      </c>
      <c r="AX388" s="66" t="str">
        <f aca="false">IF(B388="","",COUNTIFS(B$6:B388,B388,BJ$6:BJ388,BJ388))</f>
        <v/>
      </c>
      <c r="AY388" s="79" t="str">
        <f aca="false">IF(B388="","",ROUND(SUMIFS(AM$5:AM387,B$5:B387,B388,BJ$5:BJ387,BJ388),2))</f>
        <v/>
      </c>
      <c r="AZ388" s="79" t="str">
        <f aca="false">IF(AM388="","",ROUND(AY388+AM388,2))</f>
        <v/>
      </c>
      <c r="BA388" s="79" t="str">
        <f aca="false">IF(B388="","",ROUND(SUMIFS(AM$5:AM387,B$5:B387,"&gt;="&amp;(B388-WEEKDAY(B388,2)+1),B$5:B387,"&lt;="&amp;B388,BJ$5:BJ387,BJ388),2))</f>
        <v/>
      </c>
      <c r="BB388" s="68" t="str">
        <f aca="false">IF(B388="","",IF(AND(AF388&lt;&gt;"",AV388&lt;&gt;"",N(AF388)&gt;N(AV388)*(1+Settings!$C$13)),"Oversized",IF(AX388&gt;Settings!$C$10,"Overtraded",IF(AY388&lt;=-Settings!$C$11*(AW388-AY388),"Daily loss hit",IF(BA388&lt;=-Settings!$C$12*(AW388-BA388),"Weekly loss hit","OK")))))</f>
        <v/>
      </c>
      <c r="BC388" s="69"/>
      <c r="BD388" s="69"/>
      <c r="BE388" s="69"/>
      <c r="BF388" s="73"/>
      <c r="BG388" s="73"/>
      <c r="BH388" s="71"/>
      <c r="BI388" s="71"/>
      <c r="BJ388" s="68" t="str">
        <f aca="false">IF(B388="","",IF(E388="",Settings!$F$5,E388))</f>
        <v/>
      </c>
      <c r="BK388" s="76" t="str">
        <f aca="false">IF(B388="","",IFERROR(INDEX(Settings!$G$5:$G$10,MATCH(BJ388,Settings!$F$5:$F$10,0)),Settings!$G$5))</f>
        <v/>
      </c>
      <c r="BL388" s="82" t="str">
        <f aca="false">IF(I388="","",IFERROR(1/(1/INDEX(Lists!$C$6:$C$17,MATCH(I388,Lists!$B$6:$B$17,0))),""))</f>
        <v/>
      </c>
      <c r="BM388" s="81" t="str">
        <f aca="false">IF(I388="","",IFERROR(1/(1/INDEX(Lists!$D$6:$D$17,MATCH(I388,Lists!$B$6:$B$17,0))),""))</f>
        <v/>
      </c>
      <c r="BN388" s="76" t="str">
        <f aca="false">IF(AN388="","",MAX(BK388,_xlfn.MAXIFS(AN$6:AN388,BJ$6:BJ388,BJ388)))</f>
        <v/>
      </c>
      <c r="BO388" s="83" t="str">
        <f aca="false">IF(AN388="","",(AN388-BN388)/BN388)</f>
        <v/>
      </c>
      <c r="BP388" s="66" t="n">
        <f aca="false">IF(OR(B388="",AL388=""),0,IF(OR(Settings!$C$28="All Accounts",BJ388=Settings!$C$28),1,0))</f>
        <v>0</v>
      </c>
      <c r="BQ388" s="66" t="str">
        <f aca="false">IF(BP388=1,SUM(BP$6:BP388),"")</f>
        <v/>
      </c>
      <c r="BR388" s="76" t="str">
        <f aca="false">IF(BP388=1,ROUND(Settings!$C$29+SUMIFS(AM$6:AM388,BP$6:BP388,1),2),"")</f>
        <v/>
      </c>
      <c r="BS388" s="76" t="str">
        <f aca="false">IF(BP388=1,MAX(Settings!$C$29,MAX(BR$6:BR388)),"")</f>
        <v/>
      </c>
      <c r="BT388" s="83" t="str">
        <f aca="false">IF(BP388=1,(BR388-BS388)/BS388,"")</f>
        <v/>
      </c>
      <c r="BU388" s="66" t="str">
        <f aca="false">IF(BP388=1,IF(AL388="Win",1+IF(BQ388=1,0,INDEX(BU$5:BU387,MATCH(BQ388-1,BQ$5:BQ387,0))),0),"")</f>
        <v/>
      </c>
      <c r="BV388" s="66" t="str">
        <f aca="false">IF(BP388=1,IF(AL388="Loss",1+IF(BQ388=1,0,INDEX(BV$5:BV387,MATCH(BQ388-1,BQ$5:BQ387,0))),0),"")</f>
        <v/>
      </c>
    </row>
    <row r="389" customFormat="false" ht="15" hidden="false" customHeight="false" outlineLevel="0" collapsed="false">
      <c r="A389" s="66" t="str">
        <f aca="false">IF(B389="","",ROW()-5)</f>
        <v/>
      </c>
      <c r="B389" s="67"/>
      <c r="C389" s="68" t="str">
        <f aca="false">IF(B389="","",CHOOSE(WEEKDAY(B389,2),"Mon","Tue","Wed","Thu","Fri","Sat","Sun"))</f>
        <v/>
      </c>
      <c r="D389" s="66" t="str">
        <f aca="false">IF(B389="","",WEEKNUM(B389,2))</f>
        <v/>
      </c>
      <c r="E389" s="69"/>
      <c r="F389" s="69"/>
      <c r="G389" s="70"/>
      <c r="H389" s="70"/>
      <c r="I389" s="69"/>
      <c r="J389" s="69"/>
      <c r="K389" s="69"/>
      <c r="L389" s="71"/>
      <c r="M389" s="69"/>
      <c r="N389" s="69"/>
      <c r="O389" s="69"/>
      <c r="P389" s="71"/>
      <c r="Q389" s="69"/>
      <c r="R389" s="69"/>
      <c r="S389" s="69"/>
      <c r="T389" s="69"/>
      <c r="U389" s="69"/>
      <c r="V389" s="69"/>
      <c r="W389" s="69"/>
      <c r="X389" s="66" t="str">
        <f aca="false">IF(B389="","",COUNTIF(Q389:W389,"Yes"))</f>
        <v/>
      </c>
      <c r="Y389" s="68" t="str">
        <f aca="false">IF(B389="","",IF(X389&gt;=Settings!$C$16,"A+",IF(X389&gt;=Settings!$C$17,"A",IF(X389&gt;=Settings!$C$18,"B","C"))))</f>
        <v/>
      </c>
      <c r="Z389" s="72"/>
      <c r="AA389" s="72"/>
      <c r="AB389" s="72"/>
      <c r="AC389" s="72"/>
      <c r="AD389" s="72"/>
      <c r="AE389" s="72"/>
      <c r="AF389" s="73"/>
      <c r="AG389" s="74"/>
      <c r="AH389" s="75"/>
      <c r="AI389" s="76" t="str">
        <f aca="false">IF(B389="","",ROUND(IF(AG389="",Settings!$C$5,AG389)*AW389,2))</f>
        <v/>
      </c>
      <c r="AJ389" s="77" t="str">
        <f aca="false">IF(OR(B389="",AB389="",AC389="",AD389=""),"",IFERROR(ROUND(ABS(AD389-AB389)/ABS(AB389-AC389),2),""))</f>
        <v/>
      </c>
      <c r="AK389" s="78" t="str">
        <f aca="false">IF(OR(B389="",AB389="",AC389="",AE389=""),"",IFERROR(ROUND(IF(J389="Short",AB389-AE389,AE389-AB389)/ABS(AB389-AC389),2),""))</f>
        <v/>
      </c>
      <c r="AL389" s="68" t="str">
        <f aca="false">IF(AK389="","",IF(ABS(AK389)&lt;=Settings!$C$6,"BE",IF(AK389&gt;0,"Win","Loss")))</f>
        <v/>
      </c>
      <c r="AM389" s="79" t="str">
        <f aca="false">IF(OR(AK389="",AI389=""),"",ROUND(AK389*AI389-N(AH389),2))</f>
        <v/>
      </c>
      <c r="AN389" s="76" t="str">
        <f aca="false">IF(AM389="","",ROUND(BK389+SUMIFS(AM$6:AM389,BJ$6:BJ389,BJ389),2))</f>
        <v/>
      </c>
      <c r="AO389" s="78" t="str">
        <f aca="false">IF(AK389="","",ROUND(SUMIFS(AK$6:AK389,BJ$6:BJ389,BJ389),2))</f>
        <v/>
      </c>
      <c r="AP389" s="80" t="str">
        <f aca="false">IF(OR(AK389="",BL389=""),"",IFERROR(ROUND(IF(J389="Short",AB389-AE389,AE389-AB389)/BL389,1),""))</f>
        <v/>
      </c>
      <c r="AQ389" s="66" t="str">
        <f aca="false">IF(OR(G389="",H389=""),"",ROUND(MOD(H389-G389,1)*1440,0))</f>
        <v/>
      </c>
      <c r="AR389" s="68" t="str">
        <f aca="false">IF(AQ389="","",IF(AQ389&lt;15,"Under 15m",IF(AQ389&lt;60,"15-60m",IF(AQ389&lt;240,"1-4 hours","4+ hours"))))</f>
        <v/>
      </c>
      <c r="AS389" s="66" t="str">
        <f aca="false">IF(G389="","",HOUR(G389))</f>
        <v/>
      </c>
      <c r="AT389" s="80" t="str">
        <f aca="false">IF(OR(Z389="",AB389="",BL389=""),"",IFERROR(ROUND(IF(J389="Short",Z389-AB389,AB389-Z389)/BL389,1),""))</f>
        <v/>
      </c>
      <c r="AU389" s="68" t="str">
        <f aca="false">IF(OR(AA389="",AC389=""),"",IF(AA389=AC389,"No","Yes"))</f>
        <v/>
      </c>
      <c r="AV389" s="81" t="str">
        <f aca="false">IF(OR(B389="",BL389="",BM389="",AB389="",AC389=""),"",IFERROR(ROUND(AI389/(ABS(AB389-AC389)/BL389*BM389),2),""))</f>
        <v/>
      </c>
      <c r="AW389" s="76" t="str">
        <f aca="false">IF(B389="","",ROUND(BK389+SUMIFS(AM$5:AM388,BJ$5:BJ388,BJ389),2))</f>
        <v/>
      </c>
      <c r="AX389" s="66" t="str">
        <f aca="false">IF(B389="","",COUNTIFS(B$6:B389,B389,BJ$6:BJ389,BJ389))</f>
        <v/>
      </c>
      <c r="AY389" s="79" t="str">
        <f aca="false">IF(B389="","",ROUND(SUMIFS(AM$5:AM388,B$5:B388,B389,BJ$5:BJ388,BJ389),2))</f>
        <v/>
      </c>
      <c r="AZ389" s="79" t="str">
        <f aca="false">IF(AM389="","",ROUND(AY389+AM389,2))</f>
        <v/>
      </c>
      <c r="BA389" s="79" t="str">
        <f aca="false">IF(B389="","",ROUND(SUMIFS(AM$5:AM388,B$5:B388,"&gt;="&amp;(B389-WEEKDAY(B389,2)+1),B$5:B388,"&lt;="&amp;B389,BJ$5:BJ388,BJ389),2))</f>
        <v/>
      </c>
      <c r="BB389" s="68" t="str">
        <f aca="false">IF(B389="","",IF(AND(AF389&lt;&gt;"",AV389&lt;&gt;"",N(AF389)&gt;N(AV389)*(1+Settings!$C$13)),"Oversized",IF(AX389&gt;Settings!$C$10,"Overtraded",IF(AY389&lt;=-Settings!$C$11*(AW389-AY389),"Daily loss hit",IF(BA389&lt;=-Settings!$C$12*(AW389-BA389),"Weekly loss hit","OK")))))</f>
        <v/>
      </c>
      <c r="BC389" s="69"/>
      <c r="BD389" s="69"/>
      <c r="BE389" s="69"/>
      <c r="BF389" s="73"/>
      <c r="BG389" s="73"/>
      <c r="BH389" s="71"/>
      <c r="BI389" s="71"/>
      <c r="BJ389" s="68" t="str">
        <f aca="false">IF(B389="","",IF(E389="",Settings!$F$5,E389))</f>
        <v/>
      </c>
      <c r="BK389" s="76" t="str">
        <f aca="false">IF(B389="","",IFERROR(INDEX(Settings!$G$5:$G$10,MATCH(BJ389,Settings!$F$5:$F$10,0)),Settings!$G$5))</f>
        <v/>
      </c>
      <c r="BL389" s="82" t="str">
        <f aca="false">IF(I389="","",IFERROR(1/(1/INDEX(Lists!$C$6:$C$17,MATCH(I389,Lists!$B$6:$B$17,0))),""))</f>
        <v/>
      </c>
      <c r="BM389" s="81" t="str">
        <f aca="false">IF(I389="","",IFERROR(1/(1/INDEX(Lists!$D$6:$D$17,MATCH(I389,Lists!$B$6:$B$17,0))),""))</f>
        <v/>
      </c>
      <c r="BN389" s="76" t="str">
        <f aca="false">IF(AN389="","",MAX(BK389,_xlfn.MAXIFS(AN$6:AN389,BJ$6:BJ389,BJ389)))</f>
        <v/>
      </c>
      <c r="BO389" s="83" t="str">
        <f aca="false">IF(AN389="","",(AN389-BN389)/BN389)</f>
        <v/>
      </c>
      <c r="BP389" s="66" t="n">
        <f aca="false">IF(OR(B389="",AL389=""),0,IF(OR(Settings!$C$28="All Accounts",BJ389=Settings!$C$28),1,0))</f>
        <v>0</v>
      </c>
      <c r="BQ389" s="66" t="str">
        <f aca="false">IF(BP389=1,SUM(BP$6:BP389),"")</f>
        <v/>
      </c>
      <c r="BR389" s="76" t="str">
        <f aca="false">IF(BP389=1,ROUND(Settings!$C$29+SUMIFS(AM$6:AM389,BP$6:BP389,1),2),"")</f>
        <v/>
      </c>
      <c r="BS389" s="76" t="str">
        <f aca="false">IF(BP389=1,MAX(Settings!$C$29,MAX(BR$6:BR389)),"")</f>
        <v/>
      </c>
      <c r="BT389" s="83" t="str">
        <f aca="false">IF(BP389=1,(BR389-BS389)/BS389,"")</f>
        <v/>
      </c>
      <c r="BU389" s="66" t="str">
        <f aca="false">IF(BP389=1,IF(AL389="Win",1+IF(BQ389=1,0,INDEX(BU$5:BU388,MATCH(BQ389-1,BQ$5:BQ388,0))),0),"")</f>
        <v/>
      </c>
      <c r="BV389" s="66" t="str">
        <f aca="false">IF(BP389=1,IF(AL389="Loss",1+IF(BQ389=1,0,INDEX(BV$5:BV388,MATCH(BQ389-1,BQ$5:BQ388,0))),0),"")</f>
        <v/>
      </c>
    </row>
    <row r="390" customFormat="false" ht="15" hidden="false" customHeight="false" outlineLevel="0" collapsed="false">
      <c r="A390" s="66" t="str">
        <f aca="false">IF(B390="","",ROW()-5)</f>
        <v/>
      </c>
      <c r="B390" s="67"/>
      <c r="C390" s="68" t="str">
        <f aca="false">IF(B390="","",CHOOSE(WEEKDAY(B390,2),"Mon","Tue","Wed","Thu","Fri","Sat","Sun"))</f>
        <v/>
      </c>
      <c r="D390" s="66" t="str">
        <f aca="false">IF(B390="","",WEEKNUM(B390,2))</f>
        <v/>
      </c>
      <c r="E390" s="69"/>
      <c r="F390" s="69"/>
      <c r="G390" s="70"/>
      <c r="H390" s="70"/>
      <c r="I390" s="69"/>
      <c r="J390" s="69"/>
      <c r="K390" s="69"/>
      <c r="L390" s="71"/>
      <c r="M390" s="69"/>
      <c r="N390" s="69"/>
      <c r="O390" s="69"/>
      <c r="P390" s="71"/>
      <c r="Q390" s="69"/>
      <c r="R390" s="69"/>
      <c r="S390" s="69"/>
      <c r="T390" s="69"/>
      <c r="U390" s="69"/>
      <c r="V390" s="69"/>
      <c r="W390" s="69"/>
      <c r="X390" s="66" t="str">
        <f aca="false">IF(B390="","",COUNTIF(Q390:W390,"Yes"))</f>
        <v/>
      </c>
      <c r="Y390" s="68" t="str">
        <f aca="false">IF(B390="","",IF(X390&gt;=Settings!$C$16,"A+",IF(X390&gt;=Settings!$C$17,"A",IF(X390&gt;=Settings!$C$18,"B","C"))))</f>
        <v/>
      </c>
      <c r="Z390" s="72"/>
      <c r="AA390" s="72"/>
      <c r="AB390" s="72"/>
      <c r="AC390" s="72"/>
      <c r="AD390" s="72"/>
      <c r="AE390" s="72"/>
      <c r="AF390" s="73"/>
      <c r="AG390" s="74"/>
      <c r="AH390" s="75"/>
      <c r="AI390" s="76" t="str">
        <f aca="false">IF(B390="","",ROUND(IF(AG390="",Settings!$C$5,AG390)*AW390,2))</f>
        <v/>
      </c>
      <c r="AJ390" s="77" t="str">
        <f aca="false">IF(OR(B390="",AB390="",AC390="",AD390=""),"",IFERROR(ROUND(ABS(AD390-AB390)/ABS(AB390-AC390),2),""))</f>
        <v/>
      </c>
      <c r="AK390" s="78" t="str">
        <f aca="false">IF(OR(B390="",AB390="",AC390="",AE390=""),"",IFERROR(ROUND(IF(J390="Short",AB390-AE390,AE390-AB390)/ABS(AB390-AC390),2),""))</f>
        <v/>
      </c>
      <c r="AL390" s="68" t="str">
        <f aca="false">IF(AK390="","",IF(ABS(AK390)&lt;=Settings!$C$6,"BE",IF(AK390&gt;0,"Win","Loss")))</f>
        <v/>
      </c>
      <c r="AM390" s="79" t="str">
        <f aca="false">IF(OR(AK390="",AI390=""),"",ROUND(AK390*AI390-N(AH390),2))</f>
        <v/>
      </c>
      <c r="AN390" s="76" t="str">
        <f aca="false">IF(AM390="","",ROUND(BK390+SUMIFS(AM$6:AM390,BJ$6:BJ390,BJ390),2))</f>
        <v/>
      </c>
      <c r="AO390" s="78" t="str">
        <f aca="false">IF(AK390="","",ROUND(SUMIFS(AK$6:AK390,BJ$6:BJ390,BJ390),2))</f>
        <v/>
      </c>
      <c r="AP390" s="80" t="str">
        <f aca="false">IF(OR(AK390="",BL390=""),"",IFERROR(ROUND(IF(J390="Short",AB390-AE390,AE390-AB390)/BL390,1),""))</f>
        <v/>
      </c>
      <c r="AQ390" s="66" t="str">
        <f aca="false">IF(OR(G390="",H390=""),"",ROUND(MOD(H390-G390,1)*1440,0))</f>
        <v/>
      </c>
      <c r="AR390" s="68" t="str">
        <f aca="false">IF(AQ390="","",IF(AQ390&lt;15,"Under 15m",IF(AQ390&lt;60,"15-60m",IF(AQ390&lt;240,"1-4 hours","4+ hours"))))</f>
        <v/>
      </c>
      <c r="AS390" s="66" t="str">
        <f aca="false">IF(G390="","",HOUR(G390))</f>
        <v/>
      </c>
      <c r="AT390" s="80" t="str">
        <f aca="false">IF(OR(Z390="",AB390="",BL390=""),"",IFERROR(ROUND(IF(J390="Short",Z390-AB390,AB390-Z390)/BL390,1),""))</f>
        <v/>
      </c>
      <c r="AU390" s="68" t="str">
        <f aca="false">IF(OR(AA390="",AC390=""),"",IF(AA390=AC390,"No","Yes"))</f>
        <v/>
      </c>
      <c r="AV390" s="81" t="str">
        <f aca="false">IF(OR(B390="",BL390="",BM390="",AB390="",AC390=""),"",IFERROR(ROUND(AI390/(ABS(AB390-AC390)/BL390*BM390),2),""))</f>
        <v/>
      </c>
      <c r="AW390" s="76" t="str">
        <f aca="false">IF(B390="","",ROUND(BK390+SUMIFS(AM$5:AM389,BJ$5:BJ389,BJ390),2))</f>
        <v/>
      </c>
      <c r="AX390" s="66" t="str">
        <f aca="false">IF(B390="","",COUNTIFS(B$6:B390,B390,BJ$6:BJ390,BJ390))</f>
        <v/>
      </c>
      <c r="AY390" s="79" t="str">
        <f aca="false">IF(B390="","",ROUND(SUMIFS(AM$5:AM389,B$5:B389,B390,BJ$5:BJ389,BJ390),2))</f>
        <v/>
      </c>
      <c r="AZ390" s="79" t="str">
        <f aca="false">IF(AM390="","",ROUND(AY390+AM390,2))</f>
        <v/>
      </c>
      <c r="BA390" s="79" t="str">
        <f aca="false">IF(B390="","",ROUND(SUMIFS(AM$5:AM389,B$5:B389,"&gt;="&amp;(B390-WEEKDAY(B390,2)+1),B$5:B389,"&lt;="&amp;B390,BJ$5:BJ389,BJ390),2))</f>
        <v/>
      </c>
      <c r="BB390" s="68" t="str">
        <f aca="false">IF(B390="","",IF(AND(AF390&lt;&gt;"",AV390&lt;&gt;"",N(AF390)&gt;N(AV390)*(1+Settings!$C$13)),"Oversized",IF(AX390&gt;Settings!$C$10,"Overtraded",IF(AY390&lt;=-Settings!$C$11*(AW390-AY390),"Daily loss hit",IF(BA390&lt;=-Settings!$C$12*(AW390-BA390),"Weekly loss hit","OK")))))</f>
        <v/>
      </c>
      <c r="BC390" s="69"/>
      <c r="BD390" s="69"/>
      <c r="BE390" s="69"/>
      <c r="BF390" s="73"/>
      <c r="BG390" s="73"/>
      <c r="BH390" s="71"/>
      <c r="BI390" s="71"/>
      <c r="BJ390" s="68" t="str">
        <f aca="false">IF(B390="","",IF(E390="",Settings!$F$5,E390))</f>
        <v/>
      </c>
      <c r="BK390" s="76" t="str">
        <f aca="false">IF(B390="","",IFERROR(INDEX(Settings!$G$5:$G$10,MATCH(BJ390,Settings!$F$5:$F$10,0)),Settings!$G$5))</f>
        <v/>
      </c>
      <c r="BL390" s="82" t="str">
        <f aca="false">IF(I390="","",IFERROR(1/(1/INDEX(Lists!$C$6:$C$17,MATCH(I390,Lists!$B$6:$B$17,0))),""))</f>
        <v/>
      </c>
      <c r="BM390" s="81" t="str">
        <f aca="false">IF(I390="","",IFERROR(1/(1/INDEX(Lists!$D$6:$D$17,MATCH(I390,Lists!$B$6:$B$17,0))),""))</f>
        <v/>
      </c>
      <c r="BN390" s="76" t="str">
        <f aca="false">IF(AN390="","",MAX(BK390,_xlfn.MAXIFS(AN$6:AN390,BJ$6:BJ390,BJ390)))</f>
        <v/>
      </c>
      <c r="BO390" s="83" t="str">
        <f aca="false">IF(AN390="","",(AN390-BN390)/BN390)</f>
        <v/>
      </c>
      <c r="BP390" s="66" t="n">
        <f aca="false">IF(OR(B390="",AL390=""),0,IF(OR(Settings!$C$28="All Accounts",BJ390=Settings!$C$28),1,0))</f>
        <v>0</v>
      </c>
      <c r="BQ390" s="66" t="str">
        <f aca="false">IF(BP390=1,SUM(BP$6:BP390),"")</f>
        <v/>
      </c>
      <c r="BR390" s="76" t="str">
        <f aca="false">IF(BP390=1,ROUND(Settings!$C$29+SUMIFS(AM$6:AM390,BP$6:BP390,1),2),"")</f>
        <v/>
      </c>
      <c r="BS390" s="76" t="str">
        <f aca="false">IF(BP390=1,MAX(Settings!$C$29,MAX(BR$6:BR390)),"")</f>
        <v/>
      </c>
      <c r="BT390" s="83" t="str">
        <f aca="false">IF(BP390=1,(BR390-BS390)/BS390,"")</f>
        <v/>
      </c>
      <c r="BU390" s="66" t="str">
        <f aca="false">IF(BP390=1,IF(AL390="Win",1+IF(BQ390=1,0,INDEX(BU$5:BU389,MATCH(BQ390-1,BQ$5:BQ389,0))),0),"")</f>
        <v/>
      </c>
      <c r="BV390" s="66" t="str">
        <f aca="false">IF(BP390=1,IF(AL390="Loss",1+IF(BQ390=1,0,INDEX(BV$5:BV389,MATCH(BQ390-1,BQ$5:BQ389,0))),0),"")</f>
        <v/>
      </c>
    </row>
    <row r="391" customFormat="false" ht="15" hidden="false" customHeight="false" outlineLevel="0" collapsed="false">
      <c r="A391" s="66" t="str">
        <f aca="false">IF(B391="","",ROW()-5)</f>
        <v/>
      </c>
      <c r="B391" s="67"/>
      <c r="C391" s="68" t="str">
        <f aca="false">IF(B391="","",CHOOSE(WEEKDAY(B391,2),"Mon","Tue","Wed","Thu","Fri","Sat","Sun"))</f>
        <v/>
      </c>
      <c r="D391" s="66" t="str">
        <f aca="false">IF(B391="","",WEEKNUM(B391,2))</f>
        <v/>
      </c>
      <c r="E391" s="69"/>
      <c r="F391" s="69"/>
      <c r="G391" s="70"/>
      <c r="H391" s="70"/>
      <c r="I391" s="69"/>
      <c r="J391" s="69"/>
      <c r="K391" s="69"/>
      <c r="L391" s="71"/>
      <c r="M391" s="69"/>
      <c r="N391" s="69"/>
      <c r="O391" s="69"/>
      <c r="P391" s="71"/>
      <c r="Q391" s="69"/>
      <c r="R391" s="69"/>
      <c r="S391" s="69"/>
      <c r="T391" s="69"/>
      <c r="U391" s="69"/>
      <c r="V391" s="69"/>
      <c r="W391" s="69"/>
      <c r="X391" s="66" t="str">
        <f aca="false">IF(B391="","",COUNTIF(Q391:W391,"Yes"))</f>
        <v/>
      </c>
      <c r="Y391" s="68" t="str">
        <f aca="false">IF(B391="","",IF(X391&gt;=Settings!$C$16,"A+",IF(X391&gt;=Settings!$C$17,"A",IF(X391&gt;=Settings!$C$18,"B","C"))))</f>
        <v/>
      </c>
      <c r="Z391" s="72"/>
      <c r="AA391" s="72"/>
      <c r="AB391" s="72"/>
      <c r="AC391" s="72"/>
      <c r="AD391" s="72"/>
      <c r="AE391" s="72"/>
      <c r="AF391" s="73"/>
      <c r="AG391" s="74"/>
      <c r="AH391" s="75"/>
      <c r="AI391" s="76" t="str">
        <f aca="false">IF(B391="","",ROUND(IF(AG391="",Settings!$C$5,AG391)*AW391,2))</f>
        <v/>
      </c>
      <c r="AJ391" s="77" t="str">
        <f aca="false">IF(OR(B391="",AB391="",AC391="",AD391=""),"",IFERROR(ROUND(ABS(AD391-AB391)/ABS(AB391-AC391),2),""))</f>
        <v/>
      </c>
      <c r="AK391" s="78" t="str">
        <f aca="false">IF(OR(B391="",AB391="",AC391="",AE391=""),"",IFERROR(ROUND(IF(J391="Short",AB391-AE391,AE391-AB391)/ABS(AB391-AC391),2),""))</f>
        <v/>
      </c>
      <c r="AL391" s="68" t="str">
        <f aca="false">IF(AK391="","",IF(ABS(AK391)&lt;=Settings!$C$6,"BE",IF(AK391&gt;0,"Win","Loss")))</f>
        <v/>
      </c>
      <c r="AM391" s="79" t="str">
        <f aca="false">IF(OR(AK391="",AI391=""),"",ROUND(AK391*AI391-N(AH391),2))</f>
        <v/>
      </c>
      <c r="AN391" s="76" t="str">
        <f aca="false">IF(AM391="","",ROUND(BK391+SUMIFS(AM$6:AM391,BJ$6:BJ391,BJ391),2))</f>
        <v/>
      </c>
      <c r="AO391" s="78" t="str">
        <f aca="false">IF(AK391="","",ROUND(SUMIFS(AK$6:AK391,BJ$6:BJ391,BJ391),2))</f>
        <v/>
      </c>
      <c r="AP391" s="80" t="str">
        <f aca="false">IF(OR(AK391="",BL391=""),"",IFERROR(ROUND(IF(J391="Short",AB391-AE391,AE391-AB391)/BL391,1),""))</f>
        <v/>
      </c>
      <c r="AQ391" s="66" t="str">
        <f aca="false">IF(OR(G391="",H391=""),"",ROUND(MOD(H391-G391,1)*1440,0))</f>
        <v/>
      </c>
      <c r="AR391" s="68" t="str">
        <f aca="false">IF(AQ391="","",IF(AQ391&lt;15,"Under 15m",IF(AQ391&lt;60,"15-60m",IF(AQ391&lt;240,"1-4 hours","4+ hours"))))</f>
        <v/>
      </c>
      <c r="AS391" s="66" t="str">
        <f aca="false">IF(G391="","",HOUR(G391))</f>
        <v/>
      </c>
      <c r="AT391" s="80" t="str">
        <f aca="false">IF(OR(Z391="",AB391="",BL391=""),"",IFERROR(ROUND(IF(J391="Short",Z391-AB391,AB391-Z391)/BL391,1),""))</f>
        <v/>
      </c>
      <c r="AU391" s="68" t="str">
        <f aca="false">IF(OR(AA391="",AC391=""),"",IF(AA391=AC391,"No","Yes"))</f>
        <v/>
      </c>
      <c r="AV391" s="81" t="str">
        <f aca="false">IF(OR(B391="",BL391="",BM391="",AB391="",AC391=""),"",IFERROR(ROUND(AI391/(ABS(AB391-AC391)/BL391*BM391),2),""))</f>
        <v/>
      </c>
      <c r="AW391" s="76" t="str">
        <f aca="false">IF(B391="","",ROUND(BK391+SUMIFS(AM$5:AM390,BJ$5:BJ390,BJ391),2))</f>
        <v/>
      </c>
      <c r="AX391" s="66" t="str">
        <f aca="false">IF(B391="","",COUNTIFS(B$6:B391,B391,BJ$6:BJ391,BJ391))</f>
        <v/>
      </c>
      <c r="AY391" s="79" t="str">
        <f aca="false">IF(B391="","",ROUND(SUMIFS(AM$5:AM390,B$5:B390,B391,BJ$5:BJ390,BJ391),2))</f>
        <v/>
      </c>
      <c r="AZ391" s="79" t="str">
        <f aca="false">IF(AM391="","",ROUND(AY391+AM391,2))</f>
        <v/>
      </c>
      <c r="BA391" s="79" t="str">
        <f aca="false">IF(B391="","",ROUND(SUMIFS(AM$5:AM390,B$5:B390,"&gt;="&amp;(B391-WEEKDAY(B391,2)+1),B$5:B390,"&lt;="&amp;B391,BJ$5:BJ390,BJ391),2))</f>
        <v/>
      </c>
      <c r="BB391" s="68" t="str">
        <f aca="false">IF(B391="","",IF(AND(AF391&lt;&gt;"",AV391&lt;&gt;"",N(AF391)&gt;N(AV391)*(1+Settings!$C$13)),"Oversized",IF(AX391&gt;Settings!$C$10,"Overtraded",IF(AY391&lt;=-Settings!$C$11*(AW391-AY391),"Daily loss hit",IF(BA391&lt;=-Settings!$C$12*(AW391-BA391),"Weekly loss hit","OK")))))</f>
        <v/>
      </c>
      <c r="BC391" s="69"/>
      <c r="BD391" s="69"/>
      <c r="BE391" s="69"/>
      <c r="BF391" s="73"/>
      <c r="BG391" s="73"/>
      <c r="BH391" s="71"/>
      <c r="BI391" s="71"/>
      <c r="BJ391" s="68" t="str">
        <f aca="false">IF(B391="","",IF(E391="",Settings!$F$5,E391))</f>
        <v/>
      </c>
      <c r="BK391" s="76" t="str">
        <f aca="false">IF(B391="","",IFERROR(INDEX(Settings!$G$5:$G$10,MATCH(BJ391,Settings!$F$5:$F$10,0)),Settings!$G$5))</f>
        <v/>
      </c>
      <c r="BL391" s="82" t="str">
        <f aca="false">IF(I391="","",IFERROR(1/(1/INDEX(Lists!$C$6:$C$17,MATCH(I391,Lists!$B$6:$B$17,0))),""))</f>
        <v/>
      </c>
      <c r="BM391" s="81" t="str">
        <f aca="false">IF(I391="","",IFERROR(1/(1/INDEX(Lists!$D$6:$D$17,MATCH(I391,Lists!$B$6:$B$17,0))),""))</f>
        <v/>
      </c>
      <c r="BN391" s="76" t="str">
        <f aca="false">IF(AN391="","",MAX(BK391,_xlfn.MAXIFS(AN$6:AN391,BJ$6:BJ391,BJ391)))</f>
        <v/>
      </c>
      <c r="BO391" s="83" t="str">
        <f aca="false">IF(AN391="","",(AN391-BN391)/BN391)</f>
        <v/>
      </c>
      <c r="BP391" s="66" t="n">
        <f aca="false">IF(OR(B391="",AL391=""),0,IF(OR(Settings!$C$28="All Accounts",BJ391=Settings!$C$28),1,0))</f>
        <v>0</v>
      </c>
      <c r="BQ391" s="66" t="str">
        <f aca="false">IF(BP391=1,SUM(BP$6:BP391),"")</f>
        <v/>
      </c>
      <c r="BR391" s="76" t="str">
        <f aca="false">IF(BP391=1,ROUND(Settings!$C$29+SUMIFS(AM$6:AM391,BP$6:BP391,1),2),"")</f>
        <v/>
      </c>
      <c r="BS391" s="76" t="str">
        <f aca="false">IF(BP391=1,MAX(Settings!$C$29,MAX(BR$6:BR391)),"")</f>
        <v/>
      </c>
      <c r="BT391" s="83" t="str">
        <f aca="false">IF(BP391=1,(BR391-BS391)/BS391,"")</f>
        <v/>
      </c>
      <c r="BU391" s="66" t="str">
        <f aca="false">IF(BP391=1,IF(AL391="Win",1+IF(BQ391=1,0,INDEX(BU$5:BU390,MATCH(BQ391-1,BQ$5:BQ390,0))),0),"")</f>
        <v/>
      </c>
      <c r="BV391" s="66" t="str">
        <f aca="false">IF(BP391=1,IF(AL391="Loss",1+IF(BQ391=1,0,INDEX(BV$5:BV390,MATCH(BQ391-1,BQ$5:BQ390,0))),0),"")</f>
        <v/>
      </c>
    </row>
    <row r="392" customFormat="false" ht="15" hidden="false" customHeight="false" outlineLevel="0" collapsed="false">
      <c r="A392" s="66" t="str">
        <f aca="false">IF(B392="","",ROW()-5)</f>
        <v/>
      </c>
      <c r="B392" s="67"/>
      <c r="C392" s="68" t="str">
        <f aca="false">IF(B392="","",CHOOSE(WEEKDAY(B392,2),"Mon","Tue","Wed","Thu","Fri","Sat","Sun"))</f>
        <v/>
      </c>
      <c r="D392" s="66" t="str">
        <f aca="false">IF(B392="","",WEEKNUM(B392,2))</f>
        <v/>
      </c>
      <c r="E392" s="69"/>
      <c r="F392" s="69"/>
      <c r="G392" s="70"/>
      <c r="H392" s="70"/>
      <c r="I392" s="69"/>
      <c r="J392" s="69"/>
      <c r="K392" s="69"/>
      <c r="L392" s="71"/>
      <c r="M392" s="69"/>
      <c r="N392" s="69"/>
      <c r="O392" s="69"/>
      <c r="P392" s="71"/>
      <c r="Q392" s="69"/>
      <c r="R392" s="69"/>
      <c r="S392" s="69"/>
      <c r="T392" s="69"/>
      <c r="U392" s="69"/>
      <c r="V392" s="69"/>
      <c r="W392" s="69"/>
      <c r="X392" s="66" t="str">
        <f aca="false">IF(B392="","",COUNTIF(Q392:W392,"Yes"))</f>
        <v/>
      </c>
      <c r="Y392" s="68" t="str">
        <f aca="false">IF(B392="","",IF(X392&gt;=Settings!$C$16,"A+",IF(X392&gt;=Settings!$C$17,"A",IF(X392&gt;=Settings!$C$18,"B","C"))))</f>
        <v/>
      </c>
      <c r="Z392" s="72"/>
      <c r="AA392" s="72"/>
      <c r="AB392" s="72"/>
      <c r="AC392" s="72"/>
      <c r="AD392" s="72"/>
      <c r="AE392" s="72"/>
      <c r="AF392" s="73"/>
      <c r="AG392" s="74"/>
      <c r="AH392" s="75"/>
      <c r="AI392" s="76" t="str">
        <f aca="false">IF(B392="","",ROUND(IF(AG392="",Settings!$C$5,AG392)*AW392,2))</f>
        <v/>
      </c>
      <c r="AJ392" s="77" t="str">
        <f aca="false">IF(OR(B392="",AB392="",AC392="",AD392=""),"",IFERROR(ROUND(ABS(AD392-AB392)/ABS(AB392-AC392),2),""))</f>
        <v/>
      </c>
      <c r="AK392" s="78" t="str">
        <f aca="false">IF(OR(B392="",AB392="",AC392="",AE392=""),"",IFERROR(ROUND(IF(J392="Short",AB392-AE392,AE392-AB392)/ABS(AB392-AC392),2),""))</f>
        <v/>
      </c>
      <c r="AL392" s="68" t="str">
        <f aca="false">IF(AK392="","",IF(ABS(AK392)&lt;=Settings!$C$6,"BE",IF(AK392&gt;0,"Win","Loss")))</f>
        <v/>
      </c>
      <c r="AM392" s="79" t="str">
        <f aca="false">IF(OR(AK392="",AI392=""),"",ROUND(AK392*AI392-N(AH392),2))</f>
        <v/>
      </c>
      <c r="AN392" s="76" t="str">
        <f aca="false">IF(AM392="","",ROUND(BK392+SUMIFS(AM$6:AM392,BJ$6:BJ392,BJ392),2))</f>
        <v/>
      </c>
      <c r="AO392" s="78" t="str">
        <f aca="false">IF(AK392="","",ROUND(SUMIFS(AK$6:AK392,BJ$6:BJ392,BJ392),2))</f>
        <v/>
      </c>
      <c r="AP392" s="80" t="str">
        <f aca="false">IF(OR(AK392="",BL392=""),"",IFERROR(ROUND(IF(J392="Short",AB392-AE392,AE392-AB392)/BL392,1),""))</f>
        <v/>
      </c>
      <c r="AQ392" s="66" t="str">
        <f aca="false">IF(OR(G392="",H392=""),"",ROUND(MOD(H392-G392,1)*1440,0))</f>
        <v/>
      </c>
      <c r="AR392" s="68" t="str">
        <f aca="false">IF(AQ392="","",IF(AQ392&lt;15,"Under 15m",IF(AQ392&lt;60,"15-60m",IF(AQ392&lt;240,"1-4 hours","4+ hours"))))</f>
        <v/>
      </c>
      <c r="AS392" s="66" t="str">
        <f aca="false">IF(G392="","",HOUR(G392))</f>
        <v/>
      </c>
      <c r="AT392" s="80" t="str">
        <f aca="false">IF(OR(Z392="",AB392="",BL392=""),"",IFERROR(ROUND(IF(J392="Short",Z392-AB392,AB392-Z392)/BL392,1),""))</f>
        <v/>
      </c>
      <c r="AU392" s="68" t="str">
        <f aca="false">IF(OR(AA392="",AC392=""),"",IF(AA392=AC392,"No","Yes"))</f>
        <v/>
      </c>
      <c r="AV392" s="81" t="str">
        <f aca="false">IF(OR(B392="",BL392="",BM392="",AB392="",AC392=""),"",IFERROR(ROUND(AI392/(ABS(AB392-AC392)/BL392*BM392),2),""))</f>
        <v/>
      </c>
      <c r="AW392" s="76" t="str">
        <f aca="false">IF(B392="","",ROUND(BK392+SUMIFS(AM$5:AM391,BJ$5:BJ391,BJ392),2))</f>
        <v/>
      </c>
      <c r="AX392" s="66" t="str">
        <f aca="false">IF(B392="","",COUNTIFS(B$6:B392,B392,BJ$6:BJ392,BJ392))</f>
        <v/>
      </c>
      <c r="AY392" s="79" t="str">
        <f aca="false">IF(B392="","",ROUND(SUMIFS(AM$5:AM391,B$5:B391,B392,BJ$5:BJ391,BJ392),2))</f>
        <v/>
      </c>
      <c r="AZ392" s="79" t="str">
        <f aca="false">IF(AM392="","",ROUND(AY392+AM392,2))</f>
        <v/>
      </c>
      <c r="BA392" s="79" t="str">
        <f aca="false">IF(B392="","",ROUND(SUMIFS(AM$5:AM391,B$5:B391,"&gt;="&amp;(B392-WEEKDAY(B392,2)+1),B$5:B391,"&lt;="&amp;B392,BJ$5:BJ391,BJ392),2))</f>
        <v/>
      </c>
      <c r="BB392" s="68" t="str">
        <f aca="false">IF(B392="","",IF(AND(AF392&lt;&gt;"",AV392&lt;&gt;"",N(AF392)&gt;N(AV392)*(1+Settings!$C$13)),"Oversized",IF(AX392&gt;Settings!$C$10,"Overtraded",IF(AY392&lt;=-Settings!$C$11*(AW392-AY392),"Daily loss hit",IF(BA392&lt;=-Settings!$C$12*(AW392-BA392),"Weekly loss hit","OK")))))</f>
        <v/>
      </c>
      <c r="BC392" s="69"/>
      <c r="BD392" s="69"/>
      <c r="BE392" s="69"/>
      <c r="BF392" s="73"/>
      <c r="BG392" s="73"/>
      <c r="BH392" s="71"/>
      <c r="BI392" s="71"/>
      <c r="BJ392" s="68" t="str">
        <f aca="false">IF(B392="","",IF(E392="",Settings!$F$5,E392))</f>
        <v/>
      </c>
      <c r="BK392" s="76" t="str">
        <f aca="false">IF(B392="","",IFERROR(INDEX(Settings!$G$5:$G$10,MATCH(BJ392,Settings!$F$5:$F$10,0)),Settings!$G$5))</f>
        <v/>
      </c>
      <c r="BL392" s="82" t="str">
        <f aca="false">IF(I392="","",IFERROR(1/(1/INDEX(Lists!$C$6:$C$17,MATCH(I392,Lists!$B$6:$B$17,0))),""))</f>
        <v/>
      </c>
      <c r="BM392" s="81" t="str">
        <f aca="false">IF(I392="","",IFERROR(1/(1/INDEX(Lists!$D$6:$D$17,MATCH(I392,Lists!$B$6:$B$17,0))),""))</f>
        <v/>
      </c>
      <c r="BN392" s="76" t="str">
        <f aca="false">IF(AN392="","",MAX(BK392,_xlfn.MAXIFS(AN$6:AN392,BJ$6:BJ392,BJ392)))</f>
        <v/>
      </c>
      <c r="BO392" s="83" t="str">
        <f aca="false">IF(AN392="","",(AN392-BN392)/BN392)</f>
        <v/>
      </c>
      <c r="BP392" s="66" t="n">
        <f aca="false">IF(OR(B392="",AL392=""),0,IF(OR(Settings!$C$28="All Accounts",BJ392=Settings!$C$28),1,0))</f>
        <v>0</v>
      </c>
      <c r="BQ392" s="66" t="str">
        <f aca="false">IF(BP392=1,SUM(BP$6:BP392),"")</f>
        <v/>
      </c>
      <c r="BR392" s="76" t="str">
        <f aca="false">IF(BP392=1,ROUND(Settings!$C$29+SUMIFS(AM$6:AM392,BP$6:BP392,1),2),"")</f>
        <v/>
      </c>
      <c r="BS392" s="76" t="str">
        <f aca="false">IF(BP392=1,MAX(Settings!$C$29,MAX(BR$6:BR392)),"")</f>
        <v/>
      </c>
      <c r="BT392" s="83" t="str">
        <f aca="false">IF(BP392=1,(BR392-BS392)/BS392,"")</f>
        <v/>
      </c>
      <c r="BU392" s="66" t="str">
        <f aca="false">IF(BP392=1,IF(AL392="Win",1+IF(BQ392=1,0,INDEX(BU$5:BU391,MATCH(BQ392-1,BQ$5:BQ391,0))),0),"")</f>
        <v/>
      </c>
      <c r="BV392" s="66" t="str">
        <f aca="false">IF(BP392=1,IF(AL392="Loss",1+IF(BQ392=1,0,INDEX(BV$5:BV391,MATCH(BQ392-1,BQ$5:BQ391,0))),0),"")</f>
        <v/>
      </c>
    </row>
    <row r="393" customFormat="false" ht="15" hidden="false" customHeight="false" outlineLevel="0" collapsed="false">
      <c r="A393" s="66" t="str">
        <f aca="false">IF(B393="","",ROW()-5)</f>
        <v/>
      </c>
      <c r="B393" s="67"/>
      <c r="C393" s="68" t="str">
        <f aca="false">IF(B393="","",CHOOSE(WEEKDAY(B393,2),"Mon","Tue","Wed","Thu","Fri","Sat","Sun"))</f>
        <v/>
      </c>
      <c r="D393" s="66" t="str">
        <f aca="false">IF(B393="","",WEEKNUM(B393,2))</f>
        <v/>
      </c>
      <c r="E393" s="69"/>
      <c r="F393" s="69"/>
      <c r="G393" s="70"/>
      <c r="H393" s="70"/>
      <c r="I393" s="69"/>
      <c r="J393" s="69"/>
      <c r="K393" s="69"/>
      <c r="L393" s="71"/>
      <c r="M393" s="69"/>
      <c r="N393" s="69"/>
      <c r="O393" s="69"/>
      <c r="P393" s="71"/>
      <c r="Q393" s="69"/>
      <c r="R393" s="69"/>
      <c r="S393" s="69"/>
      <c r="T393" s="69"/>
      <c r="U393" s="69"/>
      <c r="V393" s="69"/>
      <c r="W393" s="69"/>
      <c r="X393" s="66" t="str">
        <f aca="false">IF(B393="","",COUNTIF(Q393:W393,"Yes"))</f>
        <v/>
      </c>
      <c r="Y393" s="68" t="str">
        <f aca="false">IF(B393="","",IF(X393&gt;=Settings!$C$16,"A+",IF(X393&gt;=Settings!$C$17,"A",IF(X393&gt;=Settings!$C$18,"B","C"))))</f>
        <v/>
      </c>
      <c r="Z393" s="72"/>
      <c r="AA393" s="72"/>
      <c r="AB393" s="72"/>
      <c r="AC393" s="72"/>
      <c r="AD393" s="72"/>
      <c r="AE393" s="72"/>
      <c r="AF393" s="73"/>
      <c r="AG393" s="74"/>
      <c r="AH393" s="75"/>
      <c r="AI393" s="76" t="str">
        <f aca="false">IF(B393="","",ROUND(IF(AG393="",Settings!$C$5,AG393)*AW393,2))</f>
        <v/>
      </c>
      <c r="AJ393" s="77" t="str">
        <f aca="false">IF(OR(B393="",AB393="",AC393="",AD393=""),"",IFERROR(ROUND(ABS(AD393-AB393)/ABS(AB393-AC393),2),""))</f>
        <v/>
      </c>
      <c r="AK393" s="78" t="str">
        <f aca="false">IF(OR(B393="",AB393="",AC393="",AE393=""),"",IFERROR(ROUND(IF(J393="Short",AB393-AE393,AE393-AB393)/ABS(AB393-AC393),2),""))</f>
        <v/>
      </c>
      <c r="AL393" s="68" t="str">
        <f aca="false">IF(AK393="","",IF(ABS(AK393)&lt;=Settings!$C$6,"BE",IF(AK393&gt;0,"Win","Loss")))</f>
        <v/>
      </c>
      <c r="AM393" s="79" t="str">
        <f aca="false">IF(OR(AK393="",AI393=""),"",ROUND(AK393*AI393-N(AH393),2))</f>
        <v/>
      </c>
      <c r="AN393" s="76" t="str">
        <f aca="false">IF(AM393="","",ROUND(BK393+SUMIFS(AM$6:AM393,BJ$6:BJ393,BJ393),2))</f>
        <v/>
      </c>
      <c r="AO393" s="78" t="str">
        <f aca="false">IF(AK393="","",ROUND(SUMIFS(AK$6:AK393,BJ$6:BJ393,BJ393),2))</f>
        <v/>
      </c>
      <c r="AP393" s="80" t="str">
        <f aca="false">IF(OR(AK393="",BL393=""),"",IFERROR(ROUND(IF(J393="Short",AB393-AE393,AE393-AB393)/BL393,1),""))</f>
        <v/>
      </c>
      <c r="AQ393" s="66" t="str">
        <f aca="false">IF(OR(G393="",H393=""),"",ROUND(MOD(H393-G393,1)*1440,0))</f>
        <v/>
      </c>
      <c r="AR393" s="68" t="str">
        <f aca="false">IF(AQ393="","",IF(AQ393&lt;15,"Under 15m",IF(AQ393&lt;60,"15-60m",IF(AQ393&lt;240,"1-4 hours","4+ hours"))))</f>
        <v/>
      </c>
      <c r="AS393" s="66" t="str">
        <f aca="false">IF(G393="","",HOUR(G393))</f>
        <v/>
      </c>
      <c r="AT393" s="80" t="str">
        <f aca="false">IF(OR(Z393="",AB393="",BL393=""),"",IFERROR(ROUND(IF(J393="Short",Z393-AB393,AB393-Z393)/BL393,1),""))</f>
        <v/>
      </c>
      <c r="AU393" s="68" t="str">
        <f aca="false">IF(OR(AA393="",AC393=""),"",IF(AA393=AC393,"No","Yes"))</f>
        <v/>
      </c>
      <c r="AV393" s="81" t="str">
        <f aca="false">IF(OR(B393="",BL393="",BM393="",AB393="",AC393=""),"",IFERROR(ROUND(AI393/(ABS(AB393-AC393)/BL393*BM393),2),""))</f>
        <v/>
      </c>
      <c r="AW393" s="76" t="str">
        <f aca="false">IF(B393="","",ROUND(BK393+SUMIFS(AM$5:AM392,BJ$5:BJ392,BJ393),2))</f>
        <v/>
      </c>
      <c r="AX393" s="66" t="str">
        <f aca="false">IF(B393="","",COUNTIFS(B$6:B393,B393,BJ$6:BJ393,BJ393))</f>
        <v/>
      </c>
      <c r="AY393" s="79" t="str">
        <f aca="false">IF(B393="","",ROUND(SUMIFS(AM$5:AM392,B$5:B392,B393,BJ$5:BJ392,BJ393),2))</f>
        <v/>
      </c>
      <c r="AZ393" s="79" t="str">
        <f aca="false">IF(AM393="","",ROUND(AY393+AM393,2))</f>
        <v/>
      </c>
      <c r="BA393" s="79" t="str">
        <f aca="false">IF(B393="","",ROUND(SUMIFS(AM$5:AM392,B$5:B392,"&gt;="&amp;(B393-WEEKDAY(B393,2)+1),B$5:B392,"&lt;="&amp;B393,BJ$5:BJ392,BJ393),2))</f>
        <v/>
      </c>
      <c r="BB393" s="68" t="str">
        <f aca="false">IF(B393="","",IF(AND(AF393&lt;&gt;"",AV393&lt;&gt;"",N(AF393)&gt;N(AV393)*(1+Settings!$C$13)),"Oversized",IF(AX393&gt;Settings!$C$10,"Overtraded",IF(AY393&lt;=-Settings!$C$11*(AW393-AY393),"Daily loss hit",IF(BA393&lt;=-Settings!$C$12*(AW393-BA393),"Weekly loss hit","OK")))))</f>
        <v/>
      </c>
      <c r="BC393" s="69"/>
      <c r="BD393" s="69"/>
      <c r="BE393" s="69"/>
      <c r="BF393" s="73"/>
      <c r="BG393" s="73"/>
      <c r="BH393" s="71"/>
      <c r="BI393" s="71"/>
      <c r="BJ393" s="68" t="str">
        <f aca="false">IF(B393="","",IF(E393="",Settings!$F$5,E393))</f>
        <v/>
      </c>
      <c r="BK393" s="76" t="str">
        <f aca="false">IF(B393="","",IFERROR(INDEX(Settings!$G$5:$G$10,MATCH(BJ393,Settings!$F$5:$F$10,0)),Settings!$G$5))</f>
        <v/>
      </c>
      <c r="BL393" s="82" t="str">
        <f aca="false">IF(I393="","",IFERROR(1/(1/INDEX(Lists!$C$6:$C$17,MATCH(I393,Lists!$B$6:$B$17,0))),""))</f>
        <v/>
      </c>
      <c r="BM393" s="81" t="str">
        <f aca="false">IF(I393="","",IFERROR(1/(1/INDEX(Lists!$D$6:$D$17,MATCH(I393,Lists!$B$6:$B$17,0))),""))</f>
        <v/>
      </c>
      <c r="BN393" s="76" t="str">
        <f aca="false">IF(AN393="","",MAX(BK393,_xlfn.MAXIFS(AN$6:AN393,BJ$6:BJ393,BJ393)))</f>
        <v/>
      </c>
      <c r="BO393" s="83" t="str">
        <f aca="false">IF(AN393="","",(AN393-BN393)/BN393)</f>
        <v/>
      </c>
      <c r="BP393" s="66" t="n">
        <f aca="false">IF(OR(B393="",AL393=""),0,IF(OR(Settings!$C$28="All Accounts",BJ393=Settings!$C$28),1,0))</f>
        <v>0</v>
      </c>
      <c r="BQ393" s="66" t="str">
        <f aca="false">IF(BP393=1,SUM(BP$6:BP393),"")</f>
        <v/>
      </c>
      <c r="BR393" s="76" t="str">
        <f aca="false">IF(BP393=1,ROUND(Settings!$C$29+SUMIFS(AM$6:AM393,BP$6:BP393,1),2),"")</f>
        <v/>
      </c>
      <c r="BS393" s="76" t="str">
        <f aca="false">IF(BP393=1,MAX(Settings!$C$29,MAX(BR$6:BR393)),"")</f>
        <v/>
      </c>
      <c r="BT393" s="83" t="str">
        <f aca="false">IF(BP393=1,(BR393-BS393)/BS393,"")</f>
        <v/>
      </c>
      <c r="BU393" s="66" t="str">
        <f aca="false">IF(BP393=1,IF(AL393="Win",1+IF(BQ393=1,0,INDEX(BU$5:BU392,MATCH(BQ393-1,BQ$5:BQ392,0))),0),"")</f>
        <v/>
      </c>
      <c r="BV393" s="66" t="str">
        <f aca="false">IF(BP393=1,IF(AL393="Loss",1+IF(BQ393=1,0,INDEX(BV$5:BV392,MATCH(BQ393-1,BQ$5:BQ392,0))),0),"")</f>
        <v/>
      </c>
    </row>
    <row r="394" customFormat="false" ht="15" hidden="false" customHeight="false" outlineLevel="0" collapsed="false">
      <c r="A394" s="66" t="str">
        <f aca="false">IF(B394="","",ROW()-5)</f>
        <v/>
      </c>
      <c r="B394" s="67"/>
      <c r="C394" s="68" t="str">
        <f aca="false">IF(B394="","",CHOOSE(WEEKDAY(B394,2),"Mon","Tue","Wed","Thu","Fri","Sat","Sun"))</f>
        <v/>
      </c>
      <c r="D394" s="66" t="str">
        <f aca="false">IF(B394="","",WEEKNUM(B394,2))</f>
        <v/>
      </c>
      <c r="E394" s="69"/>
      <c r="F394" s="69"/>
      <c r="G394" s="70"/>
      <c r="H394" s="70"/>
      <c r="I394" s="69"/>
      <c r="J394" s="69"/>
      <c r="K394" s="69"/>
      <c r="L394" s="71"/>
      <c r="M394" s="69"/>
      <c r="N394" s="69"/>
      <c r="O394" s="69"/>
      <c r="P394" s="71"/>
      <c r="Q394" s="69"/>
      <c r="R394" s="69"/>
      <c r="S394" s="69"/>
      <c r="T394" s="69"/>
      <c r="U394" s="69"/>
      <c r="V394" s="69"/>
      <c r="W394" s="69"/>
      <c r="X394" s="66" t="str">
        <f aca="false">IF(B394="","",COUNTIF(Q394:W394,"Yes"))</f>
        <v/>
      </c>
      <c r="Y394" s="68" t="str">
        <f aca="false">IF(B394="","",IF(X394&gt;=Settings!$C$16,"A+",IF(X394&gt;=Settings!$C$17,"A",IF(X394&gt;=Settings!$C$18,"B","C"))))</f>
        <v/>
      </c>
      <c r="Z394" s="72"/>
      <c r="AA394" s="72"/>
      <c r="AB394" s="72"/>
      <c r="AC394" s="72"/>
      <c r="AD394" s="72"/>
      <c r="AE394" s="72"/>
      <c r="AF394" s="73"/>
      <c r="AG394" s="74"/>
      <c r="AH394" s="75"/>
      <c r="AI394" s="76" t="str">
        <f aca="false">IF(B394="","",ROUND(IF(AG394="",Settings!$C$5,AG394)*AW394,2))</f>
        <v/>
      </c>
      <c r="AJ394" s="77" t="str">
        <f aca="false">IF(OR(B394="",AB394="",AC394="",AD394=""),"",IFERROR(ROUND(ABS(AD394-AB394)/ABS(AB394-AC394),2),""))</f>
        <v/>
      </c>
      <c r="AK394" s="78" t="str">
        <f aca="false">IF(OR(B394="",AB394="",AC394="",AE394=""),"",IFERROR(ROUND(IF(J394="Short",AB394-AE394,AE394-AB394)/ABS(AB394-AC394),2),""))</f>
        <v/>
      </c>
      <c r="AL394" s="68" t="str">
        <f aca="false">IF(AK394="","",IF(ABS(AK394)&lt;=Settings!$C$6,"BE",IF(AK394&gt;0,"Win","Loss")))</f>
        <v/>
      </c>
      <c r="AM394" s="79" t="str">
        <f aca="false">IF(OR(AK394="",AI394=""),"",ROUND(AK394*AI394-N(AH394),2))</f>
        <v/>
      </c>
      <c r="AN394" s="76" t="str">
        <f aca="false">IF(AM394="","",ROUND(BK394+SUMIFS(AM$6:AM394,BJ$6:BJ394,BJ394),2))</f>
        <v/>
      </c>
      <c r="AO394" s="78" t="str">
        <f aca="false">IF(AK394="","",ROUND(SUMIFS(AK$6:AK394,BJ$6:BJ394,BJ394),2))</f>
        <v/>
      </c>
      <c r="AP394" s="80" t="str">
        <f aca="false">IF(OR(AK394="",BL394=""),"",IFERROR(ROUND(IF(J394="Short",AB394-AE394,AE394-AB394)/BL394,1),""))</f>
        <v/>
      </c>
      <c r="AQ394" s="66" t="str">
        <f aca="false">IF(OR(G394="",H394=""),"",ROUND(MOD(H394-G394,1)*1440,0))</f>
        <v/>
      </c>
      <c r="AR394" s="68" t="str">
        <f aca="false">IF(AQ394="","",IF(AQ394&lt;15,"Under 15m",IF(AQ394&lt;60,"15-60m",IF(AQ394&lt;240,"1-4 hours","4+ hours"))))</f>
        <v/>
      </c>
      <c r="AS394" s="66" t="str">
        <f aca="false">IF(G394="","",HOUR(G394))</f>
        <v/>
      </c>
      <c r="AT394" s="80" t="str">
        <f aca="false">IF(OR(Z394="",AB394="",BL394=""),"",IFERROR(ROUND(IF(J394="Short",Z394-AB394,AB394-Z394)/BL394,1),""))</f>
        <v/>
      </c>
      <c r="AU394" s="68" t="str">
        <f aca="false">IF(OR(AA394="",AC394=""),"",IF(AA394=AC394,"No","Yes"))</f>
        <v/>
      </c>
      <c r="AV394" s="81" t="str">
        <f aca="false">IF(OR(B394="",BL394="",BM394="",AB394="",AC394=""),"",IFERROR(ROUND(AI394/(ABS(AB394-AC394)/BL394*BM394),2),""))</f>
        <v/>
      </c>
      <c r="AW394" s="76" t="str">
        <f aca="false">IF(B394="","",ROUND(BK394+SUMIFS(AM$5:AM393,BJ$5:BJ393,BJ394),2))</f>
        <v/>
      </c>
      <c r="AX394" s="66" t="str">
        <f aca="false">IF(B394="","",COUNTIFS(B$6:B394,B394,BJ$6:BJ394,BJ394))</f>
        <v/>
      </c>
      <c r="AY394" s="79" t="str">
        <f aca="false">IF(B394="","",ROUND(SUMIFS(AM$5:AM393,B$5:B393,B394,BJ$5:BJ393,BJ394),2))</f>
        <v/>
      </c>
      <c r="AZ394" s="79" t="str">
        <f aca="false">IF(AM394="","",ROUND(AY394+AM394,2))</f>
        <v/>
      </c>
      <c r="BA394" s="79" t="str">
        <f aca="false">IF(B394="","",ROUND(SUMIFS(AM$5:AM393,B$5:B393,"&gt;="&amp;(B394-WEEKDAY(B394,2)+1),B$5:B393,"&lt;="&amp;B394,BJ$5:BJ393,BJ394),2))</f>
        <v/>
      </c>
      <c r="BB394" s="68" t="str">
        <f aca="false">IF(B394="","",IF(AND(AF394&lt;&gt;"",AV394&lt;&gt;"",N(AF394)&gt;N(AV394)*(1+Settings!$C$13)),"Oversized",IF(AX394&gt;Settings!$C$10,"Overtraded",IF(AY394&lt;=-Settings!$C$11*(AW394-AY394),"Daily loss hit",IF(BA394&lt;=-Settings!$C$12*(AW394-BA394),"Weekly loss hit","OK")))))</f>
        <v/>
      </c>
      <c r="BC394" s="69"/>
      <c r="BD394" s="69"/>
      <c r="BE394" s="69"/>
      <c r="BF394" s="73"/>
      <c r="BG394" s="73"/>
      <c r="BH394" s="71"/>
      <c r="BI394" s="71"/>
      <c r="BJ394" s="68" t="str">
        <f aca="false">IF(B394="","",IF(E394="",Settings!$F$5,E394))</f>
        <v/>
      </c>
      <c r="BK394" s="76" t="str">
        <f aca="false">IF(B394="","",IFERROR(INDEX(Settings!$G$5:$G$10,MATCH(BJ394,Settings!$F$5:$F$10,0)),Settings!$G$5))</f>
        <v/>
      </c>
      <c r="BL394" s="82" t="str">
        <f aca="false">IF(I394="","",IFERROR(1/(1/INDEX(Lists!$C$6:$C$17,MATCH(I394,Lists!$B$6:$B$17,0))),""))</f>
        <v/>
      </c>
      <c r="BM394" s="81" t="str">
        <f aca="false">IF(I394="","",IFERROR(1/(1/INDEX(Lists!$D$6:$D$17,MATCH(I394,Lists!$B$6:$B$17,0))),""))</f>
        <v/>
      </c>
      <c r="BN394" s="76" t="str">
        <f aca="false">IF(AN394="","",MAX(BK394,_xlfn.MAXIFS(AN$6:AN394,BJ$6:BJ394,BJ394)))</f>
        <v/>
      </c>
      <c r="BO394" s="83" t="str">
        <f aca="false">IF(AN394="","",(AN394-BN394)/BN394)</f>
        <v/>
      </c>
      <c r="BP394" s="66" t="n">
        <f aca="false">IF(OR(B394="",AL394=""),0,IF(OR(Settings!$C$28="All Accounts",BJ394=Settings!$C$28),1,0))</f>
        <v>0</v>
      </c>
      <c r="BQ394" s="66" t="str">
        <f aca="false">IF(BP394=1,SUM(BP$6:BP394),"")</f>
        <v/>
      </c>
      <c r="BR394" s="76" t="str">
        <f aca="false">IF(BP394=1,ROUND(Settings!$C$29+SUMIFS(AM$6:AM394,BP$6:BP394,1),2),"")</f>
        <v/>
      </c>
      <c r="BS394" s="76" t="str">
        <f aca="false">IF(BP394=1,MAX(Settings!$C$29,MAX(BR$6:BR394)),"")</f>
        <v/>
      </c>
      <c r="BT394" s="83" t="str">
        <f aca="false">IF(BP394=1,(BR394-BS394)/BS394,"")</f>
        <v/>
      </c>
      <c r="BU394" s="66" t="str">
        <f aca="false">IF(BP394=1,IF(AL394="Win",1+IF(BQ394=1,0,INDEX(BU$5:BU393,MATCH(BQ394-1,BQ$5:BQ393,0))),0),"")</f>
        <v/>
      </c>
      <c r="BV394" s="66" t="str">
        <f aca="false">IF(BP394=1,IF(AL394="Loss",1+IF(BQ394=1,0,INDEX(BV$5:BV393,MATCH(BQ394-1,BQ$5:BQ393,0))),0),"")</f>
        <v/>
      </c>
    </row>
    <row r="395" customFormat="false" ht="15" hidden="false" customHeight="false" outlineLevel="0" collapsed="false">
      <c r="A395" s="66" t="str">
        <f aca="false">IF(B395="","",ROW()-5)</f>
        <v/>
      </c>
      <c r="B395" s="67"/>
      <c r="C395" s="68" t="str">
        <f aca="false">IF(B395="","",CHOOSE(WEEKDAY(B395,2),"Mon","Tue","Wed","Thu","Fri","Sat","Sun"))</f>
        <v/>
      </c>
      <c r="D395" s="66" t="str">
        <f aca="false">IF(B395="","",WEEKNUM(B395,2))</f>
        <v/>
      </c>
      <c r="E395" s="69"/>
      <c r="F395" s="69"/>
      <c r="G395" s="70"/>
      <c r="H395" s="70"/>
      <c r="I395" s="69"/>
      <c r="J395" s="69"/>
      <c r="K395" s="69"/>
      <c r="L395" s="71"/>
      <c r="M395" s="69"/>
      <c r="N395" s="69"/>
      <c r="O395" s="69"/>
      <c r="P395" s="71"/>
      <c r="Q395" s="69"/>
      <c r="R395" s="69"/>
      <c r="S395" s="69"/>
      <c r="T395" s="69"/>
      <c r="U395" s="69"/>
      <c r="V395" s="69"/>
      <c r="W395" s="69"/>
      <c r="X395" s="66" t="str">
        <f aca="false">IF(B395="","",COUNTIF(Q395:W395,"Yes"))</f>
        <v/>
      </c>
      <c r="Y395" s="68" t="str">
        <f aca="false">IF(B395="","",IF(X395&gt;=Settings!$C$16,"A+",IF(X395&gt;=Settings!$C$17,"A",IF(X395&gt;=Settings!$C$18,"B","C"))))</f>
        <v/>
      </c>
      <c r="Z395" s="72"/>
      <c r="AA395" s="72"/>
      <c r="AB395" s="72"/>
      <c r="AC395" s="72"/>
      <c r="AD395" s="72"/>
      <c r="AE395" s="72"/>
      <c r="AF395" s="73"/>
      <c r="AG395" s="74"/>
      <c r="AH395" s="75"/>
      <c r="AI395" s="76" t="str">
        <f aca="false">IF(B395="","",ROUND(IF(AG395="",Settings!$C$5,AG395)*AW395,2))</f>
        <v/>
      </c>
      <c r="AJ395" s="77" t="str">
        <f aca="false">IF(OR(B395="",AB395="",AC395="",AD395=""),"",IFERROR(ROUND(ABS(AD395-AB395)/ABS(AB395-AC395),2),""))</f>
        <v/>
      </c>
      <c r="AK395" s="78" t="str">
        <f aca="false">IF(OR(B395="",AB395="",AC395="",AE395=""),"",IFERROR(ROUND(IF(J395="Short",AB395-AE395,AE395-AB395)/ABS(AB395-AC395),2),""))</f>
        <v/>
      </c>
      <c r="AL395" s="68" t="str">
        <f aca="false">IF(AK395="","",IF(ABS(AK395)&lt;=Settings!$C$6,"BE",IF(AK395&gt;0,"Win","Loss")))</f>
        <v/>
      </c>
      <c r="AM395" s="79" t="str">
        <f aca="false">IF(OR(AK395="",AI395=""),"",ROUND(AK395*AI395-N(AH395),2))</f>
        <v/>
      </c>
      <c r="AN395" s="76" t="str">
        <f aca="false">IF(AM395="","",ROUND(BK395+SUMIFS(AM$6:AM395,BJ$6:BJ395,BJ395),2))</f>
        <v/>
      </c>
      <c r="AO395" s="78" t="str">
        <f aca="false">IF(AK395="","",ROUND(SUMIFS(AK$6:AK395,BJ$6:BJ395,BJ395),2))</f>
        <v/>
      </c>
      <c r="AP395" s="80" t="str">
        <f aca="false">IF(OR(AK395="",BL395=""),"",IFERROR(ROUND(IF(J395="Short",AB395-AE395,AE395-AB395)/BL395,1),""))</f>
        <v/>
      </c>
      <c r="AQ395" s="66" t="str">
        <f aca="false">IF(OR(G395="",H395=""),"",ROUND(MOD(H395-G395,1)*1440,0))</f>
        <v/>
      </c>
      <c r="AR395" s="68" t="str">
        <f aca="false">IF(AQ395="","",IF(AQ395&lt;15,"Under 15m",IF(AQ395&lt;60,"15-60m",IF(AQ395&lt;240,"1-4 hours","4+ hours"))))</f>
        <v/>
      </c>
      <c r="AS395" s="66" t="str">
        <f aca="false">IF(G395="","",HOUR(G395))</f>
        <v/>
      </c>
      <c r="AT395" s="80" t="str">
        <f aca="false">IF(OR(Z395="",AB395="",BL395=""),"",IFERROR(ROUND(IF(J395="Short",Z395-AB395,AB395-Z395)/BL395,1),""))</f>
        <v/>
      </c>
      <c r="AU395" s="68" t="str">
        <f aca="false">IF(OR(AA395="",AC395=""),"",IF(AA395=AC395,"No","Yes"))</f>
        <v/>
      </c>
      <c r="AV395" s="81" t="str">
        <f aca="false">IF(OR(B395="",BL395="",BM395="",AB395="",AC395=""),"",IFERROR(ROUND(AI395/(ABS(AB395-AC395)/BL395*BM395),2),""))</f>
        <v/>
      </c>
      <c r="AW395" s="76" t="str">
        <f aca="false">IF(B395="","",ROUND(BK395+SUMIFS(AM$5:AM394,BJ$5:BJ394,BJ395),2))</f>
        <v/>
      </c>
      <c r="AX395" s="66" t="str">
        <f aca="false">IF(B395="","",COUNTIFS(B$6:B395,B395,BJ$6:BJ395,BJ395))</f>
        <v/>
      </c>
      <c r="AY395" s="79" t="str">
        <f aca="false">IF(B395="","",ROUND(SUMIFS(AM$5:AM394,B$5:B394,B395,BJ$5:BJ394,BJ395),2))</f>
        <v/>
      </c>
      <c r="AZ395" s="79" t="str">
        <f aca="false">IF(AM395="","",ROUND(AY395+AM395,2))</f>
        <v/>
      </c>
      <c r="BA395" s="79" t="str">
        <f aca="false">IF(B395="","",ROUND(SUMIFS(AM$5:AM394,B$5:B394,"&gt;="&amp;(B395-WEEKDAY(B395,2)+1),B$5:B394,"&lt;="&amp;B395,BJ$5:BJ394,BJ395),2))</f>
        <v/>
      </c>
      <c r="BB395" s="68" t="str">
        <f aca="false">IF(B395="","",IF(AND(AF395&lt;&gt;"",AV395&lt;&gt;"",N(AF395)&gt;N(AV395)*(1+Settings!$C$13)),"Oversized",IF(AX395&gt;Settings!$C$10,"Overtraded",IF(AY395&lt;=-Settings!$C$11*(AW395-AY395),"Daily loss hit",IF(BA395&lt;=-Settings!$C$12*(AW395-BA395),"Weekly loss hit","OK")))))</f>
        <v/>
      </c>
      <c r="BC395" s="69"/>
      <c r="BD395" s="69"/>
      <c r="BE395" s="69"/>
      <c r="BF395" s="73"/>
      <c r="BG395" s="73"/>
      <c r="BH395" s="71"/>
      <c r="BI395" s="71"/>
      <c r="BJ395" s="68" t="str">
        <f aca="false">IF(B395="","",IF(E395="",Settings!$F$5,E395))</f>
        <v/>
      </c>
      <c r="BK395" s="76" t="str">
        <f aca="false">IF(B395="","",IFERROR(INDEX(Settings!$G$5:$G$10,MATCH(BJ395,Settings!$F$5:$F$10,0)),Settings!$G$5))</f>
        <v/>
      </c>
      <c r="BL395" s="82" t="str">
        <f aca="false">IF(I395="","",IFERROR(1/(1/INDEX(Lists!$C$6:$C$17,MATCH(I395,Lists!$B$6:$B$17,0))),""))</f>
        <v/>
      </c>
      <c r="BM395" s="81" t="str">
        <f aca="false">IF(I395="","",IFERROR(1/(1/INDEX(Lists!$D$6:$D$17,MATCH(I395,Lists!$B$6:$B$17,0))),""))</f>
        <v/>
      </c>
      <c r="BN395" s="76" t="str">
        <f aca="false">IF(AN395="","",MAX(BK395,_xlfn.MAXIFS(AN$6:AN395,BJ$6:BJ395,BJ395)))</f>
        <v/>
      </c>
      <c r="BO395" s="83" t="str">
        <f aca="false">IF(AN395="","",(AN395-BN395)/BN395)</f>
        <v/>
      </c>
      <c r="BP395" s="66" t="n">
        <f aca="false">IF(OR(B395="",AL395=""),0,IF(OR(Settings!$C$28="All Accounts",BJ395=Settings!$C$28),1,0))</f>
        <v>0</v>
      </c>
      <c r="BQ395" s="66" t="str">
        <f aca="false">IF(BP395=1,SUM(BP$6:BP395),"")</f>
        <v/>
      </c>
      <c r="BR395" s="76" t="str">
        <f aca="false">IF(BP395=1,ROUND(Settings!$C$29+SUMIFS(AM$6:AM395,BP$6:BP395,1),2),"")</f>
        <v/>
      </c>
      <c r="BS395" s="76" t="str">
        <f aca="false">IF(BP395=1,MAX(Settings!$C$29,MAX(BR$6:BR395)),"")</f>
        <v/>
      </c>
      <c r="BT395" s="83" t="str">
        <f aca="false">IF(BP395=1,(BR395-BS395)/BS395,"")</f>
        <v/>
      </c>
      <c r="BU395" s="66" t="str">
        <f aca="false">IF(BP395=1,IF(AL395="Win",1+IF(BQ395=1,0,INDEX(BU$5:BU394,MATCH(BQ395-1,BQ$5:BQ394,0))),0),"")</f>
        <v/>
      </c>
      <c r="BV395" s="66" t="str">
        <f aca="false">IF(BP395=1,IF(AL395="Loss",1+IF(BQ395=1,0,INDEX(BV$5:BV394,MATCH(BQ395-1,BQ$5:BQ394,0))),0),"")</f>
        <v/>
      </c>
    </row>
    <row r="396" customFormat="false" ht="15" hidden="false" customHeight="false" outlineLevel="0" collapsed="false">
      <c r="A396" s="66" t="str">
        <f aca="false">IF(B396="","",ROW()-5)</f>
        <v/>
      </c>
      <c r="B396" s="67"/>
      <c r="C396" s="68" t="str">
        <f aca="false">IF(B396="","",CHOOSE(WEEKDAY(B396,2),"Mon","Tue","Wed","Thu","Fri","Sat","Sun"))</f>
        <v/>
      </c>
      <c r="D396" s="66" t="str">
        <f aca="false">IF(B396="","",WEEKNUM(B396,2))</f>
        <v/>
      </c>
      <c r="E396" s="69"/>
      <c r="F396" s="69"/>
      <c r="G396" s="70"/>
      <c r="H396" s="70"/>
      <c r="I396" s="69"/>
      <c r="J396" s="69"/>
      <c r="K396" s="69"/>
      <c r="L396" s="71"/>
      <c r="M396" s="69"/>
      <c r="N396" s="69"/>
      <c r="O396" s="69"/>
      <c r="P396" s="71"/>
      <c r="Q396" s="69"/>
      <c r="R396" s="69"/>
      <c r="S396" s="69"/>
      <c r="T396" s="69"/>
      <c r="U396" s="69"/>
      <c r="V396" s="69"/>
      <c r="W396" s="69"/>
      <c r="X396" s="66" t="str">
        <f aca="false">IF(B396="","",COUNTIF(Q396:W396,"Yes"))</f>
        <v/>
      </c>
      <c r="Y396" s="68" t="str">
        <f aca="false">IF(B396="","",IF(X396&gt;=Settings!$C$16,"A+",IF(X396&gt;=Settings!$C$17,"A",IF(X396&gt;=Settings!$C$18,"B","C"))))</f>
        <v/>
      </c>
      <c r="Z396" s="72"/>
      <c r="AA396" s="72"/>
      <c r="AB396" s="72"/>
      <c r="AC396" s="72"/>
      <c r="AD396" s="72"/>
      <c r="AE396" s="72"/>
      <c r="AF396" s="73"/>
      <c r="AG396" s="74"/>
      <c r="AH396" s="75"/>
      <c r="AI396" s="76" t="str">
        <f aca="false">IF(B396="","",ROUND(IF(AG396="",Settings!$C$5,AG396)*AW396,2))</f>
        <v/>
      </c>
      <c r="AJ396" s="77" t="str">
        <f aca="false">IF(OR(B396="",AB396="",AC396="",AD396=""),"",IFERROR(ROUND(ABS(AD396-AB396)/ABS(AB396-AC396),2),""))</f>
        <v/>
      </c>
      <c r="AK396" s="78" t="str">
        <f aca="false">IF(OR(B396="",AB396="",AC396="",AE396=""),"",IFERROR(ROUND(IF(J396="Short",AB396-AE396,AE396-AB396)/ABS(AB396-AC396),2),""))</f>
        <v/>
      </c>
      <c r="AL396" s="68" t="str">
        <f aca="false">IF(AK396="","",IF(ABS(AK396)&lt;=Settings!$C$6,"BE",IF(AK396&gt;0,"Win","Loss")))</f>
        <v/>
      </c>
      <c r="AM396" s="79" t="str">
        <f aca="false">IF(OR(AK396="",AI396=""),"",ROUND(AK396*AI396-N(AH396),2))</f>
        <v/>
      </c>
      <c r="AN396" s="76" t="str">
        <f aca="false">IF(AM396="","",ROUND(BK396+SUMIFS(AM$6:AM396,BJ$6:BJ396,BJ396),2))</f>
        <v/>
      </c>
      <c r="AO396" s="78" t="str">
        <f aca="false">IF(AK396="","",ROUND(SUMIFS(AK$6:AK396,BJ$6:BJ396,BJ396),2))</f>
        <v/>
      </c>
      <c r="AP396" s="80" t="str">
        <f aca="false">IF(OR(AK396="",BL396=""),"",IFERROR(ROUND(IF(J396="Short",AB396-AE396,AE396-AB396)/BL396,1),""))</f>
        <v/>
      </c>
      <c r="AQ396" s="66" t="str">
        <f aca="false">IF(OR(G396="",H396=""),"",ROUND(MOD(H396-G396,1)*1440,0))</f>
        <v/>
      </c>
      <c r="AR396" s="68" t="str">
        <f aca="false">IF(AQ396="","",IF(AQ396&lt;15,"Under 15m",IF(AQ396&lt;60,"15-60m",IF(AQ396&lt;240,"1-4 hours","4+ hours"))))</f>
        <v/>
      </c>
      <c r="AS396" s="66" t="str">
        <f aca="false">IF(G396="","",HOUR(G396))</f>
        <v/>
      </c>
      <c r="AT396" s="80" t="str">
        <f aca="false">IF(OR(Z396="",AB396="",BL396=""),"",IFERROR(ROUND(IF(J396="Short",Z396-AB396,AB396-Z396)/BL396,1),""))</f>
        <v/>
      </c>
      <c r="AU396" s="68" t="str">
        <f aca="false">IF(OR(AA396="",AC396=""),"",IF(AA396=AC396,"No","Yes"))</f>
        <v/>
      </c>
      <c r="AV396" s="81" t="str">
        <f aca="false">IF(OR(B396="",BL396="",BM396="",AB396="",AC396=""),"",IFERROR(ROUND(AI396/(ABS(AB396-AC396)/BL396*BM396),2),""))</f>
        <v/>
      </c>
      <c r="AW396" s="76" t="str">
        <f aca="false">IF(B396="","",ROUND(BK396+SUMIFS(AM$5:AM395,BJ$5:BJ395,BJ396),2))</f>
        <v/>
      </c>
      <c r="AX396" s="66" t="str">
        <f aca="false">IF(B396="","",COUNTIFS(B$6:B396,B396,BJ$6:BJ396,BJ396))</f>
        <v/>
      </c>
      <c r="AY396" s="79" t="str">
        <f aca="false">IF(B396="","",ROUND(SUMIFS(AM$5:AM395,B$5:B395,B396,BJ$5:BJ395,BJ396),2))</f>
        <v/>
      </c>
      <c r="AZ396" s="79" t="str">
        <f aca="false">IF(AM396="","",ROUND(AY396+AM396,2))</f>
        <v/>
      </c>
      <c r="BA396" s="79" t="str">
        <f aca="false">IF(B396="","",ROUND(SUMIFS(AM$5:AM395,B$5:B395,"&gt;="&amp;(B396-WEEKDAY(B396,2)+1),B$5:B395,"&lt;="&amp;B396,BJ$5:BJ395,BJ396),2))</f>
        <v/>
      </c>
      <c r="BB396" s="68" t="str">
        <f aca="false">IF(B396="","",IF(AND(AF396&lt;&gt;"",AV396&lt;&gt;"",N(AF396)&gt;N(AV396)*(1+Settings!$C$13)),"Oversized",IF(AX396&gt;Settings!$C$10,"Overtraded",IF(AY396&lt;=-Settings!$C$11*(AW396-AY396),"Daily loss hit",IF(BA396&lt;=-Settings!$C$12*(AW396-BA396),"Weekly loss hit","OK")))))</f>
        <v/>
      </c>
      <c r="BC396" s="69"/>
      <c r="BD396" s="69"/>
      <c r="BE396" s="69"/>
      <c r="BF396" s="73"/>
      <c r="BG396" s="73"/>
      <c r="BH396" s="71"/>
      <c r="BI396" s="71"/>
      <c r="BJ396" s="68" t="str">
        <f aca="false">IF(B396="","",IF(E396="",Settings!$F$5,E396))</f>
        <v/>
      </c>
      <c r="BK396" s="76" t="str">
        <f aca="false">IF(B396="","",IFERROR(INDEX(Settings!$G$5:$G$10,MATCH(BJ396,Settings!$F$5:$F$10,0)),Settings!$G$5))</f>
        <v/>
      </c>
      <c r="BL396" s="82" t="str">
        <f aca="false">IF(I396="","",IFERROR(1/(1/INDEX(Lists!$C$6:$C$17,MATCH(I396,Lists!$B$6:$B$17,0))),""))</f>
        <v/>
      </c>
      <c r="BM396" s="81" t="str">
        <f aca="false">IF(I396="","",IFERROR(1/(1/INDEX(Lists!$D$6:$D$17,MATCH(I396,Lists!$B$6:$B$17,0))),""))</f>
        <v/>
      </c>
      <c r="BN396" s="76" t="str">
        <f aca="false">IF(AN396="","",MAX(BK396,_xlfn.MAXIFS(AN$6:AN396,BJ$6:BJ396,BJ396)))</f>
        <v/>
      </c>
      <c r="BO396" s="83" t="str">
        <f aca="false">IF(AN396="","",(AN396-BN396)/BN396)</f>
        <v/>
      </c>
      <c r="BP396" s="66" t="n">
        <f aca="false">IF(OR(B396="",AL396=""),0,IF(OR(Settings!$C$28="All Accounts",BJ396=Settings!$C$28),1,0))</f>
        <v>0</v>
      </c>
      <c r="BQ396" s="66" t="str">
        <f aca="false">IF(BP396=1,SUM(BP$6:BP396),"")</f>
        <v/>
      </c>
      <c r="BR396" s="76" t="str">
        <f aca="false">IF(BP396=1,ROUND(Settings!$C$29+SUMIFS(AM$6:AM396,BP$6:BP396,1),2),"")</f>
        <v/>
      </c>
      <c r="BS396" s="76" t="str">
        <f aca="false">IF(BP396=1,MAX(Settings!$C$29,MAX(BR$6:BR396)),"")</f>
        <v/>
      </c>
      <c r="BT396" s="83" t="str">
        <f aca="false">IF(BP396=1,(BR396-BS396)/BS396,"")</f>
        <v/>
      </c>
      <c r="BU396" s="66" t="str">
        <f aca="false">IF(BP396=1,IF(AL396="Win",1+IF(BQ396=1,0,INDEX(BU$5:BU395,MATCH(BQ396-1,BQ$5:BQ395,0))),0),"")</f>
        <v/>
      </c>
      <c r="BV396" s="66" t="str">
        <f aca="false">IF(BP396=1,IF(AL396="Loss",1+IF(BQ396=1,0,INDEX(BV$5:BV395,MATCH(BQ396-1,BQ$5:BQ395,0))),0),"")</f>
        <v/>
      </c>
    </row>
    <row r="397" customFormat="false" ht="15" hidden="false" customHeight="false" outlineLevel="0" collapsed="false">
      <c r="A397" s="66" t="str">
        <f aca="false">IF(B397="","",ROW()-5)</f>
        <v/>
      </c>
      <c r="B397" s="67"/>
      <c r="C397" s="68" t="str">
        <f aca="false">IF(B397="","",CHOOSE(WEEKDAY(B397,2),"Mon","Tue","Wed","Thu","Fri","Sat","Sun"))</f>
        <v/>
      </c>
      <c r="D397" s="66" t="str">
        <f aca="false">IF(B397="","",WEEKNUM(B397,2))</f>
        <v/>
      </c>
      <c r="E397" s="69"/>
      <c r="F397" s="69"/>
      <c r="G397" s="70"/>
      <c r="H397" s="70"/>
      <c r="I397" s="69"/>
      <c r="J397" s="69"/>
      <c r="K397" s="69"/>
      <c r="L397" s="71"/>
      <c r="M397" s="69"/>
      <c r="N397" s="69"/>
      <c r="O397" s="69"/>
      <c r="P397" s="71"/>
      <c r="Q397" s="69"/>
      <c r="R397" s="69"/>
      <c r="S397" s="69"/>
      <c r="T397" s="69"/>
      <c r="U397" s="69"/>
      <c r="V397" s="69"/>
      <c r="W397" s="69"/>
      <c r="X397" s="66" t="str">
        <f aca="false">IF(B397="","",COUNTIF(Q397:W397,"Yes"))</f>
        <v/>
      </c>
      <c r="Y397" s="68" t="str">
        <f aca="false">IF(B397="","",IF(X397&gt;=Settings!$C$16,"A+",IF(X397&gt;=Settings!$C$17,"A",IF(X397&gt;=Settings!$C$18,"B","C"))))</f>
        <v/>
      </c>
      <c r="Z397" s="72"/>
      <c r="AA397" s="72"/>
      <c r="AB397" s="72"/>
      <c r="AC397" s="72"/>
      <c r="AD397" s="72"/>
      <c r="AE397" s="72"/>
      <c r="AF397" s="73"/>
      <c r="AG397" s="74"/>
      <c r="AH397" s="75"/>
      <c r="AI397" s="76" t="str">
        <f aca="false">IF(B397="","",ROUND(IF(AG397="",Settings!$C$5,AG397)*AW397,2))</f>
        <v/>
      </c>
      <c r="AJ397" s="77" t="str">
        <f aca="false">IF(OR(B397="",AB397="",AC397="",AD397=""),"",IFERROR(ROUND(ABS(AD397-AB397)/ABS(AB397-AC397),2),""))</f>
        <v/>
      </c>
      <c r="AK397" s="78" t="str">
        <f aca="false">IF(OR(B397="",AB397="",AC397="",AE397=""),"",IFERROR(ROUND(IF(J397="Short",AB397-AE397,AE397-AB397)/ABS(AB397-AC397),2),""))</f>
        <v/>
      </c>
      <c r="AL397" s="68" t="str">
        <f aca="false">IF(AK397="","",IF(ABS(AK397)&lt;=Settings!$C$6,"BE",IF(AK397&gt;0,"Win","Loss")))</f>
        <v/>
      </c>
      <c r="AM397" s="79" t="str">
        <f aca="false">IF(OR(AK397="",AI397=""),"",ROUND(AK397*AI397-N(AH397),2))</f>
        <v/>
      </c>
      <c r="AN397" s="76" t="str">
        <f aca="false">IF(AM397="","",ROUND(BK397+SUMIFS(AM$6:AM397,BJ$6:BJ397,BJ397),2))</f>
        <v/>
      </c>
      <c r="AO397" s="78" t="str">
        <f aca="false">IF(AK397="","",ROUND(SUMIFS(AK$6:AK397,BJ$6:BJ397,BJ397),2))</f>
        <v/>
      </c>
      <c r="AP397" s="80" t="str">
        <f aca="false">IF(OR(AK397="",BL397=""),"",IFERROR(ROUND(IF(J397="Short",AB397-AE397,AE397-AB397)/BL397,1),""))</f>
        <v/>
      </c>
      <c r="AQ397" s="66" t="str">
        <f aca="false">IF(OR(G397="",H397=""),"",ROUND(MOD(H397-G397,1)*1440,0))</f>
        <v/>
      </c>
      <c r="AR397" s="68" t="str">
        <f aca="false">IF(AQ397="","",IF(AQ397&lt;15,"Under 15m",IF(AQ397&lt;60,"15-60m",IF(AQ397&lt;240,"1-4 hours","4+ hours"))))</f>
        <v/>
      </c>
      <c r="AS397" s="66" t="str">
        <f aca="false">IF(G397="","",HOUR(G397))</f>
        <v/>
      </c>
      <c r="AT397" s="80" t="str">
        <f aca="false">IF(OR(Z397="",AB397="",BL397=""),"",IFERROR(ROUND(IF(J397="Short",Z397-AB397,AB397-Z397)/BL397,1),""))</f>
        <v/>
      </c>
      <c r="AU397" s="68" t="str">
        <f aca="false">IF(OR(AA397="",AC397=""),"",IF(AA397=AC397,"No","Yes"))</f>
        <v/>
      </c>
      <c r="AV397" s="81" t="str">
        <f aca="false">IF(OR(B397="",BL397="",BM397="",AB397="",AC397=""),"",IFERROR(ROUND(AI397/(ABS(AB397-AC397)/BL397*BM397),2),""))</f>
        <v/>
      </c>
      <c r="AW397" s="76" t="str">
        <f aca="false">IF(B397="","",ROUND(BK397+SUMIFS(AM$5:AM396,BJ$5:BJ396,BJ397),2))</f>
        <v/>
      </c>
      <c r="AX397" s="66" t="str">
        <f aca="false">IF(B397="","",COUNTIFS(B$6:B397,B397,BJ$6:BJ397,BJ397))</f>
        <v/>
      </c>
      <c r="AY397" s="79" t="str">
        <f aca="false">IF(B397="","",ROUND(SUMIFS(AM$5:AM396,B$5:B396,B397,BJ$5:BJ396,BJ397),2))</f>
        <v/>
      </c>
      <c r="AZ397" s="79" t="str">
        <f aca="false">IF(AM397="","",ROUND(AY397+AM397,2))</f>
        <v/>
      </c>
      <c r="BA397" s="79" t="str">
        <f aca="false">IF(B397="","",ROUND(SUMIFS(AM$5:AM396,B$5:B396,"&gt;="&amp;(B397-WEEKDAY(B397,2)+1),B$5:B396,"&lt;="&amp;B397,BJ$5:BJ396,BJ397),2))</f>
        <v/>
      </c>
      <c r="BB397" s="68" t="str">
        <f aca="false">IF(B397="","",IF(AND(AF397&lt;&gt;"",AV397&lt;&gt;"",N(AF397)&gt;N(AV397)*(1+Settings!$C$13)),"Oversized",IF(AX397&gt;Settings!$C$10,"Overtraded",IF(AY397&lt;=-Settings!$C$11*(AW397-AY397),"Daily loss hit",IF(BA397&lt;=-Settings!$C$12*(AW397-BA397),"Weekly loss hit","OK")))))</f>
        <v/>
      </c>
      <c r="BC397" s="69"/>
      <c r="BD397" s="69"/>
      <c r="BE397" s="69"/>
      <c r="BF397" s="73"/>
      <c r="BG397" s="73"/>
      <c r="BH397" s="71"/>
      <c r="BI397" s="71"/>
      <c r="BJ397" s="68" t="str">
        <f aca="false">IF(B397="","",IF(E397="",Settings!$F$5,E397))</f>
        <v/>
      </c>
      <c r="BK397" s="76" t="str">
        <f aca="false">IF(B397="","",IFERROR(INDEX(Settings!$G$5:$G$10,MATCH(BJ397,Settings!$F$5:$F$10,0)),Settings!$G$5))</f>
        <v/>
      </c>
      <c r="BL397" s="82" t="str">
        <f aca="false">IF(I397="","",IFERROR(1/(1/INDEX(Lists!$C$6:$C$17,MATCH(I397,Lists!$B$6:$B$17,0))),""))</f>
        <v/>
      </c>
      <c r="BM397" s="81" t="str">
        <f aca="false">IF(I397="","",IFERROR(1/(1/INDEX(Lists!$D$6:$D$17,MATCH(I397,Lists!$B$6:$B$17,0))),""))</f>
        <v/>
      </c>
      <c r="BN397" s="76" t="str">
        <f aca="false">IF(AN397="","",MAX(BK397,_xlfn.MAXIFS(AN$6:AN397,BJ$6:BJ397,BJ397)))</f>
        <v/>
      </c>
      <c r="BO397" s="83" t="str">
        <f aca="false">IF(AN397="","",(AN397-BN397)/BN397)</f>
        <v/>
      </c>
      <c r="BP397" s="66" t="n">
        <f aca="false">IF(OR(B397="",AL397=""),0,IF(OR(Settings!$C$28="All Accounts",BJ397=Settings!$C$28),1,0))</f>
        <v>0</v>
      </c>
      <c r="BQ397" s="66" t="str">
        <f aca="false">IF(BP397=1,SUM(BP$6:BP397),"")</f>
        <v/>
      </c>
      <c r="BR397" s="76" t="str">
        <f aca="false">IF(BP397=1,ROUND(Settings!$C$29+SUMIFS(AM$6:AM397,BP$6:BP397,1),2),"")</f>
        <v/>
      </c>
      <c r="BS397" s="76" t="str">
        <f aca="false">IF(BP397=1,MAX(Settings!$C$29,MAX(BR$6:BR397)),"")</f>
        <v/>
      </c>
      <c r="BT397" s="83" t="str">
        <f aca="false">IF(BP397=1,(BR397-BS397)/BS397,"")</f>
        <v/>
      </c>
      <c r="BU397" s="66" t="str">
        <f aca="false">IF(BP397=1,IF(AL397="Win",1+IF(BQ397=1,0,INDEX(BU$5:BU396,MATCH(BQ397-1,BQ$5:BQ396,0))),0),"")</f>
        <v/>
      </c>
      <c r="BV397" s="66" t="str">
        <f aca="false">IF(BP397=1,IF(AL397="Loss",1+IF(BQ397=1,0,INDEX(BV$5:BV396,MATCH(BQ397-1,BQ$5:BQ396,0))),0),"")</f>
        <v/>
      </c>
    </row>
    <row r="398" customFormat="false" ht="15" hidden="false" customHeight="false" outlineLevel="0" collapsed="false">
      <c r="A398" s="66" t="str">
        <f aca="false">IF(B398="","",ROW()-5)</f>
        <v/>
      </c>
      <c r="B398" s="67"/>
      <c r="C398" s="68" t="str">
        <f aca="false">IF(B398="","",CHOOSE(WEEKDAY(B398,2),"Mon","Tue","Wed","Thu","Fri","Sat","Sun"))</f>
        <v/>
      </c>
      <c r="D398" s="66" t="str">
        <f aca="false">IF(B398="","",WEEKNUM(B398,2))</f>
        <v/>
      </c>
      <c r="E398" s="69"/>
      <c r="F398" s="69"/>
      <c r="G398" s="70"/>
      <c r="H398" s="70"/>
      <c r="I398" s="69"/>
      <c r="J398" s="69"/>
      <c r="K398" s="69"/>
      <c r="L398" s="71"/>
      <c r="M398" s="69"/>
      <c r="N398" s="69"/>
      <c r="O398" s="69"/>
      <c r="P398" s="71"/>
      <c r="Q398" s="69"/>
      <c r="R398" s="69"/>
      <c r="S398" s="69"/>
      <c r="T398" s="69"/>
      <c r="U398" s="69"/>
      <c r="V398" s="69"/>
      <c r="W398" s="69"/>
      <c r="X398" s="66" t="str">
        <f aca="false">IF(B398="","",COUNTIF(Q398:W398,"Yes"))</f>
        <v/>
      </c>
      <c r="Y398" s="68" t="str">
        <f aca="false">IF(B398="","",IF(X398&gt;=Settings!$C$16,"A+",IF(X398&gt;=Settings!$C$17,"A",IF(X398&gt;=Settings!$C$18,"B","C"))))</f>
        <v/>
      </c>
      <c r="Z398" s="72"/>
      <c r="AA398" s="72"/>
      <c r="AB398" s="72"/>
      <c r="AC398" s="72"/>
      <c r="AD398" s="72"/>
      <c r="AE398" s="72"/>
      <c r="AF398" s="73"/>
      <c r="AG398" s="74"/>
      <c r="AH398" s="75"/>
      <c r="AI398" s="76" t="str">
        <f aca="false">IF(B398="","",ROUND(IF(AG398="",Settings!$C$5,AG398)*AW398,2))</f>
        <v/>
      </c>
      <c r="AJ398" s="77" t="str">
        <f aca="false">IF(OR(B398="",AB398="",AC398="",AD398=""),"",IFERROR(ROUND(ABS(AD398-AB398)/ABS(AB398-AC398),2),""))</f>
        <v/>
      </c>
      <c r="AK398" s="78" t="str">
        <f aca="false">IF(OR(B398="",AB398="",AC398="",AE398=""),"",IFERROR(ROUND(IF(J398="Short",AB398-AE398,AE398-AB398)/ABS(AB398-AC398),2),""))</f>
        <v/>
      </c>
      <c r="AL398" s="68" t="str">
        <f aca="false">IF(AK398="","",IF(ABS(AK398)&lt;=Settings!$C$6,"BE",IF(AK398&gt;0,"Win","Loss")))</f>
        <v/>
      </c>
      <c r="AM398" s="79" t="str">
        <f aca="false">IF(OR(AK398="",AI398=""),"",ROUND(AK398*AI398-N(AH398),2))</f>
        <v/>
      </c>
      <c r="AN398" s="76" t="str">
        <f aca="false">IF(AM398="","",ROUND(BK398+SUMIFS(AM$6:AM398,BJ$6:BJ398,BJ398),2))</f>
        <v/>
      </c>
      <c r="AO398" s="78" t="str">
        <f aca="false">IF(AK398="","",ROUND(SUMIFS(AK$6:AK398,BJ$6:BJ398,BJ398),2))</f>
        <v/>
      </c>
      <c r="AP398" s="80" t="str">
        <f aca="false">IF(OR(AK398="",BL398=""),"",IFERROR(ROUND(IF(J398="Short",AB398-AE398,AE398-AB398)/BL398,1),""))</f>
        <v/>
      </c>
      <c r="AQ398" s="66" t="str">
        <f aca="false">IF(OR(G398="",H398=""),"",ROUND(MOD(H398-G398,1)*1440,0))</f>
        <v/>
      </c>
      <c r="AR398" s="68" t="str">
        <f aca="false">IF(AQ398="","",IF(AQ398&lt;15,"Under 15m",IF(AQ398&lt;60,"15-60m",IF(AQ398&lt;240,"1-4 hours","4+ hours"))))</f>
        <v/>
      </c>
      <c r="AS398" s="66" t="str">
        <f aca="false">IF(G398="","",HOUR(G398))</f>
        <v/>
      </c>
      <c r="AT398" s="80" t="str">
        <f aca="false">IF(OR(Z398="",AB398="",BL398=""),"",IFERROR(ROUND(IF(J398="Short",Z398-AB398,AB398-Z398)/BL398,1),""))</f>
        <v/>
      </c>
      <c r="AU398" s="68" t="str">
        <f aca="false">IF(OR(AA398="",AC398=""),"",IF(AA398=AC398,"No","Yes"))</f>
        <v/>
      </c>
      <c r="AV398" s="81" t="str">
        <f aca="false">IF(OR(B398="",BL398="",BM398="",AB398="",AC398=""),"",IFERROR(ROUND(AI398/(ABS(AB398-AC398)/BL398*BM398),2),""))</f>
        <v/>
      </c>
      <c r="AW398" s="76" t="str">
        <f aca="false">IF(B398="","",ROUND(BK398+SUMIFS(AM$5:AM397,BJ$5:BJ397,BJ398),2))</f>
        <v/>
      </c>
      <c r="AX398" s="66" t="str">
        <f aca="false">IF(B398="","",COUNTIFS(B$6:B398,B398,BJ$6:BJ398,BJ398))</f>
        <v/>
      </c>
      <c r="AY398" s="79" t="str">
        <f aca="false">IF(B398="","",ROUND(SUMIFS(AM$5:AM397,B$5:B397,B398,BJ$5:BJ397,BJ398),2))</f>
        <v/>
      </c>
      <c r="AZ398" s="79" t="str">
        <f aca="false">IF(AM398="","",ROUND(AY398+AM398,2))</f>
        <v/>
      </c>
      <c r="BA398" s="79" t="str">
        <f aca="false">IF(B398="","",ROUND(SUMIFS(AM$5:AM397,B$5:B397,"&gt;="&amp;(B398-WEEKDAY(B398,2)+1),B$5:B397,"&lt;="&amp;B398,BJ$5:BJ397,BJ398),2))</f>
        <v/>
      </c>
      <c r="BB398" s="68" t="str">
        <f aca="false">IF(B398="","",IF(AND(AF398&lt;&gt;"",AV398&lt;&gt;"",N(AF398)&gt;N(AV398)*(1+Settings!$C$13)),"Oversized",IF(AX398&gt;Settings!$C$10,"Overtraded",IF(AY398&lt;=-Settings!$C$11*(AW398-AY398),"Daily loss hit",IF(BA398&lt;=-Settings!$C$12*(AW398-BA398),"Weekly loss hit","OK")))))</f>
        <v/>
      </c>
      <c r="BC398" s="69"/>
      <c r="BD398" s="69"/>
      <c r="BE398" s="69"/>
      <c r="BF398" s="73"/>
      <c r="BG398" s="73"/>
      <c r="BH398" s="71"/>
      <c r="BI398" s="71"/>
      <c r="BJ398" s="68" t="str">
        <f aca="false">IF(B398="","",IF(E398="",Settings!$F$5,E398))</f>
        <v/>
      </c>
      <c r="BK398" s="76" t="str">
        <f aca="false">IF(B398="","",IFERROR(INDEX(Settings!$G$5:$G$10,MATCH(BJ398,Settings!$F$5:$F$10,0)),Settings!$G$5))</f>
        <v/>
      </c>
      <c r="BL398" s="82" t="str">
        <f aca="false">IF(I398="","",IFERROR(1/(1/INDEX(Lists!$C$6:$C$17,MATCH(I398,Lists!$B$6:$B$17,0))),""))</f>
        <v/>
      </c>
      <c r="BM398" s="81" t="str">
        <f aca="false">IF(I398="","",IFERROR(1/(1/INDEX(Lists!$D$6:$D$17,MATCH(I398,Lists!$B$6:$B$17,0))),""))</f>
        <v/>
      </c>
      <c r="BN398" s="76" t="str">
        <f aca="false">IF(AN398="","",MAX(BK398,_xlfn.MAXIFS(AN$6:AN398,BJ$6:BJ398,BJ398)))</f>
        <v/>
      </c>
      <c r="BO398" s="83" t="str">
        <f aca="false">IF(AN398="","",(AN398-BN398)/BN398)</f>
        <v/>
      </c>
      <c r="BP398" s="66" t="n">
        <f aca="false">IF(OR(B398="",AL398=""),0,IF(OR(Settings!$C$28="All Accounts",BJ398=Settings!$C$28),1,0))</f>
        <v>0</v>
      </c>
      <c r="BQ398" s="66" t="str">
        <f aca="false">IF(BP398=1,SUM(BP$6:BP398),"")</f>
        <v/>
      </c>
      <c r="BR398" s="76" t="str">
        <f aca="false">IF(BP398=1,ROUND(Settings!$C$29+SUMIFS(AM$6:AM398,BP$6:BP398,1),2),"")</f>
        <v/>
      </c>
      <c r="BS398" s="76" t="str">
        <f aca="false">IF(BP398=1,MAX(Settings!$C$29,MAX(BR$6:BR398)),"")</f>
        <v/>
      </c>
      <c r="BT398" s="83" t="str">
        <f aca="false">IF(BP398=1,(BR398-BS398)/BS398,"")</f>
        <v/>
      </c>
      <c r="BU398" s="66" t="str">
        <f aca="false">IF(BP398=1,IF(AL398="Win",1+IF(BQ398=1,0,INDEX(BU$5:BU397,MATCH(BQ398-1,BQ$5:BQ397,0))),0),"")</f>
        <v/>
      </c>
      <c r="BV398" s="66" t="str">
        <f aca="false">IF(BP398=1,IF(AL398="Loss",1+IF(BQ398=1,0,INDEX(BV$5:BV397,MATCH(BQ398-1,BQ$5:BQ397,0))),0),"")</f>
        <v/>
      </c>
    </row>
    <row r="399" customFormat="false" ht="15" hidden="false" customHeight="false" outlineLevel="0" collapsed="false">
      <c r="A399" s="66" t="str">
        <f aca="false">IF(B399="","",ROW()-5)</f>
        <v/>
      </c>
      <c r="B399" s="67"/>
      <c r="C399" s="68" t="str">
        <f aca="false">IF(B399="","",CHOOSE(WEEKDAY(B399,2),"Mon","Tue","Wed","Thu","Fri","Sat","Sun"))</f>
        <v/>
      </c>
      <c r="D399" s="66" t="str">
        <f aca="false">IF(B399="","",WEEKNUM(B399,2))</f>
        <v/>
      </c>
      <c r="E399" s="69"/>
      <c r="F399" s="69"/>
      <c r="G399" s="70"/>
      <c r="H399" s="70"/>
      <c r="I399" s="69"/>
      <c r="J399" s="69"/>
      <c r="K399" s="69"/>
      <c r="L399" s="71"/>
      <c r="M399" s="69"/>
      <c r="N399" s="69"/>
      <c r="O399" s="69"/>
      <c r="P399" s="71"/>
      <c r="Q399" s="69"/>
      <c r="R399" s="69"/>
      <c r="S399" s="69"/>
      <c r="T399" s="69"/>
      <c r="U399" s="69"/>
      <c r="V399" s="69"/>
      <c r="W399" s="69"/>
      <c r="X399" s="66" t="str">
        <f aca="false">IF(B399="","",COUNTIF(Q399:W399,"Yes"))</f>
        <v/>
      </c>
      <c r="Y399" s="68" t="str">
        <f aca="false">IF(B399="","",IF(X399&gt;=Settings!$C$16,"A+",IF(X399&gt;=Settings!$C$17,"A",IF(X399&gt;=Settings!$C$18,"B","C"))))</f>
        <v/>
      </c>
      <c r="Z399" s="72"/>
      <c r="AA399" s="72"/>
      <c r="AB399" s="72"/>
      <c r="AC399" s="72"/>
      <c r="AD399" s="72"/>
      <c r="AE399" s="72"/>
      <c r="AF399" s="73"/>
      <c r="AG399" s="74"/>
      <c r="AH399" s="75"/>
      <c r="AI399" s="76" t="str">
        <f aca="false">IF(B399="","",ROUND(IF(AG399="",Settings!$C$5,AG399)*AW399,2))</f>
        <v/>
      </c>
      <c r="AJ399" s="77" t="str">
        <f aca="false">IF(OR(B399="",AB399="",AC399="",AD399=""),"",IFERROR(ROUND(ABS(AD399-AB399)/ABS(AB399-AC399),2),""))</f>
        <v/>
      </c>
      <c r="AK399" s="78" t="str">
        <f aca="false">IF(OR(B399="",AB399="",AC399="",AE399=""),"",IFERROR(ROUND(IF(J399="Short",AB399-AE399,AE399-AB399)/ABS(AB399-AC399),2),""))</f>
        <v/>
      </c>
      <c r="AL399" s="68" t="str">
        <f aca="false">IF(AK399="","",IF(ABS(AK399)&lt;=Settings!$C$6,"BE",IF(AK399&gt;0,"Win","Loss")))</f>
        <v/>
      </c>
      <c r="AM399" s="79" t="str">
        <f aca="false">IF(OR(AK399="",AI399=""),"",ROUND(AK399*AI399-N(AH399),2))</f>
        <v/>
      </c>
      <c r="AN399" s="76" t="str">
        <f aca="false">IF(AM399="","",ROUND(BK399+SUMIFS(AM$6:AM399,BJ$6:BJ399,BJ399),2))</f>
        <v/>
      </c>
      <c r="AO399" s="78" t="str">
        <f aca="false">IF(AK399="","",ROUND(SUMIFS(AK$6:AK399,BJ$6:BJ399,BJ399),2))</f>
        <v/>
      </c>
      <c r="AP399" s="80" t="str">
        <f aca="false">IF(OR(AK399="",BL399=""),"",IFERROR(ROUND(IF(J399="Short",AB399-AE399,AE399-AB399)/BL399,1),""))</f>
        <v/>
      </c>
      <c r="AQ399" s="66" t="str">
        <f aca="false">IF(OR(G399="",H399=""),"",ROUND(MOD(H399-G399,1)*1440,0))</f>
        <v/>
      </c>
      <c r="AR399" s="68" t="str">
        <f aca="false">IF(AQ399="","",IF(AQ399&lt;15,"Under 15m",IF(AQ399&lt;60,"15-60m",IF(AQ399&lt;240,"1-4 hours","4+ hours"))))</f>
        <v/>
      </c>
      <c r="AS399" s="66" t="str">
        <f aca="false">IF(G399="","",HOUR(G399))</f>
        <v/>
      </c>
      <c r="AT399" s="80" t="str">
        <f aca="false">IF(OR(Z399="",AB399="",BL399=""),"",IFERROR(ROUND(IF(J399="Short",Z399-AB399,AB399-Z399)/BL399,1),""))</f>
        <v/>
      </c>
      <c r="AU399" s="68" t="str">
        <f aca="false">IF(OR(AA399="",AC399=""),"",IF(AA399=AC399,"No","Yes"))</f>
        <v/>
      </c>
      <c r="AV399" s="81" t="str">
        <f aca="false">IF(OR(B399="",BL399="",BM399="",AB399="",AC399=""),"",IFERROR(ROUND(AI399/(ABS(AB399-AC399)/BL399*BM399),2),""))</f>
        <v/>
      </c>
      <c r="AW399" s="76" t="str">
        <f aca="false">IF(B399="","",ROUND(BK399+SUMIFS(AM$5:AM398,BJ$5:BJ398,BJ399),2))</f>
        <v/>
      </c>
      <c r="AX399" s="66" t="str">
        <f aca="false">IF(B399="","",COUNTIFS(B$6:B399,B399,BJ$6:BJ399,BJ399))</f>
        <v/>
      </c>
      <c r="AY399" s="79" t="str">
        <f aca="false">IF(B399="","",ROUND(SUMIFS(AM$5:AM398,B$5:B398,B399,BJ$5:BJ398,BJ399),2))</f>
        <v/>
      </c>
      <c r="AZ399" s="79" t="str">
        <f aca="false">IF(AM399="","",ROUND(AY399+AM399,2))</f>
        <v/>
      </c>
      <c r="BA399" s="79" t="str">
        <f aca="false">IF(B399="","",ROUND(SUMIFS(AM$5:AM398,B$5:B398,"&gt;="&amp;(B399-WEEKDAY(B399,2)+1),B$5:B398,"&lt;="&amp;B399,BJ$5:BJ398,BJ399),2))</f>
        <v/>
      </c>
      <c r="BB399" s="68" t="str">
        <f aca="false">IF(B399="","",IF(AND(AF399&lt;&gt;"",AV399&lt;&gt;"",N(AF399)&gt;N(AV399)*(1+Settings!$C$13)),"Oversized",IF(AX399&gt;Settings!$C$10,"Overtraded",IF(AY399&lt;=-Settings!$C$11*(AW399-AY399),"Daily loss hit",IF(BA399&lt;=-Settings!$C$12*(AW399-BA399),"Weekly loss hit","OK")))))</f>
        <v/>
      </c>
      <c r="BC399" s="69"/>
      <c r="BD399" s="69"/>
      <c r="BE399" s="69"/>
      <c r="BF399" s="73"/>
      <c r="BG399" s="73"/>
      <c r="BH399" s="71"/>
      <c r="BI399" s="71"/>
      <c r="BJ399" s="68" t="str">
        <f aca="false">IF(B399="","",IF(E399="",Settings!$F$5,E399))</f>
        <v/>
      </c>
      <c r="BK399" s="76" t="str">
        <f aca="false">IF(B399="","",IFERROR(INDEX(Settings!$G$5:$G$10,MATCH(BJ399,Settings!$F$5:$F$10,0)),Settings!$G$5))</f>
        <v/>
      </c>
      <c r="BL399" s="82" t="str">
        <f aca="false">IF(I399="","",IFERROR(1/(1/INDEX(Lists!$C$6:$C$17,MATCH(I399,Lists!$B$6:$B$17,0))),""))</f>
        <v/>
      </c>
      <c r="BM399" s="81" t="str">
        <f aca="false">IF(I399="","",IFERROR(1/(1/INDEX(Lists!$D$6:$D$17,MATCH(I399,Lists!$B$6:$B$17,0))),""))</f>
        <v/>
      </c>
      <c r="BN399" s="76" t="str">
        <f aca="false">IF(AN399="","",MAX(BK399,_xlfn.MAXIFS(AN$6:AN399,BJ$6:BJ399,BJ399)))</f>
        <v/>
      </c>
      <c r="BO399" s="83" t="str">
        <f aca="false">IF(AN399="","",(AN399-BN399)/BN399)</f>
        <v/>
      </c>
      <c r="BP399" s="66" t="n">
        <f aca="false">IF(OR(B399="",AL399=""),0,IF(OR(Settings!$C$28="All Accounts",BJ399=Settings!$C$28),1,0))</f>
        <v>0</v>
      </c>
      <c r="BQ399" s="66" t="str">
        <f aca="false">IF(BP399=1,SUM(BP$6:BP399),"")</f>
        <v/>
      </c>
      <c r="BR399" s="76" t="str">
        <f aca="false">IF(BP399=1,ROUND(Settings!$C$29+SUMIFS(AM$6:AM399,BP$6:BP399,1),2),"")</f>
        <v/>
      </c>
      <c r="BS399" s="76" t="str">
        <f aca="false">IF(BP399=1,MAX(Settings!$C$29,MAX(BR$6:BR399)),"")</f>
        <v/>
      </c>
      <c r="BT399" s="83" t="str">
        <f aca="false">IF(BP399=1,(BR399-BS399)/BS399,"")</f>
        <v/>
      </c>
      <c r="BU399" s="66" t="str">
        <f aca="false">IF(BP399=1,IF(AL399="Win",1+IF(BQ399=1,0,INDEX(BU$5:BU398,MATCH(BQ399-1,BQ$5:BQ398,0))),0),"")</f>
        <v/>
      </c>
      <c r="BV399" s="66" t="str">
        <f aca="false">IF(BP399=1,IF(AL399="Loss",1+IF(BQ399=1,0,INDEX(BV$5:BV398,MATCH(BQ399-1,BQ$5:BQ398,0))),0),"")</f>
        <v/>
      </c>
    </row>
    <row r="400" customFormat="false" ht="15" hidden="false" customHeight="false" outlineLevel="0" collapsed="false">
      <c r="A400" s="66" t="str">
        <f aca="false">IF(B400="","",ROW()-5)</f>
        <v/>
      </c>
      <c r="B400" s="67"/>
      <c r="C400" s="68" t="str">
        <f aca="false">IF(B400="","",CHOOSE(WEEKDAY(B400,2),"Mon","Tue","Wed","Thu","Fri","Sat","Sun"))</f>
        <v/>
      </c>
      <c r="D400" s="66" t="str">
        <f aca="false">IF(B400="","",WEEKNUM(B400,2))</f>
        <v/>
      </c>
      <c r="E400" s="69"/>
      <c r="F400" s="69"/>
      <c r="G400" s="70"/>
      <c r="H400" s="70"/>
      <c r="I400" s="69"/>
      <c r="J400" s="69"/>
      <c r="K400" s="69"/>
      <c r="L400" s="71"/>
      <c r="M400" s="69"/>
      <c r="N400" s="69"/>
      <c r="O400" s="69"/>
      <c r="P400" s="71"/>
      <c r="Q400" s="69"/>
      <c r="R400" s="69"/>
      <c r="S400" s="69"/>
      <c r="T400" s="69"/>
      <c r="U400" s="69"/>
      <c r="V400" s="69"/>
      <c r="W400" s="69"/>
      <c r="X400" s="66" t="str">
        <f aca="false">IF(B400="","",COUNTIF(Q400:W400,"Yes"))</f>
        <v/>
      </c>
      <c r="Y400" s="68" t="str">
        <f aca="false">IF(B400="","",IF(X400&gt;=Settings!$C$16,"A+",IF(X400&gt;=Settings!$C$17,"A",IF(X400&gt;=Settings!$C$18,"B","C"))))</f>
        <v/>
      </c>
      <c r="Z400" s="72"/>
      <c r="AA400" s="72"/>
      <c r="AB400" s="72"/>
      <c r="AC400" s="72"/>
      <c r="AD400" s="72"/>
      <c r="AE400" s="72"/>
      <c r="AF400" s="73"/>
      <c r="AG400" s="74"/>
      <c r="AH400" s="75"/>
      <c r="AI400" s="76" t="str">
        <f aca="false">IF(B400="","",ROUND(IF(AG400="",Settings!$C$5,AG400)*AW400,2))</f>
        <v/>
      </c>
      <c r="AJ400" s="77" t="str">
        <f aca="false">IF(OR(B400="",AB400="",AC400="",AD400=""),"",IFERROR(ROUND(ABS(AD400-AB400)/ABS(AB400-AC400),2),""))</f>
        <v/>
      </c>
      <c r="AK400" s="78" t="str">
        <f aca="false">IF(OR(B400="",AB400="",AC400="",AE400=""),"",IFERROR(ROUND(IF(J400="Short",AB400-AE400,AE400-AB400)/ABS(AB400-AC400),2),""))</f>
        <v/>
      </c>
      <c r="AL400" s="68" t="str">
        <f aca="false">IF(AK400="","",IF(ABS(AK400)&lt;=Settings!$C$6,"BE",IF(AK400&gt;0,"Win","Loss")))</f>
        <v/>
      </c>
      <c r="AM400" s="79" t="str">
        <f aca="false">IF(OR(AK400="",AI400=""),"",ROUND(AK400*AI400-N(AH400),2))</f>
        <v/>
      </c>
      <c r="AN400" s="76" t="str">
        <f aca="false">IF(AM400="","",ROUND(BK400+SUMIFS(AM$6:AM400,BJ$6:BJ400,BJ400),2))</f>
        <v/>
      </c>
      <c r="AO400" s="78" t="str">
        <f aca="false">IF(AK400="","",ROUND(SUMIFS(AK$6:AK400,BJ$6:BJ400,BJ400),2))</f>
        <v/>
      </c>
      <c r="AP400" s="80" t="str">
        <f aca="false">IF(OR(AK400="",BL400=""),"",IFERROR(ROUND(IF(J400="Short",AB400-AE400,AE400-AB400)/BL400,1),""))</f>
        <v/>
      </c>
      <c r="AQ400" s="66" t="str">
        <f aca="false">IF(OR(G400="",H400=""),"",ROUND(MOD(H400-G400,1)*1440,0))</f>
        <v/>
      </c>
      <c r="AR400" s="68" t="str">
        <f aca="false">IF(AQ400="","",IF(AQ400&lt;15,"Under 15m",IF(AQ400&lt;60,"15-60m",IF(AQ400&lt;240,"1-4 hours","4+ hours"))))</f>
        <v/>
      </c>
      <c r="AS400" s="66" t="str">
        <f aca="false">IF(G400="","",HOUR(G400))</f>
        <v/>
      </c>
      <c r="AT400" s="80" t="str">
        <f aca="false">IF(OR(Z400="",AB400="",BL400=""),"",IFERROR(ROUND(IF(J400="Short",Z400-AB400,AB400-Z400)/BL400,1),""))</f>
        <v/>
      </c>
      <c r="AU400" s="68" t="str">
        <f aca="false">IF(OR(AA400="",AC400=""),"",IF(AA400=AC400,"No","Yes"))</f>
        <v/>
      </c>
      <c r="AV400" s="81" t="str">
        <f aca="false">IF(OR(B400="",BL400="",BM400="",AB400="",AC400=""),"",IFERROR(ROUND(AI400/(ABS(AB400-AC400)/BL400*BM400),2),""))</f>
        <v/>
      </c>
      <c r="AW400" s="76" t="str">
        <f aca="false">IF(B400="","",ROUND(BK400+SUMIFS(AM$5:AM399,BJ$5:BJ399,BJ400),2))</f>
        <v/>
      </c>
      <c r="AX400" s="66" t="str">
        <f aca="false">IF(B400="","",COUNTIFS(B$6:B400,B400,BJ$6:BJ400,BJ400))</f>
        <v/>
      </c>
      <c r="AY400" s="79" t="str">
        <f aca="false">IF(B400="","",ROUND(SUMIFS(AM$5:AM399,B$5:B399,B400,BJ$5:BJ399,BJ400),2))</f>
        <v/>
      </c>
      <c r="AZ400" s="79" t="str">
        <f aca="false">IF(AM400="","",ROUND(AY400+AM400,2))</f>
        <v/>
      </c>
      <c r="BA400" s="79" t="str">
        <f aca="false">IF(B400="","",ROUND(SUMIFS(AM$5:AM399,B$5:B399,"&gt;="&amp;(B400-WEEKDAY(B400,2)+1),B$5:B399,"&lt;="&amp;B400,BJ$5:BJ399,BJ400),2))</f>
        <v/>
      </c>
      <c r="BB400" s="68" t="str">
        <f aca="false">IF(B400="","",IF(AND(AF400&lt;&gt;"",AV400&lt;&gt;"",N(AF400)&gt;N(AV400)*(1+Settings!$C$13)),"Oversized",IF(AX400&gt;Settings!$C$10,"Overtraded",IF(AY400&lt;=-Settings!$C$11*(AW400-AY400),"Daily loss hit",IF(BA400&lt;=-Settings!$C$12*(AW400-BA400),"Weekly loss hit","OK")))))</f>
        <v/>
      </c>
      <c r="BC400" s="69"/>
      <c r="BD400" s="69"/>
      <c r="BE400" s="69"/>
      <c r="BF400" s="73"/>
      <c r="BG400" s="73"/>
      <c r="BH400" s="71"/>
      <c r="BI400" s="71"/>
      <c r="BJ400" s="68" t="str">
        <f aca="false">IF(B400="","",IF(E400="",Settings!$F$5,E400))</f>
        <v/>
      </c>
      <c r="BK400" s="76" t="str">
        <f aca="false">IF(B400="","",IFERROR(INDEX(Settings!$G$5:$G$10,MATCH(BJ400,Settings!$F$5:$F$10,0)),Settings!$G$5))</f>
        <v/>
      </c>
      <c r="BL400" s="82" t="str">
        <f aca="false">IF(I400="","",IFERROR(1/(1/INDEX(Lists!$C$6:$C$17,MATCH(I400,Lists!$B$6:$B$17,0))),""))</f>
        <v/>
      </c>
      <c r="BM400" s="81" t="str">
        <f aca="false">IF(I400="","",IFERROR(1/(1/INDEX(Lists!$D$6:$D$17,MATCH(I400,Lists!$B$6:$B$17,0))),""))</f>
        <v/>
      </c>
      <c r="BN400" s="76" t="str">
        <f aca="false">IF(AN400="","",MAX(BK400,_xlfn.MAXIFS(AN$6:AN400,BJ$6:BJ400,BJ400)))</f>
        <v/>
      </c>
      <c r="BO400" s="83" t="str">
        <f aca="false">IF(AN400="","",(AN400-BN400)/BN400)</f>
        <v/>
      </c>
      <c r="BP400" s="66" t="n">
        <f aca="false">IF(OR(B400="",AL400=""),0,IF(OR(Settings!$C$28="All Accounts",BJ400=Settings!$C$28),1,0))</f>
        <v>0</v>
      </c>
      <c r="BQ400" s="66" t="str">
        <f aca="false">IF(BP400=1,SUM(BP$6:BP400),"")</f>
        <v/>
      </c>
      <c r="BR400" s="76" t="str">
        <f aca="false">IF(BP400=1,ROUND(Settings!$C$29+SUMIFS(AM$6:AM400,BP$6:BP400,1),2),"")</f>
        <v/>
      </c>
      <c r="BS400" s="76" t="str">
        <f aca="false">IF(BP400=1,MAX(Settings!$C$29,MAX(BR$6:BR400)),"")</f>
        <v/>
      </c>
      <c r="BT400" s="83" t="str">
        <f aca="false">IF(BP400=1,(BR400-BS400)/BS400,"")</f>
        <v/>
      </c>
      <c r="BU400" s="66" t="str">
        <f aca="false">IF(BP400=1,IF(AL400="Win",1+IF(BQ400=1,0,INDEX(BU$5:BU399,MATCH(BQ400-1,BQ$5:BQ399,0))),0),"")</f>
        <v/>
      </c>
      <c r="BV400" s="66" t="str">
        <f aca="false">IF(BP400=1,IF(AL400="Loss",1+IF(BQ400=1,0,INDEX(BV$5:BV399,MATCH(BQ400-1,BQ$5:BQ399,0))),0),"")</f>
        <v/>
      </c>
    </row>
    <row r="401" customFormat="false" ht="15" hidden="false" customHeight="false" outlineLevel="0" collapsed="false">
      <c r="A401" s="66" t="str">
        <f aca="false">IF(B401="","",ROW()-5)</f>
        <v/>
      </c>
      <c r="B401" s="67"/>
      <c r="C401" s="68" t="str">
        <f aca="false">IF(B401="","",CHOOSE(WEEKDAY(B401,2),"Mon","Tue","Wed","Thu","Fri","Sat","Sun"))</f>
        <v/>
      </c>
      <c r="D401" s="66" t="str">
        <f aca="false">IF(B401="","",WEEKNUM(B401,2))</f>
        <v/>
      </c>
      <c r="E401" s="69"/>
      <c r="F401" s="69"/>
      <c r="G401" s="70"/>
      <c r="H401" s="70"/>
      <c r="I401" s="69"/>
      <c r="J401" s="69"/>
      <c r="K401" s="69"/>
      <c r="L401" s="71"/>
      <c r="M401" s="69"/>
      <c r="N401" s="69"/>
      <c r="O401" s="69"/>
      <c r="P401" s="71"/>
      <c r="Q401" s="69"/>
      <c r="R401" s="69"/>
      <c r="S401" s="69"/>
      <c r="T401" s="69"/>
      <c r="U401" s="69"/>
      <c r="V401" s="69"/>
      <c r="W401" s="69"/>
      <c r="X401" s="66" t="str">
        <f aca="false">IF(B401="","",COUNTIF(Q401:W401,"Yes"))</f>
        <v/>
      </c>
      <c r="Y401" s="68" t="str">
        <f aca="false">IF(B401="","",IF(X401&gt;=Settings!$C$16,"A+",IF(X401&gt;=Settings!$C$17,"A",IF(X401&gt;=Settings!$C$18,"B","C"))))</f>
        <v/>
      </c>
      <c r="Z401" s="72"/>
      <c r="AA401" s="72"/>
      <c r="AB401" s="72"/>
      <c r="AC401" s="72"/>
      <c r="AD401" s="72"/>
      <c r="AE401" s="72"/>
      <c r="AF401" s="73"/>
      <c r="AG401" s="74"/>
      <c r="AH401" s="75"/>
      <c r="AI401" s="76" t="str">
        <f aca="false">IF(B401="","",ROUND(IF(AG401="",Settings!$C$5,AG401)*AW401,2))</f>
        <v/>
      </c>
      <c r="AJ401" s="77" t="str">
        <f aca="false">IF(OR(B401="",AB401="",AC401="",AD401=""),"",IFERROR(ROUND(ABS(AD401-AB401)/ABS(AB401-AC401),2),""))</f>
        <v/>
      </c>
      <c r="AK401" s="78" t="str">
        <f aca="false">IF(OR(B401="",AB401="",AC401="",AE401=""),"",IFERROR(ROUND(IF(J401="Short",AB401-AE401,AE401-AB401)/ABS(AB401-AC401),2),""))</f>
        <v/>
      </c>
      <c r="AL401" s="68" t="str">
        <f aca="false">IF(AK401="","",IF(ABS(AK401)&lt;=Settings!$C$6,"BE",IF(AK401&gt;0,"Win","Loss")))</f>
        <v/>
      </c>
      <c r="AM401" s="79" t="str">
        <f aca="false">IF(OR(AK401="",AI401=""),"",ROUND(AK401*AI401-N(AH401),2))</f>
        <v/>
      </c>
      <c r="AN401" s="76" t="str">
        <f aca="false">IF(AM401="","",ROUND(BK401+SUMIFS(AM$6:AM401,BJ$6:BJ401,BJ401),2))</f>
        <v/>
      </c>
      <c r="AO401" s="78" t="str">
        <f aca="false">IF(AK401="","",ROUND(SUMIFS(AK$6:AK401,BJ$6:BJ401,BJ401),2))</f>
        <v/>
      </c>
      <c r="AP401" s="80" t="str">
        <f aca="false">IF(OR(AK401="",BL401=""),"",IFERROR(ROUND(IF(J401="Short",AB401-AE401,AE401-AB401)/BL401,1),""))</f>
        <v/>
      </c>
      <c r="AQ401" s="66" t="str">
        <f aca="false">IF(OR(G401="",H401=""),"",ROUND(MOD(H401-G401,1)*1440,0))</f>
        <v/>
      </c>
      <c r="AR401" s="68" t="str">
        <f aca="false">IF(AQ401="","",IF(AQ401&lt;15,"Under 15m",IF(AQ401&lt;60,"15-60m",IF(AQ401&lt;240,"1-4 hours","4+ hours"))))</f>
        <v/>
      </c>
      <c r="AS401" s="66" t="str">
        <f aca="false">IF(G401="","",HOUR(G401))</f>
        <v/>
      </c>
      <c r="AT401" s="80" t="str">
        <f aca="false">IF(OR(Z401="",AB401="",BL401=""),"",IFERROR(ROUND(IF(J401="Short",Z401-AB401,AB401-Z401)/BL401,1),""))</f>
        <v/>
      </c>
      <c r="AU401" s="68" t="str">
        <f aca="false">IF(OR(AA401="",AC401=""),"",IF(AA401=AC401,"No","Yes"))</f>
        <v/>
      </c>
      <c r="AV401" s="81" t="str">
        <f aca="false">IF(OR(B401="",BL401="",BM401="",AB401="",AC401=""),"",IFERROR(ROUND(AI401/(ABS(AB401-AC401)/BL401*BM401),2),""))</f>
        <v/>
      </c>
      <c r="AW401" s="76" t="str">
        <f aca="false">IF(B401="","",ROUND(BK401+SUMIFS(AM$5:AM400,BJ$5:BJ400,BJ401),2))</f>
        <v/>
      </c>
      <c r="AX401" s="66" t="str">
        <f aca="false">IF(B401="","",COUNTIFS(B$6:B401,B401,BJ$6:BJ401,BJ401))</f>
        <v/>
      </c>
      <c r="AY401" s="79" t="str">
        <f aca="false">IF(B401="","",ROUND(SUMIFS(AM$5:AM400,B$5:B400,B401,BJ$5:BJ400,BJ401),2))</f>
        <v/>
      </c>
      <c r="AZ401" s="79" t="str">
        <f aca="false">IF(AM401="","",ROUND(AY401+AM401,2))</f>
        <v/>
      </c>
      <c r="BA401" s="79" t="str">
        <f aca="false">IF(B401="","",ROUND(SUMIFS(AM$5:AM400,B$5:B400,"&gt;="&amp;(B401-WEEKDAY(B401,2)+1),B$5:B400,"&lt;="&amp;B401,BJ$5:BJ400,BJ401),2))</f>
        <v/>
      </c>
      <c r="BB401" s="68" t="str">
        <f aca="false">IF(B401="","",IF(AND(AF401&lt;&gt;"",AV401&lt;&gt;"",N(AF401)&gt;N(AV401)*(1+Settings!$C$13)),"Oversized",IF(AX401&gt;Settings!$C$10,"Overtraded",IF(AY401&lt;=-Settings!$C$11*(AW401-AY401),"Daily loss hit",IF(BA401&lt;=-Settings!$C$12*(AW401-BA401),"Weekly loss hit","OK")))))</f>
        <v/>
      </c>
      <c r="BC401" s="69"/>
      <c r="BD401" s="69"/>
      <c r="BE401" s="69"/>
      <c r="BF401" s="73"/>
      <c r="BG401" s="73"/>
      <c r="BH401" s="71"/>
      <c r="BI401" s="71"/>
      <c r="BJ401" s="68" t="str">
        <f aca="false">IF(B401="","",IF(E401="",Settings!$F$5,E401))</f>
        <v/>
      </c>
      <c r="BK401" s="76" t="str">
        <f aca="false">IF(B401="","",IFERROR(INDEX(Settings!$G$5:$G$10,MATCH(BJ401,Settings!$F$5:$F$10,0)),Settings!$G$5))</f>
        <v/>
      </c>
      <c r="BL401" s="82" t="str">
        <f aca="false">IF(I401="","",IFERROR(1/(1/INDEX(Lists!$C$6:$C$17,MATCH(I401,Lists!$B$6:$B$17,0))),""))</f>
        <v/>
      </c>
      <c r="BM401" s="81" t="str">
        <f aca="false">IF(I401="","",IFERROR(1/(1/INDEX(Lists!$D$6:$D$17,MATCH(I401,Lists!$B$6:$B$17,0))),""))</f>
        <v/>
      </c>
      <c r="BN401" s="76" t="str">
        <f aca="false">IF(AN401="","",MAX(BK401,_xlfn.MAXIFS(AN$6:AN401,BJ$6:BJ401,BJ401)))</f>
        <v/>
      </c>
      <c r="BO401" s="83" t="str">
        <f aca="false">IF(AN401="","",(AN401-BN401)/BN401)</f>
        <v/>
      </c>
      <c r="BP401" s="66" t="n">
        <f aca="false">IF(OR(B401="",AL401=""),0,IF(OR(Settings!$C$28="All Accounts",BJ401=Settings!$C$28),1,0))</f>
        <v>0</v>
      </c>
      <c r="BQ401" s="66" t="str">
        <f aca="false">IF(BP401=1,SUM(BP$6:BP401),"")</f>
        <v/>
      </c>
      <c r="BR401" s="76" t="str">
        <f aca="false">IF(BP401=1,ROUND(Settings!$C$29+SUMIFS(AM$6:AM401,BP$6:BP401,1),2),"")</f>
        <v/>
      </c>
      <c r="BS401" s="76" t="str">
        <f aca="false">IF(BP401=1,MAX(Settings!$C$29,MAX(BR$6:BR401)),"")</f>
        <v/>
      </c>
      <c r="BT401" s="83" t="str">
        <f aca="false">IF(BP401=1,(BR401-BS401)/BS401,"")</f>
        <v/>
      </c>
      <c r="BU401" s="66" t="str">
        <f aca="false">IF(BP401=1,IF(AL401="Win",1+IF(BQ401=1,0,INDEX(BU$5:BU400,MATCH(BQ401-1,BQ$5:BQ400,0))),0),"")</f>
        <v/>
      </c>
      <c r="BV401" s="66" t="str">
        <f aca="false">IF(BP401=1,IF(AL401="Loss",1+IF(BQ401=1,0,INDEX(BV$5:BV400,MATCH(BQ401-1,BQ$5:BQ400,0))),0),"")</f>
        <v/>
      </c>
    </row>
    <row r="402" customFormat="false" ht="15" hidden="false" customHeight="false" outlineLevel="0" collapsed="false">
      <c r="A402" s="66" t="str">
        <f aca="false">IF(B402="","",ROW()-5)</f>
        <v/>
      </c>
      <c r="B402" s="67"/>
      <c r="C402" s="68" t="str">
        <f aca="false">IF(B402="","",CHOOSE(WEEKDAY(B402,2),"Mon","Tue","Wed","Thu","Fri","Sat","Sun"))</f>
        <v/>
      </c>
      <c r="D402" s="66" t="str">
        <f aca="false">IF(B402="","",WEEKNUM(B402,2))</f>
        <v/>
      </c>
      <c r="E402" s="69"/>
      <c r="F402" s="69"/>
      <c r="G402" s="70"/>
      <c r="H402" s="70"/>
      <c r="I402" s="69"/>
      <c r="J402" s="69"/>
      <c r="K402" s="69"/>
      <c r="L402" s="71"/>
      <c r="M402" s="69"/>
      <c r="N402" s="69"/>
      <c r="O402" s="69"/>
      <c r="P402" s="71"/>
      <c r="Q402" s="69"/>
      <c r="R402" s="69"/>
      <c r="S402" s="69"/>
      <c r="T402" s="69"/>
      <c r="U402" s="69"/>
      <c r="V402" s="69"/>
      <c r="W402" s="69"/>
      <c r="X402" s="66" t="str">
        <f aca="false">IF(B402="","",COUNTIF(Q402:W402,"Yes"))</f>
        <v/>
      </c>
      <c r="Y402" s="68" t="str">
        <f aca="false">IF(B402="","",IF(X402&gt;=Settings!$C$16,"A+",IF(X402&gt;=Settings!$C$17,"A",IF(X402&gt;=Settings!$C$18,"B","C"))))</f>
        <v/>
      </c>
      <c r="Z402" s="72"/>
      <c r="AA402" s="72"/>
      <c r="AB402" s="72"/>
      <c r="AC402" s="72"/>
      <c r="AD402" s="72"/>
      <c r="AE402" s="72"/>
      <c r="AF402" s="73"/>
      <c r="AG402" s="74"/>
      <c r="AH402" s="75"/>
      <c r="AI402" s="76" t="str">
        <f aca="false">IF(B402="","",ROUND(IF(AG402="",Settings!$C$5,AG402)*AW402,2))</f>
        <v/>
      </c>
      <c r="AJ402" s="77" t="str">
        <f aca="false">IF(OR(B402="",AB402="",AC402="",AD402=""),"",IFERROR(ROUND(ABS(AD402-AB402)/ABS(AB402-AC402),2),""))</f>
        <v/>
      </c>
      <c r="AK402" s="78" t="str">
        <f aca="false">IF(OR(B402="",AB402="",AC402="",AE402=""),"",IFERROR(ROUND(IF(J402="Short",AB402-AE402,AE402-AB402)/ABS(AB402-AC402),2),""))</f>
        <v/>
      </c>
      <c r="AL402" s="68" t="str">
        <f aca="false">IF(AK402="","",IF(ABS(AK402)&lt;=Settings!$C$6,"BE",IF(AK402&gt;0,"Win","Loss")))</f>
        <v/>
      </c>
      <c r="AM402" s="79" t="str">
        <f aca="false">IF(OR(AK402="",AI402=""),"",ROUND(AK402*AI402-N(AH402),2))</f>
        <v/>
      </c>
      <c r="AN402" s="76" t="str">
        <f aca="false">IF(AM402="","",ROUND(BK402+SUMIFS(AM$6:AM402,BJ$6:BJ402,BJ402),2))</f>
        <v/>
      </c>
      <c r="AO402" s="78" t="str">
        <f aca="false">IF(AK402="","",ROUND(SUMIFS(AK$6:AK402,BJ$6:BJ402,BJ402),2))</f>
        <v/>
      </c>
      <c r="AP402" s="80" t="str">
        <f aca="false">IF(OR(AK402="",BL402=""),"",IFERROR(ROUND(IF(J402="Short",AB402-AE402,AE402-AB402)/BL402,1),""))</f>
        <v/>
      </c>
      <c r="AQ402" s="66" t="str">
        <f aca="false">IF(OR(G402="",H402=""),"",ROUND(MOD(H402-G402,1)*1440,0))</f>
        <v/>
      </c>
      <c r="AR402" s="68" t="str">
        <f aca="false">IF(AQ402="","",IF(AQ402&lt;15,"Under 15m",IF(AQ402&lt;60,"15-60m",IF(AQ402&lt;240,"1-4 hours","4+ hours"))))</f>
        <v/>
      </c>
      <c r="AS402" s="66" t="str">
        <f aca="false">IF(G402="","",HOUR(G402))</f>
        <v/>
      </c>
      <c r="AT402" s="80" t="str">
        <f aca="false">IF(OR(Z402="",AB402="",BL402=""),"",IFERROR(ROUND(IF(J402="Short",Z402-AB402,AB402-Z402)/BL402,1),""))</f>
        <v/>
      </c>
      <c r="AU402" s="68" t="str">
        <f aca="false">IF(OR(AA402="",AC402=""),"",IF(AA402=AC402,"No","Yes"))</f>
        <v/>
      </c>
      <c r="AV402" s="81" t="str">
        <f aca="false">IF(OR(B402="",BL402="",BM402="",AB402="",AC402=""),"",IFERROR(ROUND(AI402/(ABS(AB402-AC402)/BL402*BM402),2),""))</f>
        <v/>
      </c>
      <c r="AW402" s="76" t="str">
        <f aca="false">IF(B402="","",ROUND(BK402+SUMIFS(AM$5:AM401,BJ$5:BJ401,BJ402),2))</f>
        <v/>
      </c>
      <c r="AX402" s="66" t="str">
        <f aca="false">IF(B402="","",COUNTIFS(B$6:B402,B402,BJ$6:BJ402,BJ402))</f>
        <v/>
      </c>
      <c r="AY402" s="79" t="str">
        <f aca="false">IF(B402="","",ROUND(SUMIFS(AM$5:AM401,B$5:B401,B402,BJ$5:BJ401,BJ402),2))</f>
        <v/>
      </c>
      <c r="AZ402" s="79" t="str">
        <f aca="false">IF(AM402="","",ROUND(AY402+AM402,2))</f>
        <v/>
      </c>
      <c r="BA402" s="79" t="str">
        <f aca="false">IF(B402="","",ROUND(SUMIFS(AM$5:AM401,B$5:B401,"&gt;="&amp;(B402-WEEKDAY(B402,2)+1),B$5:B401,"&lt;="&amp;B402,BJ$5:BJ401,BJ402),2))</f>
        <v/>
      </c>
      <c r="BB402" s="68" t="str">
        <f aca="false">IF(B402="","",IF(AND(AF402&lt;&gt;"",AV402&lt;&gt;"",N(AF402)&gt;N(AV402)*(1+Settings!$C$13)),"Oversized",IF(AX402&gt;Settings!$C$10,"Overtraded",IF(AY402&lt;=-Settings!$C$11*(AW402-AY402),"Daily loss hit",IF(BA402&lt;=-Settings!$C$12*(AW402-BA402),"Weekly loss hit","OK")))))</f>
        <v/>
      </c>
      <c r="BC402" s="69"/>
      <c r="BD402" s="69"/>
      <c r="BE402" s="69"/>
      <c r="BF402" s="73"/>
      <c r="BG402" s="73"/>
      <c r="BH402" s="71"/>
      <c r="BI402" s="71"/>
      <c r="BJ402" s="68" t="str">
        <f aca="false">IF(B402="","",IF(E402="",Settings!$F$5,E402))</f>
        <v/>
      </c>
      <c r="BK402" s="76" t="str">
        <f aca="false">IF(B402="","",IFERROR(INDEX(Settings!$G$5:$G$10,MATCH(BJ402,Settings!$F$5:$F$10,0)),Settings!$G$5))</f>
        <v/>
      </c>
      <c r="BL402" s="82" t="str">
        <f aca="false">IF(I402="","",IFERROR(1/(1/INDEX(Lists!$C$6:$C$17,MATCH(I402,Lists!$B$6:$B$17,0))),""))</f>
        <v/>
      </c>
      <c r="BM402" s="81" t="str">
        <f aca="false">IF(I402="","",IFERROR(1/(1/INDEX(Lists!$D$6:$D$17,MATCH(I402,Lists!$B$6:$B$17,0))),""))</f>
        <v/>
      </c>
      <c r="BN402" s="76" t="str">
        <f aca="false">IF(AN402="","",MAX(BK402,_xlfn.MAXIFS(AN$6:AN402,BJ$6:BJ402,BJ402)))</f>
        <v/>
      </c>
      <c r="BO402" s="83" t="str">
        <f aca="false">IF(AN402="","",(AN402-BN402)/BN402)</f>
        <v/>
      </c>
      <c r="BP402" s="66" t="n">
        <f aca="false">IF(OR(B402="",AL402=""),0,IF(OR(Settings!$C$28="All Accounts",BJ402=Settings!$C$28),1,0))</f>
        <v>0</v>
      </c>
      <c r="BQ402" s="66" t="str">
        <f aca="false">IF(BP402=1,SUM(BP$6:BP402),"")</f>
        <v/>
      </c>
      <c r="BR402" s="76" t="str">
        <f aca="false">IF(BP402=1,ROUND(Settings!$C$29+SUMIFS(AM$6:AM402,BP$6:BP402,1),2),"")</f>
        <v/>
      </c>
      <c r="BS402" s="76" t="str">
        <f aca="false">IF(BP402=1,MAX(Settings!$C$29,MAX(BR$6:BR402)),"")</f>
        <v/>
      </c>
      <c r="BT402" s="83" t="str">
        <f aca="false">IF(BP402=1,(BR402-BS402)/BS402,"")</f>
        <v/>
      </c>
      <c r="BU402" s="66" t="str">
        <f aca="false">IF(BP402=1,IF(AL402="Win",1+IF(BQ402=1,0,INDEX(BU$5:BU401,MATCH(BQ402-1,BQ$5:BQ401,0))),0),"")</f>
        <v/>
      </c>
      <c r="BV402" s="66" t="str">
        <f aca="false">IF(BP402=1,IF(AL402="Loss",1+IF(BQ402=1,0,INDEX(BV$5:BV401,MATCH(BQ402-1,BQ$5:BQ401,0))),0),"")</f>
        <v/>
      </c>
    </row>
    <row r="403" customFormat="false" ht="15" hidden="false" customHeight="false" outlineLevel="0" collapsed="false">
      <c r="A403" s="66" t="str">
        <f aca="false">IF(B403="","",ROW()-5)</f>
        <v/>
      </c>
      <c r="B403" s="67"/>
      <c r="C403" s="68" t="str">
        <f aca="false">IF(B403="","",CHOOSE(WEEKDAY(B403,2),"Mon","Tue","Wed","Thu","Fri","Sat","Sun"))</f>
        <v/>
      </c>
      <c r="D403" s="66" t="str">
        <f aca="false">IF(B403="","",WEEKNUM(B403,2))</f>
        <v/>
      </c>
      <c r="E403" s="69"/>
      <c r="F403" s="69"/>
      <c r="G403" s="70"/>
      <c r="H403" s="70"/>
      <c r="I403" s="69"/>
      <c r="J403" s="69"/>
      <c r="K403" s="69"/>
      <c r="L403" s="71"/>
      <c r="M403" s="69"/>
      <c r="N403" s="69"/>
      <c r="O403" s="69"/>
      <c r="P403" s="71"/>
      <c r="Q403" s="69"/>
      <c r="R403" s="69"/>
      <c r="S403" s="69"/>
      <c r="T403" s="69"/>
      <c r="U403" s="69"/>
      <c r="V403" s="69"/>
      <c r="W403" s="69"/>
      <c r="X403" s="66" t="str">
        <f aca="false">IF(B403="","",COUNTIF(Q403:W403,"Yes"))</f>
        <v/>
      </c>
      <c r="Y403" s="68" t="str">
        <f aca="false">IF(B403="","",IF(X403&gt;=Settings!$C$16,"A+",IF(X403&gt;=Settings!$C$17,"A",IF(X403&gt;=Settings!$C$18,"B","C"))))</f>
        <v/>
      </c>
      <c r="Z403" s="72"/>
      <c r="AA403" s="72"/>
      <c r="AB403" s="72"/>
      <c r="AC403" s="72"/>
      <c r="AD403" s="72"/>
      <c r="AE403" s="72"/>
      <c r="AF403" s="73"/>
      <c r="AG403" s="74"/>
      <c r="AH403" s="75"/>
      <c r="AI403" s="76" t="str">
        <f aca="false">IF(B403="","",ROUND(IF(AG403="",Settings!$C$5,AG403)*AW403,2))</f>
        <v/>
      </c>
      <c r="AJ403" s="77" t="str">
        <f aca="false">IF(OR(B403="",AB403="",AC403="",AD403=""),"",IFERROR(ROUND(ABS(AD403-AB403)/ABS(AB403-AC403),2),""))</f>
        <v/>
      </c>
      <c r="AK403" s="78" t="str">
        <f aca="false">IF(OR(B403="",AB403="",AC403="",AE403=""),"",IFERROR(ROUND(IF(J403="Short",AB403-AE403,AE403-AB403)/ABS(AB403-AC403),2),""))</f>
        <v/>
      </c>
      <c r="AL403" s="68" t="str">
        <f aca="false">IF(AK403="","",IF(ABS(AK403)&lt;=Settings!$C$6,"BE",IF(AK403&gt;0,"Win","Loss")))</f>
        <v/>
      </c>
      <c r="AM403" s="79" t="str">
        <f aca="false">IF(OR(AK403="",AI403=""),"",ROUND(AK403*AI403-N(AH403),2))</f>
        <v/>
      </c>
      <c r="AN403" s="76" t="str">
        <f aca="false">IF(AM403="","",ROUND(BK403+SUMIFS(AM$6:AM403,BJ$6:BJ403,BJ403),2))</f>
        <v/>
      </c>
      <c r="AO403" s="78" t="str">
        <f aca="false">IF(AK403="","",ROUND(SUMIFS(AK$6:AK403,BJ$6:BJ403,BJ403),2))</f>
        <v/>
      </c>
      <c r="AP403" s="80" t="str">
        <f aca="false">IF(OR(AK403="",BL403=""),"",IFERROR(ROUND(IF(J403="Short",AB403-AE403,AE403-AB403)/BL403,1),""))</f>
        <v/>
      </c>
      <c r="AQ403" s="66" t="str">
        <f aca="false">IF(OR(G403="",H403=""),"",ROUND(MOD(H403-G403,1)*1440,0))</f>
        <v/>
      </c>
      <c r="AR403" s="68" t="str">
        <f aca="false">IF(AQ403="","",IF(AQ403&lt;15,"Under 15m",IF(AQ403&lt;60,"15-60m",IF(AQ403&lt;240,"1-4 hours","4+ hours"))))</f>
        <v/>
      </c>
      <c r="AS403" s="66" t="str">
        <f aca="false">IF(G403="","",HOUR(G403))</f>
        <v/>
      </c>
      <c r="AT403" s="80" t="str">
        <f aca="false">IF(OR(Z403="",AB403="",BL403=""),"",IFERROR(ROUND(IF(J403="Short",Z403-AB403,AB403-Z403)/BL403,1),""))</f>
        <v/>
      </c>
      <c r="AU403" s="68" t="str">
        <f aca="false">IF(OR(AA403="",AC403=""),"",IF(AA403=AC403,"No","Yes"))</f>
        <v/>
      </c>
      <c r="AV403" s="81" t="str">
        <f aca="false">IF(OR(B403="",BL403="",BM403="",AB403="",AC403=""),"",IFERROR(ROUND(AI403/(ABS(AB403-AC403)/BL403*BM403),2),""))</f>
        <v/>
      </c>
      <c r="AW403" s="76" t="str">
        <f aca="false">IF(B403="","",ROUND(BK403+SUMIFS(AM$5:AM402,BJ$5:BJ402,BJ403),2))</f>
        <v/>
      </c>
      <c r="AX403" s="66" t="str">
        <f aca="false">IF(B403="","",COUNTIFS(B$6:B403,B403,BJ$6:BJ403,BJ403))</f>
        <v/>
      </c>
      <c r="AY403" s="79" t="str">
        <f aca="false">IF(B403="","",ROUND(SUMIFS(AM$5:AM402,B$5:B402,B403,BJ$5:BJ402,BJ403),2))</f>
        <v/>
      </c>
      <c r="AZ403" s="79" t="str">
        <f aca="false">IF(AM403="","",ROUND(AY403+AM403,2))</f>
        <v/>
      </c>
      <c r="BA403" s="79" t="str">
        <f aca="false">IF(B403="","",ROUND(SUMIFS(AM$5:AM402,B$5:B402,"&gt;="&amp;(B403-WEEKDAY(B403,2)+1),B$5:B402,"&lt;="&amp;B403,BJ$5:BJ402,BJ403),2))</f>
        <v/>
      </c>
      <c r="BB403" s="68" t="str">
        <f aca="false">IF(B403="","",IF(AND(AF403&lt;&gt;"",AV403&lt;&gt;"",N(AF403)&gt;N(AV403)*(1+Settings!$C$13)),"Oversized",IF(AX403&gt;Settings!$C$10,"Overtraded",IF(AY403&lt;=-Settings!$C$11*(AW403-AY403),"Daily loss hit",IF(BA403&lt;=-Settings!$C$12*(AW403-BA403),"Weekly loss hit","OK")))))</f>
        <v/>
      </c>
      <c r="BC403" s="69"/>
      <c r="BD403" s="69"/>
      <c r="BE403" s="69"/>
      <c r="BF403" s="73"/>
      <c r="BG403" s="73"/>
      <c r="BH403" s="71"/>
      <c r="BI403" s="71"/>
      <c r="BJ403" s="68" t="str">
        <f aca="false">IF(B403="","",IF(E403="",Settings!$F$5,E403))</f>
        <v/>
      </c>
      <c r="BK403" s="76" t="str">
        <f aca="false">IF(B403="","",IFERROR(INDEX(Settings!$G$5:$G$10,MATCH(BJ403,Settings!$F$5:$F$10,0)),Settings!$G$5))</f>
        <v/>
      </c>
      <c r="BL403" s="82" t="str">
        <f aca="false">IF(I403="","",IFERROR(1/(1/INDEX(Lists!$C$6:$C$17,MATCH(I403,Lists!$B$6:$B$17,0))),""))</f>
        <v/>
      </c>
      <c r="BM403" s="81" t="str">
        <f aca="false">IF(I403="","",IFERROR(1/(1/INDEX(Lists!$D$6:$D$17,MATCH(I403,Lists!$B$6:$B$17,0))),""))</f>
        <v/>
      </c>
      <c r="BN403" s="76" t="str">
        <f aca="false">IF(AN403="","",MAX(BK403,_xlfn.MAXIFS(AN$6:AN403,BJ$6:BJ403,BJ403)))</f>
        <v/>
      </c>
      <c r="BO403" s="83" t="str">
        <f aca="false">IF(AN403="","",(AN403-BN403)/BN403)</f>
        <v/>
      </c>
      <c r="BP403" s="66" t="n">
        <f aca="false">IF(OR(B403="",AL403=""),0,IF(OR(Settings!$C$28="All Accounts",BJ403=Settings!$C$28),1,0))</f>
        <v>0</v>
      </c>
      <c r="BQ403" s="66" t="str">
        <f aca="false">IF(BP403=1,SUM(BP$6:BP403),"")</f>
        <v/>
      </c>
      <c r="BR403" s="76" t="str">
        <f aca="false">IF(BP403=1,ROUND(Settings!$C$29+SUMIFS(AM$6:AM403,BP$6:BP403,1),2),"")</f>
        <v/>
      </c>
      <c r="BS403" s="76" t="str">
        <f aca="false">IF(BP403=1,MAX(Settings!$C$29,MAX(BR$6:BR403)),"")</f>
        <v/>
      </c>
      <c r="BT403" s="83" t="str">
        <f aca="false">IF(BP403=1,(BR403-BS403)/BS403,"")</f>
        <v/>
      </c>
      <c r="BU403" s="66" t="str">
        <f aca="false">IF(BP403=1,IF(AL403="Win",1+IF(BQ403=1,0,INDEX(BU$5:BU402,MATCH(BQ403-1,BQ$5:BQ402,0))),0),"")</f>
        <v/>
      </c>
      <c r="BV403" s="66" t="str">
        <f aca="false">IF(BP403=1,IF(AL403="Loss",1+IF(BQ403=1,0,INDEX(BV$5:BV402,MATCH(BQ403-1,BQ$5:BQ402,0))),0),"")</f>
        <v/>
      </c>
    </row>
    <row r="404" customFormat="false" ht="15" hidden="false" customHeight="false" outlineLevel="0" collapsed="false">
      <c r="A404" s="66" t="str">
        <f aca="false">IF(B404="","",ROW()-5)</f>
        <v/>
      </c>
      <c r="B404" s="67"/>
      <c r="C404" s="68" t="str">
        <f aca="false">IF(B404="","",CHOOSE(WEEKDAY(B404,2),"Mon","Tue","Wed","Thu","Fri","Sat","Sun"))</f>
        <v/>
      </c>
      <c r="D404" s="66" t="str">
        <f aca="false">IF(B404="","",WEEKNUM(B404,2))</f>
        <v/>
      </c>
      <c r="E404" s="69"/>
      <c r="F404" s="69"/>
      <c r="G404" s="70"/>
      <c r="H404" s="70"/>
      <c r="I404" s="69"/>
      <c r="J404" s="69"/>
      <c r="K404" s="69"/>
      <c r="L404" s="71"/>
      <c r="M404" s="69"/>
      <c r="N404" s="69"/>
      <c r="O404" s="69"/>
      <c r="P404" s="71"/>
      <c r="Q404" s="69"/>
      <c r="R404" s="69"/>
      <c r="S404" s="69"/>
      <c r="T404" s="69"/>
      <c r="U404" s="69"/>
      <c r="V404" s="69"/>
      <c r="W404" s="69"/>
      <c r="X404" s="66" t="str">
        <f aca="false">IF(B404="","",COUNTIF(Q404:W404,"Yes"))</f>
        <v/>
      </c>
      <c r="Y404" s="68" t="str">
        <f aca="false">IF(B404="","",IF(X404&gt;=Settings!$C$16,"A+",IF(X404&gt;=Settings!$C$17,"A",IF(X404&gt;=Settings!$C$18,"B","C"))))</f>
        <v/>
      </c>
      <c r="Z404" s="72"/>
      <c r="AA404" s="72"/>
      <c r="AB404" s="72"/>
      <c r="AC404" s="72"/>
      <c r="AD404" s="72"/>
      <c r="AE404" s="72"/>
      <c r="AF404" s="73"/>
      <c r="AG404" s="74"/>
      <c r="AH404" s="75"/>
      <c r="AI404" s="76" t="str">
        <f aca="false">IF(B404="","",ROUND(IF(AG404="",Settings!$C$5,AG404)*AW404,2))</f>
        <v/>
      </c>
      <c r="AJ404" s="77" t="str">
        <f aca="false">IF(OR(B404="",AB404="",AC404="",AD404=""),"",IFERROR(ROUND(ABS(AD404-AB404)/ABS(AB404-AC404),2),""))</f>
        <v/>
      </c>
      <c r="AK404" s="78" t="str">
        <f aca="false">IF(OR(B404="",AB404="",AC404="",AE404=""),"",IFERROR(ROUND(IF(J404="Short",AB404-AE404,AE404-AB404)/ABS(AB404-AC404),2),""))</f>
        <v/>
      </c>
      <c r="AL404" s="68" t="str">
        <f aca="false">IF(AK404="","",IF(ABS(AK404)&lt;=Settings!$C$6,"BE",IF(AK404&gt;0,"Win","Loss")))</f>
        <v/>
      </c>
      <c r="AM404" s="79" t="str">
        <f aca="false">IF(OR(AK404="",AI404=""),"",ROUND(AK404*AI404-N(AH404),2))</f>
        <v/>
      </c>
      <c r="AN404" s="76" t="str">
        <f aca="false">IF(AM404="","",ROUND(BK404+SUMIFS(AM$6:AM404,BJ$6:BJ404,BJ404),2))</f>
        <v/>
      </c>
      <c r="AO404" s="78" t="str">
        <f aca="false">IF(AK404="","",ROUND(SUMIFS(AK$6:AK404,BJ$6:BJ404,BJ404),2))</f>
        <v/>
      </c>
      <c r="AP404" s="80" t="str">
        <f aca="false">IF(OR(AK404="",BL404=""),"",IFERROR(ROUND(IF(J404="Short",AB404-AE404,AE404-AB404)/BL404,1),""))</f>
        <v/>
      </c>
      <c r="AQ404" s="66" t="str">
        <f aca="false">IF(OR(G404="",H404=""),"",ROUND(MOD(H404-G404,1)*1440,0))</f>
        <v/>
      </c>
      <c r="AR404" s="68" t="str">
        <f aca="false">IF(AQ404="","",IF(AQ404&lt;15,"Under 15m",IF(AQ404&lt;60,"15-60m",IF(AQ404&lt;240,"1-4 hours","4+ hours"))))</f>
        <v/>
      </c>
      <c r="AS404" s="66" t="str">
        <f aca="false">IF(G404="","",HOUR(G404))</f>
        <v/>
      </c>
      <c r="AT404" s="80" t="str">
        <f aca="false">IF(OR(Z404="",AB404="",BL404=""),"",IFERROR(ROUND(IF(J404="Short",Z404-AB404,AB404-Z404)/BL404,1),""))</f>
        <v/>
      </c>
      <c r="AU404" s="68" t="str">
        <f aca="false">IF(OR(AA404="",AC404=""),"",IF(AA404=AC404,"No","Yes"))</f>
        <v/>
      </c>
      <c r="AV404" s="81" t="str">
        <f aca="false">IF(OR(B404="",BL404="",BM404="",AB404="",AC404=""),"",IFERROR(ROUND(AI404/(ABS(AB404-AC404)/BL404*BM404),2),""))</f>
        <v/>
      </c>
      <c r="AW404" s="76" t="str">
        <f aca="false">IF(B404="","",ROUND(BK404+SUMIFS(AM$5:AM403,BJ$5:BJ403,BJ404),2))</f>
        <v/>
      </c>
      <c r="AX404" s="66" t="str">
        <f aca="false">IF(B404="","",COUNTIFS(B$6:B404,B404,BJ$6:BJ404,BJ404))</f>
        <v/>
      </c>
      <c r="AY404" s="79" t="str">
        <f aca="false">IF(B404="","",ROUND(SUMIFS(AM$5:AM403,B$5:B403,B404,BJ$5:BJ403,BJ404),2))</f>
        <v/>
      </c>
      <c r="AZ404" s="79" t="str">
        <f aca="false">IF(AM404="","",ROUND(AY404+AM404,2))</f>
        <v/>
      </c>
      <c r="BA404" s="79" t="str">
        <f aca="false">IF(B404="","",ROUND(SUMIFS(AM$5:AM403,B$5:B403,"&gt;="&amp;(B404-WEEKDAY(B404,2)+1),B$5:B403,"&lt;="&amp;B404,BJ$5:BJ403,BJ404),2))</f>
        <v/>
      </c>
      <c r="BB404" s="68" t="str">
        <f aca="false">IF(B404="","",IF(AND(AF404&lt;&gt;"",AV404&lt;&gt;"",N(AF404)&gt;N(AV404)*(1+Settings!$C$13)),"Oversized",IF(AX404&gt;Settings!$C$10,"Overtraded",IF(AY404&lt;=-Settings!$C$11*(AW404-AY404),"Daily loss hit",IF(BA404&lt;=-Settings!$C$12*(AW404-BA404),"Weekly loss hit","OK")))))</f>
        <v/>
      </c>
      <c r="BC404" s="69"/>
      <c r="BD404" s="69"/>
      <c r="BE404" s="69"/>
      <c r="BF404" s="73"/>
      <c r="BG404" s="73"/>
      <c r="BH404" s="71"/>
      <c r="BI404" s="71"/>
      <c r="BJ404" s="68" t="str">
        <f aca="false">IF(B404="","",IF(E404="",Settings!$F$5,E404))</f>
        <v/>
      </c>
      <c r="BK404" s="76" t="str">
        <f aca="false">IF(B404="","",IFERROR(INDEX(Settings!$G$5:$G$10,MATCH(BJ404,Settings!$F$5:$F$10,0)),Settings!$G$5))</f>
        <v/>
      </c>
      <c r="BL404" s="82" t="str">
        <f aca="false">IF(I404="","",IFERROR(1/(1/INDEX(Lists!$C$6:$C$17,MATCH(I404,Lists!$B$6:$B$17,0))),""))</f>
        <v/>
      </c>
      <c r="BM404" s="81" t="str">
        <f aca="false">IF(I404="","",IFERROR(1/(1/INDEX(Lists!$D$6:$D$17,MATCH(I404,Lists!$B$6:$B$17,0))),""))</f>
        <v/>
      </c>
      <c r="BN404" s="76" t="str">
        <f aca="false">IF(AN404="","",MAX(BK404,_xlfn.MAXIFS(AN$6:AN404,BJ$6:BJ404,BJ404)))</f>
        <v/>
      </c>
      <c r="BO404" s="83" t="str">
        <f aca="false">IF(AN404="","",(AN404-BN404)/BN404)</f>
        <v/>
      </c>
      <c r="BP404" s="66" t="n">
        <f aca="false">IF(OR(B404="",AL404=""),0,IF(OR(Settings!$C$28="All Accounts",BJ404=Settings!$C$28),1,0))</f>
        <v>0</v>
      </c>
      <c r="BQ404" s="66" t="str">
        <f aca="false">IF(BP404=1,SUM(BP$6:BP404),"")</f>
        <v/>
      </c>
      <c r="BR404" s="76" t="str">
        <f aca="false">IF(BP404=1,ROUND(Settings!$C$29+SUMIFS(AM$6:AM404,BP$6:BP404,1),2),"")</f>
        <v/>
      </c>
      <c r="BS404" s="76" t="str">
        <f aca="false">IF(BP404=1,MAX(Settings!$C$29,MAX(BR$6:BR404)),"")</f>
        <v/>
      </c>
      <c r="BT404" s="83" t="str">
        <f aca="false">IF(BP404=1,(BR404-BS404)/BS404,"")</f>
        <v/>
      </c>
      <c r="BU404" s="66" t="str">
        <f aca="false">IF(BP404=1,IF(AL404="Win",1+IF(BQ404=1,0,INDEX(BU$5:BU403,MATCH(BQ404-1,BQ$5:BQ403,0))),0),"")</f>
        <v/>
      </c>
      <c r="BV404" s="66" t="str">
        <f aca="false">IF(BP404=1,IF(AL404="Loss",1+IF(BQ404=1,0,INDEX(BV$5:BV403,MATCH(BQ404-1,BQ$5:BQ403,0))),0),"")</f>
        <v/>
      </c>
    </row>
    <row r="405" customFormat="false" ht="15" hidden="false" customHeight="false" outlineLevel="0" collapsed="false">
      <c r="A405" s="66" t="str">
        <f aca="false">IF(B405="","",ROW()-5)</f>
        <v/>
      </c>
      <c r="B405" s="67"/>
      <c r="C405" s="68" t="str">
        <f aca="false">IF(B405="","",CHOOSE(WEEKDAY(B405,2),"Mon","Tue","Wed","Thu","Fri","Sat","Sun"))</f>
        <v/>
      </c>
      <c r="D405" s="66" t="str">
        <f aca="false">IF(B405="","",WEEKNUM(B405,2))</f>
        <v/>
      </c>
      <c r="E405" s="69"/>
      <c r="F405" s="69"/>
      <c r="G405" s="70"/>
      <c r="H405" s="70"/>
      <c r="I405" s="69"/>
      <c r="J405" s="69"/>
      <c r="K405" s="69"/>
      <c r="L405" s="71"/>
      <c r="M405" s="69"/>
      <c r="N405" s="69"/>
      <c r="O405" s="69"/>
      <c r="P405" s="71"/>
      <c r="Q405" s="69"/>
      <c r="R405" s="69"/>
      <c r="S405" s="69"/>
      <c r="T405" s="69"/>
      <c r="U405" s="69"/>
      <c r="V405" s="69"/>
      <c r="W405" s="69"/>
      <c r="X405" s="66" t="str">
        <f aca="false">IF(B405="","",COUNTIF(Q405:W405,"Yes"))</f>
        <v/>
      </c>
      <c r="Y405" s="68" t="str">
        <f aca="false">IF(B405="","",IF(X405&gt;=Settings!$C$16,"A+",IF(X405&gt;=Settings!$C$17,"A",IF(X405&gt;=Settings!$C$18,"B","C"))))</f>
        <v/>
      </c>
      <c r="Z405" s="72"/>
      <c r="AA405" s="72"/>
      <c r="AB405" s="72"/>
      <c r="AC405" s="72"/>
      <c r="AD405" s="72"/>
      <c r="AE405" s="72"/>
      <c r="AF405" s="73"/>
      <c r="AG405" s="74"/>
      <c r="AH405" s="75"/>
      <c r="AI405" s="76" t="str">
        <f aca="false">IF(B405="","",ROUND(IF(AG405="",Settings!$C$5,AG405)*AW405,2))</f>
        <v/>
      </c>
      <c r="AJ405" s="77" t="str">
        <f aca="false">IF(OR(B405="",AB405="",AC405="",AD405=""),"",IFERROR(ROUND(ABS(AD405-AB405)/ABS(AB405-AC405),2),""))</f>
        <v/>
      </c>
      <c r="AK405" s="78" t="str">
        <f aca="false">IF(OR(B405="",AB405="",AC405="",AE405=""),"",IFERROR(ROUND(IF(J405="Short",AB405-AE405,AE405-AB405)/ABS(AB405-AC405),2),""))</f>
        <v/>
      </c>
      <c r="AL405" s="68" t="str">
        <f aca="false">IF(AK405="","",IF(ABS(AK405)&lt;=Settings!$C$6,"BE",IF(AK405&gt;0,"Win","Loss")))</f>
        <v/>
      </c>
      <c r="AM405" s="79" t="str">
        <f aca="false">IF(OR(AK405="",AI405=""),"",ROUND(AK405*AI405-N(AH405),2))</f>
        <v/>
      </c>
      <c r="AN405" s="76" t="str">
        <f aca="false">IF(AM405="","",ROUND(BK405+SUMIFS(AM$6:AM405,BJ$6:BJ405,BJ405),2))</f>
        <v/>
      </c>
      <c r="AO405" s="78" t="str">
        <f aca="false">IF(AK405="","",ROUND(SUMIFS(AK$6:AK405,BJ$6:BJ405,BJ405),2))</f>
        <v/>
      </c>
      <c r="AP405" s="80" t="str">
        <f aca="false">IF(OR(AK405="",BL405=""),"",IFERROR(ROUND(IF(J405="Short",AB405-AE405,AE405-AB405)/BL405,1),""))</f>
        <v/>
      </c>
      <c r="AQ405" s="66" t="str">
        <f aca="false">IF(OR(G405="",H405=""),"",ROUND(MOD(H405-G405,1)*1440,0))</f>
        <v/>
      </c>
      <c r="AR405" s="68" t="str">
        <f aca="false">IF(AQ405="","",IF(AQ405&lt;15,"Under 15m",IF(AQ405&lt;60,"15-60m",IF(AQ405&lt;240,"1-4 hours","4+ hours"))))</f>
        <v/>
      </c>
      <c r="AS405" s="66" t="str">
        <f aca="false">IF(G405="","",HOUR(G405))</f>
        <v/>
      </c>
      <c r="AT405" s="80" t="str">
        <f aca="false">IF(OR(Z405="",AB405="",BL405=""),"",IFERROR(ROUND(IF(J405="Short",Z405-AB405,AB405-Z405)/BL405,1),""))</f>
        <v/>
      </c>
      <c r="AU405" s="68" t="str">
        <f aca="false">IF(OR(AA405="",AC405=""),"",IF(AA405=AC405,"No","Yes"))</f>
        <v/>
      </c>
      <c r="AV405" s="81" t="str">
        <f aca="false">IF(OR(B405="",BL405="",BM405="",AB405="",AC405=""),"",IFERROR(ROUND(AI405/(ABS(AB405-AC405)/BL405*BM405),2),""))</f>
        <v/>
      </c>
      <c r="AW405" s="76" t="str">
        <f aca="false">IF(B405="","",ROUND(BK405+SUMIFS(AM$5:AM404,BJ$5:BJ404,BJ405),2))</f>
        <v/>
      </c>
      <c r="AX405" s="66" t="str">
        <f aca="false">IF(B405="","",COUNTIFS(B$6:B405,B405,BJ$6:BJ405,BJ405))</f>
        <v/>
      </c>
      <c r="AY405" s="79" t="str">
        <f aca="false">IF(B405="","",ROUND(SUMIFS(AM$5:AM404,B$5:B404,B405,BJ$5:BJ404,BJ405),2))</f>
        <v/>
      </c>
      <c r="AZ405" s="79" t="str">
        <f aca="false">IF(AM405="","",ROUND(AY405+AM405,2))</f>
        <v/>
      </c>
      <c r="BA405" s="79" t="str">
        <f aca="false">IF(B405="","",ROUND(SUMIFS(AM$5:AM404,B$5:B404,"&gt;="&amp;(B405-WEEKDAY(B405,2)+1),B$5:B404,"&lt;="&amp;B405,BJ$5:BJ404,BJ405),2))</f>
        <v/>
      </c>
      <c r="BB405" s="68" t="str">
        <f aca="false">IF(B405="","",IF(AND(AF405&lt;&gt;"",AV405&lt;&gt;"",N(AF405)&gt;N(AV405)*(1+Settings!$C$13)),"Oversized",IF(AX405&gt;Settings!$C$10,"Overtraded",IF(AY405&lt;=-Settings!$C$11*(AW405-AY405),"Daily loss hit",IF(BA405&lt;=-Settings!$C$12*(AW405-BA405),"Weekly loss hit","OK")))))</f>
        <v/>
      </c>
      <c r="BC405" s="69"/>
      <c r="BD405" s="69"/>
      <c r="BE405" s="69"/>
      <c r="BF405" s="73"/>
      <c r="BG405" s="73"/>
      <c r="BH405" s="71"/>
      <c r="BI405" s="71"/>
      <c r="BJ405" s="68" t="str">
        <f aca="false">IF(B405="","",IF(E405="",Settings!$F$5,E405))</f>
        <v/>
      </c>
      <c r="BK405" s="76" t="str">
        <f aca="false">IF(B405="","",IFERROR(INDEX(Settings!$G$5:$G$10,MATCH(BJ405,Settings!$F$5:$F$10,0)),Settings!$G$5))</f>
        <v/>
      </c>
      <c r="BL405" s="82" t="str">
        <f aca="false">IF(I405="","",IFERROR(1/(1/INDEX(Lists!$C$6:$C$17,MATCH(I405,Lists!$B$6:$B$17,0))),""))</f>
        <v/>
      </c>
      <c r="BM405" s="81" t="str">
        <f aca="false">IF(I405="","",IFERROR(1/(1/INDEX(Lists!$D$6:$D$17,MATCH(I405,Lists!$B$6:$B$17,0))),""))</f>
        <v/>
      </c>
      <c r="BN405" s="76" t="str">
        <f aca="false">IF(AN405="","",MAX(BK405,_xlfn.MAXIFS(AN$6:AN405,BJ$6:BJ405,BJ405)))</f>
        <v/>
      </c>
      <c r="BO405" s="83" t="str">
        <f aca="false">IF(AN405="","",(AN405-BN405)/BN405)</f>
        <v/>
      </c>
      <c r="BP405" s="66" t="n">
        <f aca="false">IF(OR(B405="",AL405=""),0,IF(OR(Settings!$C$28="All Accounts",BJ405=Settings!$C$28),1,0))</f>
        <v>0</v>
      </c>
      <c r="BQ405" s="66" t="str">
        <f aca="false">IF(BP405=1,SUM(BP$6:BP405),"")</f>
        <v/>
      </c>
      <c r="BR405" s="76" t="str">
        <f aca="false">IF(BP405=1,ROUND(Settings!$C$29+SUMIFS(AM$6:AM405,BP$6:BP405,1),2),"")</f>
        <v/>
      </c>
      <c r="BS405" s="76" t="str">
        <f aca="false">IF(BP405=1,MAX(Settings!$C$29,MAX(BR$6:BR405)),"")</f>
        <v/>
      </c>
      <c r="BT405" s="83" t="str">
        <f aca="false">IF(BP405=1,(BR405-BS405)/BS405,"")</f>
        <v/>
      </c>
      <c r="BU405" s="66" t="str">
        <f aca="false">IF(BP405=1,IF(AL405="Win",1+IF(BQ405=1,0,INDEX(BU$5:BU404,MATCH(BQ405-1,BQ$5:BQ404,0))),0),"")</f>
        <v/>
      </c>
      <c r="BV405" s="66" t="str">
        <f aca="false">IF(BP405=1,IF(AL405="Loss",1+IF(BQ405=1,0,INDEX(BV$5:BV404,MATCH(BQ405-1,BQ$5:BQ404,0))),0),"")</f>
        <v/>
      </c>
    </row>
    <row r="406" customFormat="false" ht="15" hidden="false" customHeight="false" outlineLevel="0" collapsed="false">
      <c r="A406" s="66" t="str">
        <f aca="false">IF(B406="","",ROW()-5)</f>
        <v/>
      </c>
      <c r="B406" s="67"/>
      <c r="C406" s="68" t="str">
        <f aca="false">IF(B406="","",CHOOSE(WEEKDAY(B406,2),"Mon","Tue","Wed","Thu","Fri","Sat","Sun"))</f>
        <v/>
      </c>
      <c r="D406" s="66" t="str">
        <f aca="false">IF(B406="","",WEEKNUM(B406,2))</f>
        <v/>
      </c>
      <c r="E406" s="69"/>
      <c r="F406" s="69"/>
      <c r="G406" s="70"/>
      <c r="H406" s="70"/>
      <c r="I406" s="69"/>
      <c r="J406" s="69"/>
      <c r="K406" s="69"/>
      <c r="L406" s="71"/>
      <c r="M406" s="69"/>
      <c r="N406" s="69"/>
      <c r="O406" s="69"/>
      <c r="P406" s="71"/>
      <c r="Q406" s="69"/>
      <c r="R406" s="69"/>
      <c r="S406" s="69"/>
      <c r="T406" s="69"/>
      <c r="U406" s="69"/>
      <c r="V406" s="69"/>
      <c r="W406" s="69"/>
      <c r="X406" s="66" t="str">
        <f aca="false">IF(B406="","",COUNTIF(Q406:W406,"Yes"))</f>
        <v/>
      </c>
      <c r="Y406" s="68" t="str">
        <f aca="false">IF(B406="","",IF(X406&gt;=Settings!$C$16,"A+",IF(X406&gt;=Settings!$C$17,"A",IF(X406&gt;=Settings!$C$18,"B","C"))))</f>
        <v/>
      </c>
      <c r="Z406" s="72"/>
      <c r="AA406" s="72"/>
      <c r="AB406" s="72"/>
      <c r="AC406" s="72"/>
      <c r="AD406" s="72"/>
      <c r="AE406" s="72"/>
      <c r="AF406" s="73"/>
      <c r="AG406" s="74"/>
      <c r="AH406" s="75"/>
      <c r="AI406" s="76" t="str">
        <f aca="false">IF(B406="","",ROUND(IF(AG406="",Settings!$C$5,AG406)*AW406,2))</f>
        <v/>
      </c>
      <c r="AJ406" s="77" t="str">
        <f aca="false">IF(OR(B406="",AB406="",AC406="",AD406=""),"",IFERROR(ROUND(ABS(AD406-AB406)/ABS(AB406-AC406),2),""))</f>
        <v/>
      </c>
      <c r="AK406" s="78" t="str">
        <f aca="false">IF(OR(B406="",AB406="",AC406="",AE406=""),"",IFERROR(ROUND(IF(J406="Short",AB406-AE406,AE406-AB406)/ABS(AB406-AC406),2),""))</f>
        <v/>
      </c>
      <c r="AL406" s="68" t="str">
        <f aca="false">IF(AK406="","",IF(ABS(AK406)&lt;=Settings!$C$6,"BE",IF(AK406&gt;0,"Win","Loss")))</f>
        <v/>
      </c>
      <c r="AM406" s="79" t="str">
        <f aca="false">IF(OR(AK406="",AI406=""),"",ROUND(AK406*AI406-N(AH406),2))</f>
        <v/>
      </c>
      <c r="AN406" s="76" t="str">
        <f aca="false">IF(AM406="","",ROUND(BK406+SUMIFS(AM$6:AM406,BJ$6:BJ406,BJ406),2))</f>
        <v/>
      </c>
      <c r="AO406" s="78" t="str">
        <f aca="false">IF(AK406="","",ROUND(SUMIFS(AK$6:AK406,BJ$6:BJ406,BJ406),2))</f>
        <v/>
      </c>
      <c r="AP406" s="80" t="str">
        <f aca="false">IF(OR(AK406="",BL406=""),"",IFERROR(ROUND(IF(J406="Short",AB406-AE406,AE406-AB406)/BL406,1),""))</f>
        <v/>
      </c>
      <c r="AQ406" s="66" t="str">
        <f aca="false">IF(OR(G406="",H406=""),"",ROUND(MOD(H406-G406,1)*1440,0))</f>
        <v/>
      </c>
      <c r="AR406" s="68" t="str">
        <f aca="false">IF(AQ406="","",IF(AQ406&lt;15,"Under 15m",IF(AQ406&lt;60,"15-60m",IF(AQ406&lt;240,"1-4 hours","4+ hours"))))</f>
        <v/>
      </c>
      <c r="AS406" s="66" t="str">
        <f aca="false">IF(G406="","",HOUR(G406))</f>
        <v/>
      </c>
      <c r="AT406" s="80" t="str">
        <f aca="false">IF(OR(Z406="",AB406="",BL406=""),"",IFERROR(ROUND(IF(J406="Short",Z406-AB406,AB406-Z406)/BL406,1),""))</f>
        <v/>
      </c>
      <c r="AU406" s="68" t="str">
        <f aca="false">IF(OR(AA406="",AC406=""),"",IF(AA406=AC406,"No","Yes"))</f>
        <v/>
      </c>
      <c r="AV406" s="81" t="str">
        <f aca="false">IF(OR(B406="",BL406="",BM406="",AB406="",AC406=""),"",IFERROR(ROUND(AI406/(ABS(AB406-AC406)/BL406*BM406),2),""))</f>
        <v/>
      </c>
      <c r="AW406" s="76" t="str">
        <f aca="false">IF(B406="","",ROUND(BK406+SUMIFS(AM$5:AM405,BJ$5:BJ405,BJ406),2))</f>
        <v/>
      </c>
      <c r="AX406" s="66" t="str">
        <f aca="false">IF(B406="","",COUNTIFS(B$6:B406,B406,BJ$6:BJ406,BJ406))</f>
        <v/>
      </c>
      <c r="AY406" s="79" t="str">
        <f aca="false">IF(B406="","",ROUND(SUMIFS(AM$5:AM405,B$5:B405,B406,BJ$5:BJ405,BJ406),2))</f>
        <v/>
      </c>
      <c r="AZ406" s="79" t="str">
        <f aca="false">IF(AM406="","",ROUND(AY406+AM406,2))</f>
        <v/>
      </c>
      <c r="BA406" s="79" t="str">
        <f aca="false">IF(B406="","",ROUND(SUMIFS(AM$5:AM405,B$5:B405,"&gt;="&amp;(B406-WEEKDAY(B406,2)+1),B$5:B405,"&lt;="&amp;B406,BJ$5:BJ405,BJ406),2))</f>
        <v/>
      </c>
      <c r="BB406" s="68" t="str">
        <f aca="false">IF(B406="","",IF(AND(AF406&lt;&gt;"",AV406&lt;&gt;"",N(AF406)&gt;N(AV406)*(1+Settings!$C$13)),"Oversized",IF(AX406&gt;Settings!$C$10,"Overtraded",IF(AY406&lt;=-Settings!$C$11*(AW406-AY406),"Daily loss hit",IF(BA406&lt;=-Settings!$C$12*(AW406-BA406),"Weekly loss hit","OK")))))</f>
        <v/>
      </c>
      <c r="BC406" s="69"/>
      <c r="BD406" s="69"/>
      <c r="BE406" s="69"/>
      <c r="BF406" s="73"/>
      <c r="BG406" s="73"/>
      <c r="BH406" s="71"/>
      <c r="BI406" s="71"/>
      <c r="BJ406" s="68" t="str">
        <f aca="false">IF(B406="","",IF(E406="",Settings!$F$5,E406))</f>
        <v/>
      </c>
      <c r="BK406" s="76" t="str">
        <f aca="false">IF(B406="","",IFERROR(INDEX(Settings!$G$5:$G$10,MATCH(BJ406,Settings!$F$5:$F$10,0)),Settings!$G$5))</f>
        <v/>
      </c>
      <c r="BL406" s="82" t="str">
        <f aca="false">IF(I406="","",IFERROR(1/(1/INDEX(Lists!$C$6:$C$17,MATCH(I406,Lists!$B$6:$B$17,0))),""))</f>
        <v/>
      </c>
      <c r="BM406" s="81" t="str">
        <f aca="false">IF(I406="","",IFERROR(1/(1/INDEX(Lists!$D$6:$D$17,MATCH(I406,Lists!$B$6:$B$17,0))),""))</f>
        <v/>
      </c>
      <c r="BN406" s="76" t="str">
        <f aca="false">IF(AN406="","",MAX(BK406,_xlfn.MAXIFS(AN$6:AN406,BJ$6:BJ406,BJ406)))</f>
        <v/>
      </c>
      <c r="BO406" s="83" t="str">
        <f aca="false">IF(AN406="","",(AN406-BN406)/BN406)</f>
        <v/>
      </c>
      <c r="BP406" s="66" t="n">
        <f aca="false">IF(OR(B406="",AL406=""),0,IF(OR(Settings!$C$28="All Accounts",BJ406=Settings!$C$28),1,0))</f>
        <v>0</v>
      </c>
      <c r="BQ406" s="66" t="str">
        <f aca="false">IF(BP406=1,SUM(BP$6:BP406),"")</f>
        <v/>
      </c>
      <c r="BR406" s="76" t="str">
        <f aca="false">IF(BP406=1,ROUND(Settings!$C$29+SUMIFS(AM$6:AM406,BP$6:BP406,1),2),"")</f>
        <v/>
      </c>
      <c r="BS406" s="76" t="str">
        <f aca="false">IF(BP406=1,MAX(Settings!$C$29,MAX(BR$6:BR406)),"")</f>
        <v/>
      </c>
      <c r="BT406" s="83" t="str">
        <f aca="false">IF(BP406=1,(BR406-BS406)/BS406,"")</f>
        <v/>
      </c>
      <c r="BU406" s="66" t="str">
        <f aca="false">IF(BP406=1,IF(AL406="Win",1+IF(BQ406=1,0,INDEX(BU$5:BU405,MATCH(BQ406-1,BQ$5:BQ405,0))),0),"")</f>
        <v/>
      </c>
      <c r="BV406" s="66" t="str">
        <f aca="false">IF(BP406=1,IF(AL406="Loss",1+IF(BQ406=1,0,INDEX(BV$5:BV405,MATCH(BQ406-1,BQ$5:BQ405,0))),0),"")</f>
        <v/>
      </c>
    </row>
    <row r="407" customFormat="false" ht="15" hidden="false" customHeight="false" outlineLevel="0" collapsed="false">
      <c r="A407" s="66" t="str">
        <f aca="false">IF(B407="","",ROW()-5)</f>
        <v/>
      </c>
      <c r="B407" s="67"/>
      <c r="C407" s="68" t="str">
        <f aca="false">IF(B407="","",CHOOSE(WEEKDAY(B407,2),"Mon","Tue","Wed","Thu","Fri","Sat","Sun"))</f>
        <v/>
      </c>
      <c r="D407" s="66" t="str">
        <f aca="false">IF(B407="","",WEEKNUM(B407,2))</f>
        <v/>
      </c>
      <c r="E407" s="69"/>
      <c r="F407" s="69"/>
      <c r="G407" s="70"/>
      <c r="H407" s="70"/>
      <c r="I407" s="69"/>
      <c r="J407" s="69"/>
      <c r="K407" s="69"/>
      <c r="L407" s="71"/>
      <c r="M407" s="69"/>
      <c r="N407" s="69"/>
      <c r="O407" s="69"/>
      <c r="P407" s="71"/>
      <c r="Q407" s="69"/>
      <c r="R407" s="69"/>
      <c r="S407" s="69"/>
      <c r="T407" s="69"/>
      <c r="U407" s="69"/>
      <c r="V407" s="69"/>
      <c r="W407" s="69"/>
      <c r="X407" s="66" t="str">
        <f aca="false">IF(B407="","",COUNTIF(Q407:W407,"Yes"))</f>
        <v/>
      </c>
      <c r="Y407" s="68" t="str">
        <f aca="false">IF(B407="","",IF(X407&gt;=Settings!$C$16,"A+",IF(X407&gt;=Settings!$C$17,"A",IF(X407&gt;=Settings!$C$18,"B","C"))))</f>
        <v/>
      </c>
      <c r="Z407" s="72"/>
      <c r="AA407" s="72"/>
      <c r="AB407" s="72"/>
      <c r="AC407" s="72"/>
      <c r="AD407" s="72"/>
      <c r="AE407" s="72"/>
      <c r="AF407" s="73"/>
      <c r="AG407" s="74"/>
      <c r="AH407" s="75"/>
      <c r="AI407" s="76" t="str">
        <f aca="false">IF(B407="","",ROUND(IF(AG407="",Settings!$C$5,AG407)*AW407,2))</f>
        <v/>
      </c>
      <c r="AJ407" s="77" t="str">
        <f aca="false">IF(OR(B407="",AB407="",AC407="",AD407=""),"",IFERROR(ROUND(ABS(AD407-AB407)/ABS(AB407-AC407),2),""))</f>
        <v/>
      </c>
      <c r="AK407" s="78" t="str">
        <f aca="false">IF(OR(B407="",AB407="",AC407="",AE407=""),"",IFERROR(ROUND(IF(J407="Short",AB407-AE407,AE407-AB407)/ABS(AB407-AC407),2),""))</f>
        <v/>
      </c>
      <c r="AL407" s="68" t="str">
        <f aca="false">IF(AK407="","",IF(ABS(AK407)&lt;=Settings!$C$6,"BE",IF(AK407&gt;0,"Win","Loss")))</f>
        <v/>
      </c>
      <c r="AM407" s="79" t="str">
        <f aca="false">IF(OR(AK407="",AI407=""),"",ROUND(AK407*AI407-N(AH407),2))</f>
        <v/>
      </c>
      <c r="AN407" s="76" t="str">
        <f aca="false">IF(AM407="","",ROUND(BK407+SUMIFS(AM$6:AM407,BJ$6:BJ407,BJ407),2))</f>
        <v/>
      </c>
      <c r="AO407" s="78" t="str">
        <f aca="false">IF(AK407="","",ROUND(SUMIFS(AK$6:AK407,BJ$6:BJ407,BJ407),2))</f>
        <v/>
      </c>
      <c r="AP407" s="80" t="str">
        <f aca="false">IF(OR(AK407="",BL407=""),"",IFERROR(ROUND(IF(J407="Short",AB407-AE407,AE407-AB407)/BL407,1),""))</f>
        <v/>
      </c>
      <c r="AQ407" s="66" t="str">
        <f aca="false">IF(OR(G407="",H407=""),"",ROUND(MOD(H407-G407,1)*1440,0))</f>
        <v/>
      </c>
      <c r="AR407" s="68" t="str">
        <f aca="false">IF(AQ407="","",IF(AQ407&lt;15,"Under 15m",IF(AQ407&lt;60,"15-60m",IF(AQ407&lt;240,"1-4 hours","4+ hours"))))</f>
        <v/>
      </c>
      <c r="AS407" s="66" t="str">
        <f aca="false">IF(G407="","",HOUR(G407))</f>
        <v/>
      </c>
      <c r="AT407" s="80" t="str">
        <f aca="false">IF(OR(Z407="",AB407="",BL407=""),"",IFERROR(ROUND(IF(J407="Short",Z407-AB407,AB407-Z407)/BL407,1),""))</f>
        <v/>
      </c>
      <c r="AU407" s="68" t="str">
        <f aca="false">IF(OR(AA407="",AC407=""),"",IF(AA407=AC407,"No","Yes"))</f>
        <v/>
      </c>
      <c r="AV407" s="81" t="str">
        <f aca="false">IF(OR(B407="",BL407="",BM407="",AB407="",AC407=""),"",IFERROR(ROUND(AI407/(ABS(AB407-AC407)/BL407*BM407),2),""))</f>
        <v/>
      </c>
      <c r="AW407" s="76" t="str">
        <f aca="false">IF(B407="","",ROUND(BK407+SUMIFS(AM$5:AM406,BJ$5:BJ406,BJ407),2))</f>
        <v/>
      </c>
      <c r="AX407" s="66" t="str">
        <f aca="false">IF(B407="","",COUNTIFS(B$6:B407,B407,BJ$6:BJ407,BJ407))</f>
        <v/>
      </c>
      <c r="AY407" s="79" t="str">
        <f aca="false">IF(B407="","",ROUND(SUMIFS(AM$5:AM406,B$5:B406,B407,BJ$5:BJ406,BJ407),2))</f>
        <v/>
      </c>
      <c r="AZ407" s="79" t="str">
        <f aca="false">IF(AM407="","",ROUND(AY407+AM407,2))</f>
        <v/>
      </c>
      <c r="BA407" s="79" t="str">
        <f aca="false">IF(B407="","",ROUND(SUMIFS(AM$5:AM406,B$5:B406,"&gt;="&amp;(B407-WEEKDAY(B407,2)+1),B$5:B406,"&lt;="&amp;B407,BJ$5:BJ406,BJ407),2))</f>
        <v/>
      </c>
      <c r="BB407" s="68" t="str">
        <f aca="false">IF(B407="","",IF(AND(AF407&lt;&gt;"",AV407&lt;&gt;"",N(AF407)&gt;N(AV407)*(1+Settings!$C$13)),"Oversized",IF(AX407&gt;Settings!$C$10,"Overtraded",IF(AY407&lt;=-Settings!$C$11*(AW407-AY407),"Daily loss hit",IF(BA407&lt;=-Settings!$C$12*(AW407-BA407),"Weekly loss hit","OK")))))</f>
        <v/>
      </c>
      <c r="BC407" s="69"/>
      <c r="BD407" s="69"/>
      <c r="BE407" s="69"/>
      <c r="BF407" s="73"/>
      <c r="BG407" s="73"/>
      <c r="BH407" s="71"/>
      <c r="BI407" s="71"/>
      <c r="BJ407" s="68" t="str">
        <f aca="false">IF(B407="","",IF(E407="",Settings!$F$5,E407))</f>
        <v/>
      </c>
      <c r="BK407" s="76" t="str">
        <f aca="false">IF(B407="","",IFERROR(INDEX(Settings!$G$5:$G$10,MATCH(BJ407,Settings!$F$5:$F$10,0)),Settings!$G$5))</f>
        <v/>
      </c>
      <c r="BL407" s="82" t="str">
        <f aca="false">IF(I407="","",IFERROR(1/(1/INDEX(Lists!$C$6:$C$17,MATCH(I407,Lists!$B$6:$B$17,0))),""))</f>
        <v/>
      </c>
      <c r="BM407" s="81" t="str">
        <f aca="false">IF(I407="","",IFERROR(1/(1/INDEX(Lists!$D$6:$D$17,MATCH(I407,Lists!$B$6:$B$17,0))),""))</f>
        <v/>
      </c>
      <c r="BN407" s="76" t="str">
        <f aca="false">IF(AN407="","",MAX(BK407,_xlfn.MAXIFS(AN$6:AN407,BJ$6:BJ407,BJ407)))</f>
        <v/>
      </c>
      <c r="BO407" s="83" t="str">
        <f aca="false">IF(AN407="","",(AN407-BN407)/BN407)</f>
        <v/>
      </c>
      <c r="BP407" s="66" t="n">
        <f aca="false">IF(OR(B407="",AL407=""),0,IF(OR(Settings!$C$28="All Accounts",BJ407=Settings!$C$28),1,0))</f>
        <v>0</v>
      </c>
      <c r="BQ407" s="66" t="str">
        <f aca="false">IF(BP407=1,SUM(BP$6:BP407),"")</f>
        <v/>
      </c>
      <c r="BR407" s="76" t="str">
        <f aca="false">IF(BP407=1,ROUND(Settings!$C$29+SUMIFS(AM$6:AM407,BP$6:BP407,1),2),"")</f>
        <v/>
      </c>
      <c r="BS407" s="76" t="str">
        <f aca="false">IF(BP407=1,MAX(Settings!$C$29,MAX(BR$6:BR407)),"")</f>
        <v/>
      </c>
      <c r="BT407" s="83" t="str">
        <f aca="false">IF(BP407=1,(BR407-BS407)/BS407,"")</f>
        <v/>
      </c>
      <c r="BU407" s="66" t="str">
        <f aca="false">IF(BP407=1,IF(AL407="Win",1+IF(BQ407=1,0,INDEX(BU$5:BU406,MATCH(BQ407-1,BQ$5:BQ406,0))),0),"")</f>
        <v/>
      </c>
      <c r="BV407" s="66" t="str">
        <f aca="false">IF(BP407=1,IF(AL407="Loss",1+IF(BQ407=1,0,INDEX(BV$5:BV406,MATCH(BQ407-1,BQ$5:BQ406,0))),0),"")</f>
        <v/>
      </c>
    </row>
    <row r="408" customFormat="false" ht="15" hidden="false" customHeight="false" outlineLevel="0" collapsed="false">
      <c r="A408" s="66" t="str">
        <f aca="false">IF(B408="","",ROW()-5)</f>
        <v/>
      </c>
      <c r="B408" s="67"/>
      <c r="C408" s="68" t="str">
        <f aca="false">IF(B408="","",CHOOSE(WEEKDAY(B408,2),"Mon","Tue","Wed","Thu","Fri","Sat","Sun"))</f>
        <v/>
      </c>
      <c r="D408" s="66" t="str">
        <f aca="false">IF(B408="","",WEEKNUM(B408,2))</f>
        <v/>
      </c>
      <c r="E408" s="69"/>
      <c r="F408" s="69"/>
      <c r="G408" s="70"/>
      <c r="H408" s="70"/>
      <c r="I408" s="69"/>
      <c r="J408" s="69"/>
      <c r="K408" s="69"/>
      <c r="L408" s="71"/>
      <c r="M408" s="69"/>
      <c r="N408" s="69"/>
      <c r="O408" s="69"/>
      <c r="P408" s="71"/>
      <c r="Q408" s="69"/>
      <c r="R408" s="69"/>
      <c r="S408" s="69"/>
      <c r="T408" s="69"/>
      <c r="U408" s="69"/>
      <c r="V408" s="69"/>
      <c r="W408" s="69"/>
      <c r="X408" s="66" t="str">
        <f aca="false">IF(B408="","",COUNTIF(Q408:W408,"Yes"))</f>
        <v/>
      </c>
      <c r="Y408" s="68" t="str">
        <f aca="false">IF(B408="","",IF(X408&gt;=Settings!$C$16,"A+",IF(X408&gt;=Settings!$C$17,"A",IF(X408&gt;=Settings!$C$18,"B","C"))))</f>
        <v/>
      </c>
      <c r="Z408" s="72"/>
      <c r="AA408" s="72"/>
      <c r="AB408" s="72"/>
      <c r="AC408" s="72"/>
      <c r="AD408" s="72"/>
      <c r="AE408" s="72"/>
      <c r="AF408" s="73"/>
      <c r="AG408" s="74"/>
      <c r="AH408" s="75"/>
      <c r="AI408" s="76" t="str">
        <f aca="false">IF(B408="","",ROUND(IF(AG408="",Settings!$C$5,AG408)*AW408,2))</f>
        <v/>
      </c>
      <c r="AJ408" s="77" t="str">
        <f aca="false">IF(OR(B408="",AB408="",AC408="",AD408=""),"",IFERROR(ROUND(ABS(AD408-AB408)/ABS(AB408-AC408),2),""))</f>
        <v/>
      </c>
      <c r="AK408" s="78" t="str">
        <f aca="false">IF(OR(B408="",AB408="",AC408="",AE408=""),"",IFERROR(ROUND(IF(J408="Short",AB408-AE408,AE408-AB408)/ABS(AB408-AC408),2),""))</f>
        <v/>
      </c>
      <c r="AL408" s="68" t="str">
        <f aca="false">IF(AK408="","",IF(ABS(AK408)&lt;=Settings!$C$6,"BE",IF(AK408&gt;0,"Win","Loss")))</f>
        <v/>
      </c>
      <c r="AM408" s="79" t="str">
        <f aca="false">IF(OR(AK408="",AI408=""),"",ROUND(AK408*AI408-N(AH408),2))</f>
        <v/>
      </c>
      <c r="AN408" s="76" t="str">
        <f aca="false">IF(AM408="","",ROUND(BK408+SUMIFS(AM$6:AM408,BJ$6:BJ408,BJ408),2))</f>
        <v/>
      </c>
      <c r="AO408" s="78" t="str">
        <f aca="false">IF(AK408="","",ROUND(SUMIFS(AK$6:AK408,BJ$6:BJ408,BJ408),2))</f>
        <v/>
      </c>
      <c r="AP408" s="80" t="str">
        <f aca="false">IF(OR(AK408="",BL408=""),"",IFERROR(ROUND(IF(J408="Short",AB408-AE408,AE408-AB408)/BL408,1),""))</f>
        <v/>
      </c>
      <c r="AQ408" s="66" t="str">
        <f aca="false">IF(OR(G408="",H408=""),"",ROUND(MOD(H408-G408,1)*1440,0))</f>
        <v/>
      </c>
      <c r="AR408" s="68" t="str">
        <f aca="false">IF(AQ408="","",IF(AQ408&lt;15,"Under 15m",IF(AQ408&lt;60,"15-60m",IF(AQ408&lt;240,"1-4 hours","4+ hours"))))</f>
        <v/>
      </c>
      <c r="AS408" s="66" t="str">
        <f aca="false">IF(G408="","",HOUR(G408))</f>
        <v/>
      </c>
      <c r="AT408" s="80" t="str">
        <f aca="false">IF(OR(Z408="",AB408="",BL408=""),"",IFERROR(ROUND(IF(J408="Short",Z408-AB408,AB408-Z408)/BL408,1),""))</f>
        <v/>
      </c>
      <c r="AU408" s="68" t="str">
        <f aca="false">IF(OR(AA408="",AC408=""),"",IF(AA408=AC408,"No","Yes"))</f>
        <v/>
      </c>
      <c r="AV408" s="81" t="str">
        <f aca="false">IF(OR(B408="",BL408="",BM408="",AB408="",AC408=""),"",IFERROR(ROUND(AI408/(ABS(AB408-AC408)/BL408*BM408),2),""))</f>
        <v/>
      </c>
      <c r="AW408" s="76" t="str">
        <f aca="false">IF(B408="","",ROUND(BK408+SUMIFS(AM$5:AM407,BJ$5:BJ407,BJ408),2))</f>
        <v/>
      </c>
      <c r="AX408" s="66" t="str">
        <f aca="false">IF(B408="","",COUNTIFS(B$6:B408,B408,BJ$6:BJ408,BJ408))</f>
        <v/>
      </c>
      <c r="AY408" s="79" t="str">
        <f aca="false">IF(B408="","",ROUND(SUMIFS(AM$5:AM407,B$5:B407,B408,BJ$5:BJ407,BJ408),2))</f>
        <v/>
      </c>
      <c r="AZ408" s="79" t="str">
        <f aca="false">IF(AM408="","",ROUND(AY408+AM408,2))</f>
        <v/>
      </c>
      <c r="BA408" s="79" t="str">
        <f aca="false">IF(B408="","",ROUND(SUMIFS(AM$5:AM407,B$5:B407,"&gt;="&amp;(B408-WEEKDAY(B408,2)+1),B$5:B407,"&lt;="&amp;B408,BJ$5:BJ407,BJ408),2))</f>
        <v/>
      </c>
      <c r="BB408" s="68" t="str">
        <f aca="false">IF(B408="","",IF(AND(AF408&lt;&gt;"",AV408&lt;&gt;"",N(AF408)&gt;N(AV408)*(1+Settings!$C$13)),"Oversized",IF(AX408&gt;Settings!$C$10,"Overtraded",IF(AY408&lt;=-Settings!$C$11*(AW408-AY408),"Daily loss hit",IF(BA408&lt;=-Settings!$C$12*(AW408-BA408),"Weekly loss hit","OK")))))</f>
        <v/>
      </c>
      <c r="BC408" s="69"/>
      <c r="BD408" s="69"/>
      <c r="BE408" s="69"/>
      <c r="BF408" s="73"/>
      <c r="BG408" s="73"/>
      <c r="BH408" s="71"/>
      <c r="BI408" s="71"/>
      <c r="BJ408" s="68" t="str">
        <f aca="false">IF(B408="","",IF(E408="",Settings!$F$5,E408))</f>
        <v/>
      </c>
      <c r="BK408" s="76" t="str">
        <f aca="false">IF(B408="","",IFERROR(INDEX(Settings!$G$5:$G$10,MATCH(BJ408,Settings!$F$5:$F$10,0)),Settings!$G$5))</f>
        <v/>
      </c>
      <c r="BL408" s="82" t="str">
        <f aca="false">IF(I408="","",IFERROR(1/(1/INDEX(Lists!$C$6:$C$17,MATCH(I408,Lists!$B$6:$B$17,0))),""))</f>
        <v/>
      </c>
      <c r="BM408" s="81" t="str">
        <f aca="false">IF(I408="","",IFERROR(1/(1/INDEX(Lists!$D$6:$D$17,MATCH(I408,Lists!$B$6:$B$17,0))),""))</f>
        <v/>
      </c>
      <c r="BN408" s="76" t="str">
        <f aca="false">IF(AN408="","",MAX(BK408,_xlfn.MAXIFS(AN$6:AN408,BJ$6:BJ408,BJ408)))</f>
        <v/>
      </c>
      <c r="BO408" s="83" t="str">
        <f aca="false">IF(AN408="","",(AN408-BN408)/BN408)</f>
        <v/>
      </c>
      <c r="BP408" s="66" t="n">
        <f aca="false">IF(OR(B408="",AL408=""),0,IF(OR(Settings!$C$28="All Accounts",BJ408=Settings!$C$28),1,0))</f>
        <v>0</v>
      </c>
      <c r="BQ408" s="66" t="str">
        <f aca="false">IF(BP408=1,SUM(BP$6:BP408),"")</f>
        <v/>
      </c>
      <c r="BR408" s="76" t="str">
        <f aca="false">IF(BP408=1,ROUND(Settings!$C$29+SUMIFS(AM$6:AM408,BP$6:BP408,1),2),"")</f>
        <v/>
      </c>
      <c r="BS408" s="76" t="str">
        <f aca="false">IF(BP408=1,MAX(Settings!$C$29,MAX(BR$6:BR408)),"")</f>
        <v/>
      </c>
      <c r="BT408" s="83" t="str">
        <f aca="false">IF(BP408=1,(BR408-BS408)/BS408,"")</f>
        <v/>
      </c>
      <c r="BU408" s="66" t="str">
        <f aca="false">IF(BP408=1,IF(AL408="Win",1+IF(BQ408=1,0,INDEX(BU$5:BU407,MATCH(BQ408-1,BQ$5:BQ407,0))),0),"")</f>
        <v/>
      </c>
      <c r="BV408" s="66" t="str">
        <f aca="false">IF(BP408=1,IF(AL408="Loss",1+IF(BQ408=1,0,INDEX(BV$5:BV407,MATCH(BQ408-1,BQ$5:BQ407,0))),0),"")</f>
        <v/>
      </c>
    </row>
    <row r="409" customFormat="false" ht="15" hidden="false" customHeight="false" outlineLevel="0" collapsed="false">
      <c r="A409" s="66" t="str">
        <f aca="false">IF(B409="","",ROW()-5)</f>
        <v/>
      </c>
      <c r="B409" s="67"/>
      <c r="C409" s="68" t="str">
        <f aca="false">IF(B409="","",CHOOSE(WEEKDAY(B409,2),"Mon","Tue","Wed","Thu","Fri","Sat","Sun"))</f>
        <v/>
      </c>
      <c r="D409" s="66" t="str">
        <f aca="false">IF(B409="","",WEEKNUM(B409,2))</f>
        <v/>
      </c>
      <c r="E409" s="69"/>
      <c r="F409" s="69"/>
      <c r="G409" s="70"/>
      <c r="H409" s="70"/>
      <c r="I409" s="69"/>
      <c r="J409" s="69"/>
      <c r="K409" s="69"/>
      <c r="L409" s="71"/>
      <c r="M409" s="69"/>
      <c r="N409" s="69"/>
      <c r="O409" s="69"/>
      <c r="P409" s="71"/>
      <c r="Q409" s="69"/>
      <c r="R409" s="69"/>
      <c r="S409" s="69"/>
      <c r="T409" s="69"/>
      <c r="U409" s="69"/>
      <c r="V409" s="69"/>
      <c r="W409" s="69"/>
      <c r="X409" s="66" t="str">
        <f aca="false">IF(B409="","",COUNTIF(Q409:W409,"Yes"))</f>
        <v/>
      </c>
      <c r="Y409" s="68" t="str">
        <f aca="false">IF(B409="","",IF(X409&gt;=Settings!$C$16,"A+",IF(X409&gt;=Settings!$C$17,"A",IF(X409&gt;=Settings!$C$18,"B","C"))))</f>
        <v/>
      </c>
      <c r="Z409" s="72"/>
      <c r="AA409" s="72"/>
      <c r="AB409" s="72"/>
      <c r="AC409" s="72"/>
      <c r="AD409" s="72"/>
      <c r="AE409" s="72"/>
      <c r="AF409" s="73"/>
      <c r="AG409" s="74"/>
      <c r="AH409" s="75"/>
      <c r="AI409" s="76" t="str">
        <f aca="false">IF(B409="","",ROUND(IF(AG409="",Settings!$C$5,AG409)*AW409,2))</f>
        <v/>
      </c>
      <c r="AJ409" s="77" t="str">
        <f aca="false">IF(OR(B409="",AB409="",AC409="",AD409=""),"",IFERROR(ROUND(ABS(AD409-AB409)/ABS(AB409-AC409),2),""))</f>
        <v/>
      </c>
      <c r="AK409" s="78" t="str">
        <f aca="false">IF(OR(B409="",AB409="",AC409="",AE409=""),"",IFERROR(ROUND(IF(J409="Short",AB409-AE409,AE409-AB409)/ABS(AB409-AC409),2),""))</f>
        <v/>
      </c>
      <c r="AL409" s="68" t="str">
        <f aca="false">IF(AK409="","",IF(ABS(AK409)&lt;=Settings!$C$6,"BE",IF(AK409&gt;0,"Win","Loss")))</f>
        <v/>
      </c>
      <c r="AM409" s="79" t="str">
        <f aca="false">IF(OR(AK409="",AI409=""),"",ROUND(AK409*AI409-N(AH409),2))</f>
        <v/>
      </c>
      <c r="AN409" s="76" t="str">
        <f aca="false">IF(AM409="","",ROUND(BK409+SUMIFS(AM$6:AM409,BJ$6:BJ409,BJ409),2))</f>
        <v/>
      </c>
      <c r="AO409" s="78" t="str">
        <f aca="false">IF(AK409="","",ROUND(SUMIFS(AK$6:AK409,BJ$6:BJ409,BJ409),2))</f>
        <v/>
      </c>
      <c r="AP409" s="80" t="str">
        <f aca="false">IF(OR(AK409="",BL409=""),"",IFERROR(ROUND(IF(J409="Short",AB409-AE409,AE409-AB409)/BL409,1),""))</f>
        <v/>
      </c>
      <c r="AQ409" s="66" t="str">
        <f aca="false">IF(OR(G409="",H409=""),"",ROUND(MOD(H409-G409,1)*1440,0))</f>
        <v/>
      </c>
      <c r="AR409" s="68" t="str">
        <f aca="false">IF(AQ409="","",IF(AQ409&lt;15,"Under 15m",IF(AQ409&lt;60,"15-60m",IF(AQ409&lt;240,"1-4 hours","4+ hours"))))</f>
        <v/>
      </c>
      <c r="AS409" s="66" t="str">
        <f aca="false">IF(G409="","",HOUR(G409))</f>
        <v/>
      </c>
      <c r="AT409" s="80" t="str">
        <f aca="false">IF(OR(Z409="",AB409="",BL409=""),"",IFERROR(ROUND(IF(J409="Short",Z409-AB409,AB409-Z409)/BL409,1),""))</f>
        <v/>
      </c>
      <c r="AU409" s="68" t="str">
        <f aca="false">IF(OR(AA409="",AC409=""),"",IF(AA409=AC409,"No","Yes"))</f>
        <v/>
      </c>
      <c r="AV409" s="81" t="str">
        <f aca="false">IF(OR(B409="",BL409="",BM409="",AB409="",AC409=""),"",IFERROR(ROUND(AI409/(ABS(AB409-AC409)/BL409*BM409),2),""))</f>
        <v/>
      </c>
      <c r="AW409" s="76" t="str">
        <f aca="false">IF(B409="","",ROUND(BK409+SUMIFS(AM$5:AM408,BJ$5:BJ408,BJ409),2))</f>
        <v/>
      </c>
      <c r="AX409" s="66" t="str">
        <f aca="false">IF(B409="","",COUNTIFS(B$6:B409,B409,BJ$6:BJ409,BJ409))</f>
        <v/>
      </c>
      <c r="AY409" s="79" t="str">
        <f aca="false">IF(B409="","",ROUND(SUMIFS(AM$5:AM408,B$5:B408,B409,BJ$5:BJ408,BJ409),2))</f>
        <v/>
      </c>
      <c r="AZ409" s="79" t="str">
        <f aca="false">IF(AM409="","",ROUND(AY409+AM409,2))</f>
        <v/>
      </c>
      <c r="BA409" s="79" t="str">
        <f aca="false">IF(B409="","",ROUND(SUMIFS(AM$5:AM408,B$5:B408,"&gt;="&amp;(B409-WEEKDAY(B409,2)+1),B$5:B408,"&lt;="&amp;B409,BJ$5:BJ408,BJ409),2))</f>
        <v/>
      </c>
      <c r="BB409" s="68" t="str">
        <f aca="false">IF(B409="","",IF(AND(AF409&lt;&gt;"",AV409&lt;&gt;"",N(AF409)&gt;N(AV409)*(1+Settings!$C$13)),"Oversized",IF(AX409&gt;Settings!$C$10,"Overtraded",IF(AY409&lt;=-Settings!$C$11*(AW409-AY409),"Daily loss hit",IF(BA409&lt;=-Settings!$C$12*(AW409-BA409),"Weekly loss hit","OK")))))</f>
        <v/>
      </c>
      <c r="BC409" s="69"/>
      <c r="BD409" s="69"/>
      <c r="BE409" s="69"/>
      <c r="BF409" s="73"/>
      <c r="BG409" s="73"/>
      <c r="BH409" s="71"/>
      <c r="BI409" s="71"/>
      <c r="BJ409" s="68" t="str">
        <f aca="false">IF(B409="","",IF(E409="",Settings!$F$5,E409))</f>
        <v/>
      </c>
      <c r="BK409" s="76" t="str">
        <f aca="false">IF(B409="","",IFERROR(INDEX(Settings!$G$5:$G$10,MATCH(BJ409,Settings!$F$5:$F$10,0)),Settings!$G$5))</f>
        <v/>
      </c>
      <c r="BL409" s="82" t="str">
        <f aca="false">IF(I409="","",IFERROR(1/(1/INDEX(Lists!$C$6:$C$17,MATCH(I409,Lists!$B$6:$B$17,0))),""))</f>
        <v/>
      </c>
      <c r="BM409" s="81" t="str">
        <f aca="false">IF(I409="","",IFERROR(1/(1/INDEX(Lists!$D$6:$D$17,MATCH(I409,Lists!$B$6:$B$17,0))),""))</f>
        <v/>
      </c>
      <c r="BN409" s="76" t="str">
        <f aca="false">IF(AN409="","",MAX(BK409,_xlfn.MAXIFS(AN$6:AN409,BJ$6:BJ409,BJ409)))</f>
        <v/>
      </c>
      <c r="BO409" s="83" t="str">
        <f aca="false">IF(AN409="","",(AN409-BN409)/BN409)</f>
        <v/>
      </c>
      <c r="BP409" s="66" t="n">
        <f aca="false">IF(OR(B409="",AL409=""),0,IF(OR(Settings!$C$28="All Accounts",BJ409=Settings!$C$28),1,0))</f>
        <v>0</v>
      </c>
      <c r="BQ409" s="66" t="str">
        <f aca="false">IF(BP409=1,SUM(BP$6:BP409),"")</f>
        <v/>
      </c>
      <c r="BR409" s="76" t="str">
        <f aca="false">IF(BP409=1,ROUND(Settings!$C$29+SUMIFS(AM$6:AM409,BP$6:BP409,1),2),"")</f>
        <v/>
      </c>
      <c r="BS409" s="76" t="str">
        <f aca="false">IF(BP409=1,MAX(Settings!$C$29,MAX(BR$6:BR409)),"")</f>
        <v/>
      </c>
      <c r="BT409" s="83" t="str">
        <f aca="false">IF(BP409=1,(BR409-BS409)/BS409,"")</f>
        <v/>
      </c>
      <c r="BU409" s="66" t="str">
        <f aca="false">IF(BP409=1,IF(AL409="Win",1+IF(BQ409=1,0,INDEX(BU$5:BU408,MATCH(BQ409-1,BQ$5:BQ408,0))),0),"")</f>
        <v/>
      </c>
      <c r="BV409" s="66" t="str">
        <f aca="false">IF(BP409=1,IF(AL409="Loss",1+IF(BQ409=1,0,INDEX(BV$5:BV408,MATCH(BQ409-1,BQ$5:BQ408,0))),0),"")</f>
        <v/>
      </c>
    </row>
    <row r="410" customFormat="false" ht="15" hidden="false" customHeight="false" outlineLevel="0" collapsed="false">
      <c r="A410" s="66" t="str">
        <f aca="false">IF(B410="","",ROW()-5)</f>
        <v/>
      </c>
      <c r="B410" s="67"/>
      <c r="C410" s="68" t="str">
        <f aca="false">IF(B410="","",CHOOSE(WEEKDAY(B410,2),"Mon","Tue","Wed","Thu","Fri","Sat","Sun"))</f>
        <v/>
      </c>
      <c r="D410" s="66" t="str">
        <f aca="false">IF(B410="","",WEEKNUM(B410,2))</f>
        <v/>
      </c>
      <c r="E410" s="69"/>
      <c r="F410" s="69"/>
      <c r="G410" s="70"/>
      <c r="H410" s="70"/>
      <c r="I410" s="69"/>
      <c r="J410" s="69"/>
      <c r="K410" s="69"/>
      <c r="L410" s="71"/>
      <c r="M410" s="69"/>
      <c r="N410" s="69"/>
      <c r="O410" s="69"/>
      <c r="P410" s="71"/>
      <c r="Q410" s="69"/>
      <c r="R410" s="69"/>
      <c r="S410" s="69"/>
      <c r="T410" s="69"/>
      <c r="U410" s="69"/>
      <c r="V410" s="69"/>
      <c r="W410" s="69"/>
      <c r="X410" s="66" t="str">
        <f aca="false">IF(B410="","",COUNTIF(Q410:W410,"Yes"))</f>
        <v/>
      </c>
      <c r="Y410" s="68" t="str">
        <f aca="false">IF(B410="","",IF(X410&gt;=Settings!$C$16,"A+",IF(X410&gt;=Settings!$C$17,"A",IF(X410&gt;=Settings!$C$18,"B","C"))))</f>
        <v/>
      </c>
      <c r="Z410" s="72"/>
      <c r="AA410" s="72"/>
      <c r="AB410" s="72"/>
      <c r="AC410" s="72"/>
      <c r="AD410" s="72"/>
      <c r="AE410" s="72"/>
      <c r="AF410" s="73"/>
      <c r="AG410" s="74"/>
      <c r="AH410" s="75"/>
      <c r="AI410" s="76" t="str">
        <f aca="false">IF(B410="","",ROUND(IF(AG410="",Settings!$C$5,AG410)*AW410,2))</f>
        <v/>
      </c>
      <c r="AJ410" s="77" t="str">
        <f aca="false">IF(OR(B410="",AB410="",AC410="",AD410=""),"",IFERROR(ROUND(ABS(AD410-AB410)/ABS(AB410-AC410),2),""))</f>
        <v/>
      </c>
      <c r="AK410" s="78" t="str">
        <f aca="false">IF(OR(B410="",AB410="",AC410="",AE410=""),"",IFERROR(ROUND(IF(J410="Short",AB410-AE410,AE410-AB410)/ABS(AB410-AC410),2),""))</f>
        <v/>
      </c>
      <c r="AL410" s="68" t="str">
        <f aca="false">IF(AK410="","",IF(ABS(AK410)&lt;=Settings!$C$6,"BE",IF(AK410&gt;0,"Win","Loss")))</f>
        <v/>
      </c>
      <c r="AM410" s="79" t="str">
        <f aca="false">IF(OR(AK410="",AI410=""),"",ROUND(AK410*AI410-N(AH410),2))</f>
        <v/>
      </c>
      <c r="AN410" s="76" t="str">
        <f aca="false">IF(AM410="","",ROUND(BK410+SUMIFS(AM$6:AM410,BJ$6:BJ410,BJ410),2))</f>
        <v/>
      </c>
      <c r="AO410" s="78" t="str">
        <f aca="false">IF(AK410="","",ROUND(SUMIFS(AK$6:AK410,BJ$6:BJ410,BJ410),2))</f>
        <v/>
      </c>
      <c r="AP410" s="80" t="str">
        <f aca="false">IF(OR(AK410="",BL410=""),"",IFERROR(ROUND(IF(J410="Short",AB410-AE410,AE410-AB410)/BL410,1),""))</f>
        <v/>
      </c>
      <c r="AQ410" s="66" t="str">
        <f aca="false">IF(OR(G410="",H410=""),"",ROUND(MOD(H410-G410,1)*1440,0))</f>
        <v/>
      </c>
      <c r="AR410" s="68" t="str">
        <f aca="false">IF(AQ410="","",IF(AQ410&lt;15,"Under 15m",IF(AQ410&lt;60,"15-60m",IF(AQ410&lt;240,"1-4 hours","4+ hours"))))</f>
        <v/>
      </c>
      <c r="AS410" s="66" t="str">
        <f aca="false">IF(G410="","",HOUR(G410))</f>
        <v/>
      </c>
      <c r="AT410" s="80" t="str">
        <f aca="false">IF(OR(Z410="",AB410="",BL410=""),"",IFERROR(ROUND(IF(J410="Short",Z410-AB410,AB410-Z410)/BL410,1),""))</f>
        <v/>
      </c>
      <c r="AU410" s="68" t="str">
        <f aca="false">IF(OR(AA410="",AC410=""),"",IF(AA410=AC410,"No","Yes"))</f>
        <v/>
      </c>
      <c r="AV410" s="81" t="str">
        <f aca="false">IF(OR(B410="",BL410="",BM410="",AB410="",AC410=""),"",IFERROR(ROUND(AI410/(ABS(AB410-AC410)/BL410*BM410),2),""))</f>
        <v/>
      </c>
      <c r="AW410" s="76" t="str">
        <f aca="false">IF(B410="","",ROUND(BK410+SUMIFS(AM$5:AM409,BJ$5:BJ409,BJ410),2))</f>
        <v/>
      </c>
      <c r="AX410" s="66" t="str">
        <f aca="false">IF(B410="","",COUNTIFS(B$6:B410,B410,BJ$6:BJ410,BJ410))</f>
        <v/>
      </c>
      <c r="AY410" s="79" t="str">
        <f aca="false">IF(B410="","",ROUND(SUMIFS(AM$5:AM409,B$5:B409,B410,BJ$5:BJ409,BJ410),2))</f>
        <v/>
      </c>
      <c r="AZ410" s="79" t="str">
        <f aca="false">IF(AM410="","",ROUND(AY410+AM410,2))</f>
        <v/>
      </c>
      <c r="BA410" s="79" t="str">
        <f aca="false">IF(B410="","",ROUND(SUMIFS(AM$5:AM409,B$5:B409,"&gt;="&amp;(B410-WEEKDAY(B410,2)+1),B$5:B409,"&lt;="&amp;B410,BJ$5:BJ409,BJ410),2))</f>
        <v/>
      </c>
      <c r="BB410" s="68" t="str">
        <f aca="false">IF(B410="","",IF(AND(AF410&lt;&gt;"",AV410&lt;&gt;"",N(AF410)&gt;N(AV410)*(1+Settings!$C$13)),"Oversized",IF(AX410&gt;Settings!$C$10,"Overtraded",IF(AY410&lt;=-Settings!$C$11*(AW410-AY410),"Daily loss hit",IF(BA410&lt;=-Settings!$C$12*(AW410-BA410),"Weekly loss hit","OK")))))</f>
        <v/>
      </c>
      <c r="BC410" s="69"/>
      <c r="BD410" s="69"/>
      <c r="BE410" s="69"/>
      <c r="BF410" s="73"/>
      <c r="BG410" s="73"/>
      <c r="BH410" s="71"/>
      <c r="BI410" s="71"/>
      <c r="BJ410" s="68" t="str">
        <f aca="false">IF(B410="","",IF(E410="",Settings!$F$5,E410))</f>
        <v/>
      </c>
      <c r="BK410" s="76" t="str">
        <f aca="false">IF(B410="","",IFERROR(INDEX(Settings!$G$5:$G$10,MATCH(BJ410,Settings!$F$5:$F$10,0)),Settings!$G$5))</f>
        <v/>
      </c>
      <c r="BL410" s="82" t="str">
        <f aca="false">IF(I410="","",IFERROR(1/(1/INDEX(Lists!$C$6:$C$17,MATCH(I410,Lists!$B$6:$B$17,0))),""))</f>
        <v/>
      </c>
      <c r="BM410" s="81" t="str">
        <f aca="false">IF(I410="","",IFERROR(1/(1/INDEX(Lists!$D$6:$D$17,MATCH(I410,Lists!$B$6:$B$17,0))),""))</f>
        <v/>
      </c>
      <c r="BN410" s="76" t="str">
        <f aca="false">IF(AN410="","",MAX(BK410,_xlfn.MAXIFS(AN$6:AN410,BJ$6:BJ410,BJ410)))</f>
        <v/>
      </c>
      <c r="BO410" s="83" t="str">
        <f aca="false">IF(AN410="","",(AN410-BN410)/BN410)</f>
        <v/>
      </c>
      <c r="BP410" s="66" t="n">
        <f aca="false">IF(OR(B410="",AL410=""),0,IF(OR(Settings!$C$28="All Accounts",BJ410=Settings!$C$28),1,0))</f>
        <v>0</v>
      </c>
      <c r="BQ410" s="66" t="str">
        <f aca="false">IF(BP410=1,SUM(BP$6:BP410),"")</f>
        <v/>
      </c>
      <c r="BR410" s="76" t="str">
        <f aca="false">IF(BP410=1,ROUND(Settings!$C$29+SUMIFS(AM$6:AM410,BP$6:BP410,1),2),"")</f>
        <v/>
      </c>
      <c r="BS410" s="76" t="str">
        <f aca="false">IF(BP410=1,MAX(Settings!$C$29,MAX(BR$6:BR410)),"")</f>
        <v/>
      </c>
      <c r="BT410" s="83" t="str">
        <f aca="false">IF(BP410=1,(BR410-BS410)/BS410,"")</f>
        <v/>
      </c>
      <c r="BU410" s="66" t="str">
        <f aca="false">IF(BP410=1,IF(AL410="Win",1+IF(BQ410=1,0,INDEX(BU$5:BU409,MATCH(BQ410-1,BQ$5:BQ409,0))),0),"")</f>
        <v/>
      </c>
      <c r="BV410" s="66" t="str">
        <f aca="false">IF(BP410=1,IF(AL410="Loss",1+IF(BQ410=1,0,INDEX(BV$5:BV409,MATCH(BQ410-1,BQ$5:BQ409,0))),0),"")</f>
        <v/>
      </c>
    </row>
    <row r="411" customFormat="false" ht="15" hidden="false" customHeight="false" outlineLevel="0" collapsed="false">
      <c r="A411" s="66" t="str">
        <f aca="false">IF(B411="","",ROW()-5)</f>
        <v/>
      </c>
      <c r="B411" s="67"/>
      <c r="C411" s="68" t="str">
        <f aca="false">IF(B411="","",CHOOSE(WEEKDAY(B411,2),"Mon","Tue","Wed","Thu","Fri","Sat","Sun"))</f>
        <v/>
      </c>
      <c r="D411" s="66" t="str">
        <f aca="false">IF(B411="","",WEEKNUM(B411,2))</f>
        <v/>
      </c>
      <c r="E411" s="69"/>
      <c r="F411" s="69"/>
      <c r="G411" s="70"/>
      <c r="H411" s="70"/>
      <c r="I411" s="69"/>
      <c r="J411" s="69"/>
      <c r="K411" s="69"/>
      <c r="L411" s="71"/>
      <c r="M411" s="69"/>
      <c r="N411" s="69"/>
      <c r="O411" s="69"/>
      <c r="P411" s="71"/>
      <c r="Q411" s="69"/>
      <c r="R411" s="69"/>
      <c r="S411" s="69"/>
      <c r="T411" s="69"/>
      <c r="U411" s="69"/>
      <c r="V411" s="69"/>
      <c r="W411" s="69"/>
      <c r="X411" s="66" t="str">
        <f aca="false">IF(B411="","",COUNTIF(Q411:W411,"Yes"))</f>
        <v/>
      </c>
      <c r="Y411" s="68" t="str">
        <f aca="false">IF(B411="","",IF(X411&gt;=Settings!$C$16,"A+",IF(X411&gt;=Settings!$C$17,"A",IF(X411&gt;=Settings!$C$18,"B","C"))))</f>
        <v/>
      </c>
      <c r="Z411" s="72"/>
      <c r="AA411" s="72"/>
      <c r="AB411" s="72"/>
      <c r="AC411" s="72"/>
      <c r="AD411" s="72"/>
      <c r="AE411" s="72"/>
      <c r="AF411" s="73"/>
      <c r="AG411" s="74"/>
      <c r="AH411" s="75"/>
      <c r="AI411" s="76" t="str">
        <f aca="false">IF(B411="","",ROUND(IF(AG411="",Settings!$C$5,AG411)*AW411,2))</f>
        <v/>
      </c>
      <c r="AJ411" s="77" t="str">
        <f aca="false">IF(OR(B411="",AB411="",AC411="",AD411=""),"",IFERROR(ROUND(ABS(AD411-AB411)/ABS(AB411-AC411),2),""))</f>
        <v/>
      </c>
      <c r="AK411" s="78" t="str">
        <f aca="false">IF(OR(B411="",AB411="",AC411="",AE411=""),"",IFERROR(ROUND(IF(J411="Short",AB411-AE411,AE411-AB411)/ABS(AB411-AC411),2),""))</f>
        <v/>
      </c>
      <c r="AL411" s="68" t="str">
        <f aca="false">IF(AK411="","",IF(ABS(AK411)&lt;=Settings!$C$6,"BE",IF(AK411&gt;0,"Win","Loss")))</f>
        <v/>
      </c>
      <c r="AM411" s="79" t="str">
        <f aca="false">IF(OR(AK411="",AI411=""),"",ROUND(AK411*AI411-N(AH411),2))</f>
        <v/>
      </c>
      <c r="AN411" s="76" t="str">
        <f aca="false">IF(AM411="","",ROUND(BK411+SUMIFS(AM$6:AM411,BJ$6:BJ411,BJ411),2))</f>
        <v/>
      </c>
      <c r="AO411" s="78" t="str">
        <f aca="false">IF(AK411="","",ROUND(SUMIFS(AK$6:AK411,BJ$6:BJ411,BJ411),2))</f>
        <v/>
      </c>
      <c r="AP411" s="80" t="str">
        <f aca="false">IF(OR(AK411="",BL411=""),"",IFERROR(ROUND(IF(J411="Short",AB411-AE411,AE411-AB411)/BL411,1),""))</f>
        <v/>
      </c>
      <c r="AQ411" s="66" t="str">
        <f aca="false">IF(OR(G411="",H411=""),"",ROUND(MOD(H411-G411,1)*1440,0))</f>
        <v/>
      </c>
      <c r="AR411" s="68" t="str">
        <f aca="false">IF(AQ411="","",IF(AQ411&lt;15,"Under 15m",IF(AQ411&lt;60,"15-60m",IF(AQ411&lt;240,"1-4 hours","4+ hours"))))</f>
        <v/>
      </c>
      <c r="AS411" s="66" t="str">
        <f aca="false">IF(G411="","",HOUR(G411))</f>
        <v/>
      </c>
      <c r="AT411" s="80" t="str">
        <f aca="false">IF(OR(Z411="",AB411="",BL411=""),"",IFERROR(ROUND(IF(J411="Short",Z411-AB411,AB411-Z411)/BL411,1),""))</f>
        <v/>
      </c>
      <c r="AU411" s="68" t="str">
        <f aca="false">IF(OR(AA411="",AC411=""),"",IF(AA411=AC411,"No","Yes"))</f>
        <v/>
      </c>
      <c r="AV411" s="81" t="str">
        <f aca="false">IF(OR(B411="",BL411="",BM411="",AB411="",AC411=""),"",IFERROR(ROUND(AI411/(ABS(AB411-AC411)/BL411*BM411),2),""))</f>
        <v/>
      </c>
      <c r="AW411" s="76" t="str">
        <f aca="false">IF(B411="","",ROUND(BK411+SUMIFS(AM$5:AM410,BJ$5:BJ410,BJ411),2))</f>
        <v/>
      </c>
      <c r="AX411" s="66" t="str">
        <f aca="false">IF(B411="","",COUNTIFS(B$6:B411,B411,BJ$6:BJ411,BJ411))</f>
        <v/>
      </c>
      <c r="AY411" s="79" t="str">
        <f aca="false">IF(B411="","",ROUND(SUMIFS(AM$5:AM410,B$5:B410,B411,BJ$5:BJ410,BJ411),2))</f>
        <v/>
      </c>
      <c r="AZ411" s="79" t="str">
        <f aca="false">IF(AM411="","",ROUND(AY411+AM411,2))</f>
        <v/>
      </c>
      <c r="BA411" s="79" t="str">
        <f aca="false">IF(B411="","",ROUND(SUMIFS(AM$5:AM410,B$5:B410,"&gt;="&amp;(B411-WEEKDAY(B411,2)+1),B$5:B410,"&lt;="&amp;B411,BJ$5:BJ410,BJ411),2))</f>
        <v/>
      </c>
      <c r="BB411" s="68" t="str">
        <f aca="false">IF(B411="","",IF(AND(AF411&lt;&gt;"",AV411&lt;&gt;"",N(AF411)&gt;N(AV411)*(1+Settings!$C$13)),"Oversized",IF(AX411&gt;Settings!$C$10,"Overtraded",IF(AY411&lt;=-Settings!$C$11*(AW411-AY411),"Daily loss hit",IF(BA411&lt;=-Settings!$C$12*(AW411-BA411),"Weekly loss hit","OK")))))</f>
        <v/>
      </c>
      <c r="BC411" s="69"/>
      <c r="BD411" s="69"/>
      <c r="BE411" s="69"/>
      <c r="BF411" s="73"/>
      <c r="BG411" s="73"/>
      <c r="BH411" s="71"/>
      <c r="BI411" s="71"/>
      <c r="BJ411" s="68" t="str">
        <f aca="false">IF(B411="","",IF(E411="",Settings!$F$5,E411))</f>
        <v/>
      </c>
      <c r="BK411" s="76" t="str">
        <f aca="false">IF(B411="","",IFERROR(INDEX(Settings!$G$5:$G$10,MATCH(BJ411,Settings!$F$5:$F$10,0)),Settings!$G$5))</f>
        <v/>
      </c>
      <c r="BL411" s="82" t="str">
        <f aca="false">IF(I411="","",IFERROR(1/(1/INDEX(Lists!$C$6:$C$17,MATCH(I411,Lists!$B$6:$B$17,0))),""))</f>
        <v/>
      </c>
      <c r="BM411" s="81" t="str">
        <f aca="false">IF(I411="","",IFERROR(1/(1/INDEX(Lists!$D$6:$D$17,MATCH(I411,Lists!$B$6:$B$17,0))),""))</f>
        <v/>
      </c>
      <c r="BN411" s="76" t="str">
        <f aca="false">IF(AN411="","",MAX(BK411,_xlfn.MAXIFS(AN$6:AN411,BJ$6:BJ411,BJ411)))</f>
        <v/>
      </c>
      <c r="BO411" s="83" t="str">
        <f aca="false">IF(AN411="","",(AN411-BN411)/BN411)</f>
        <v/>
      </c>
      <c r="BP411" s="66" t="n">
        <f aca="false">IF(OR(B411="",AL411=""),0,IF(OR(Settings!$C$28="All Accounts",BJ411=Settings!$C$28),1,0))</f>
        <v>0</v>
      </c>
      <c r="BQ411" s="66" t="str">
        <f aca="false">IF(BP411=1,SUM(BP$6:BP411),"")</f>
        <v/>
      </c>
      <c r="BR411" s="76" t="str">
        <f aca="false">IF(BP411=1,ROUND(Settings!$C$29+SUMIFS(AM$6:AM411,BP$6:BP411,1),2),"")</f>
        <v/>
      </c>
      <c r="BS411" s="76" t="str">
        <f aca="false">IF(BP411=1,MAX(Settings!$C$29,MAX(BR$6:BR411)),"")</f>
        <v/>
      </c>
      <c r="BT411" s="83" t="str">
        <f aca="false">IF(BP411=1,(BR411-BS411)/BS411,"")</f>
        <v/>
      </c>
      <c r="BU411" s="66" t="str">
        <f aca="false">IF(BP411=1,IF(AL411="Win",1+IF(BQ411=1,0,INDEX(BU$5:BU410,MATCH(BQ411-1,BQ$5:BQ410,0))),0),"")</f>
        <v/>
      </c>
      <c r="BV411" s="66" t="str">
        <f aca="false">IF(BP411=1,IF(AL411="Loss",1+IF(BQ411=1,0,INDEX(BV$5:BV410,MATCH(BQ411-1,BQ$5:BQ410,0))),0),"")</f>
        <v/>
      </c>
    </row>
    <row r="412" customFormat="false" ht="15" hidden="false" customHeight="false" outlineLevel="0" collapsed="false">
      <c r="A412" s="66" t="str">
        <f aca="false">IF(B412="","",ROW()-5)</f>
        <v/>
      </c>
      <c r="B412" s="67"/>
      <c r="C412" s="68" t="str">
        <f aca="false">IF(B412="","",CHOOSE(WEEKDAY(B412,2),"Mon","Tue","Wed","Thu","Fri","Sat","Sun"))</f>
        <v/>
      </c>
      <c r="D412" s="66" t="str">
        <f aca="false">IF(B412="","",WEEKNUM(B412,2))</f>
        <v/>
      </c>
      <c r="E412" s="69"/>
      <c r="F412" s="69"/>
      <c r="G412" s="70"/>
      <c r="H412" s="70"/>
      <c r="I412" s="69"/>
      <c r="J412" s="69"/>
      <c r="K412" s="69"/>
      <c r="L412" s="71"/>
      <c r="M412" s="69"/>
      <c r="N412" s="69"/>
      <c r="O412" s="69"/>
      <c r="P412" s="71"/>
      <c r="Q412" s="69"/>
      <c r="R412" s="69"/>
      <c r="S412" s="69"/>
      <c r="T412" s="69"/>
      <c r="U412" s="69"/>
      <c r="V412" s="69"/>
      <c r="W412" s="69"/>
      <c r="X412" s="66" t="str">
        <f aca="false">IF(B412="","",COUNTIF(Q412:W412,"Yes"))</f>
        <v/>
      </c>
      <c r="Y412" s="68" t="str">
        <f aca="false">IF(B412="","",IF(X412&gt;=Settings!$C$16,"A+",IF(X412&gt;=Settings!$C$17,"A",IF(X412&gt;=Settings!$C$18,"B","C"))))</f>
        <v/>
      </c>
      <c r="Z412" s="72"/>
      <c r="AA412" s="72"/>
      <c r="AB412" s="72"/>
      <c r="AC412" s="72"/>
      <c r="AD412" s="72"/>
      <c r="AE412" s="72"/>
      <c r="AF412" s="73"/>
      <c r="AG412" s="74"/>
      <c r="AH412" s="75"/>
      <c r="AI412" s="76" t="str">
        <f aca="false">IF(B412="","",ROUND(IF(AG412="",Settings!$C$5,AG412)*AW412,2))</f>
        <v/>
      </c>
      <c r="AJ412" s="77" t="str">
        <f aca="false">IF(OR(B412="",AB412="",AC412="",AD412=""),"",IFERROR(ROUND(ABS(AD412-AB412)/ABS(AB412-AC412),2),""))</f>
        <v/>
      </c>
      <c r="AK412" s="78" t="str">
        <f aca="false">IF(OR(B412="",AB412="",AC412="",AE412=""),"",IFERROR(ROUND(IF(J412="Short",AB412-AE412,AE412-AB412)/ABS(AB412-AC412),2),""))</f>
        <v/>
      </c>
      <c r="AL412" s="68" t="str">
        <f aca="false">IF(AK412="","",IF(ABS(AK412)&lt;=Settings!$C$6,"BE",IF(AK412&gt;0,"Win","Loss")))</f>
        <v/>
      </c>
      <c r="AM412" s="79" t="str">
        <f aca="false">IF(OR(AK412="",AI412=""),"",ROUND(AK412*AI412-N(AH412),2))</f>
        <v/>
      </c>
      <c r="AN412" s="76" t="str">
        <f aca="false">IF(AM412="","",ROUND(BK412+SUMIFS(AM$6:AM412,BJ$6:BJ412,BJ412),2))</f>
        <v/>
      </c>
      <c r="AO412" s="78" t="str">
        <f aca="false">IF(AK412="","",ROUND(SUMIFS(AK$6:AK412,BJ$6:BJ412,BJ412),2))</f>
        <v/>
      </c>
      <c r="AP412" s="80" t="str">
        <f aca="false">IF(OR(AK412="",BL412=""),"",IFERROR(ROUND(IF(J412="Short",AB412-AE412,AE412-AB412)/BL412,1),""))</f>
        <v/>
      </c>
      <c r="AQ412" s="66" t="str">
        <f aca="false">IF(OR(G412="",H412=""),"",ROUND(MOD(H412-G412,1)*1440,0))</f>
        <v/>
      </c>
      <c r="AR412" s="68" t="str">
        <f aca="false">IF(AQ412="","",IF(AQ412&lt;15,"Under 15m",IF(AQ412&lt;60,"15-60m",IF(AQ412&lt;240,"1-4 hours","4+ hours"))))</f>
        <v/>
      </c>
      <c r="AS412" s="66" t="str">
        <f aca="false">IF(G412="","",HOUR(G412))</f>
        <v/>
      </c>
      <c r="AT412" s="80" t="str">
        <f aca="false">IF(OR(Z412="",AB412="",BL412=""),"",IFERROR(ROUND(IF(J412="Short",Z412-AB412,AB412-Z412)/BL412,1),""))</f>
        <v/>
      </c>
      <c r="AU412" s="68" t="str">
        <f aca="false">IF(OR(AA412="",AC412=""),"",IF(AA412=AC412,"No","Yes"))</f>
        <v/>
      </c>
      <c r="AV412" s="81" t="str">
        <f aca="false">IF(OR(B412="",BL412="",BM412="",AB412="",AC412=""),"",IFERROR(ROUND(AI412/(ABS(AB412-AC412)/BL412*BM412),2),""))</f>
        <v/>
      </c>
      <c r="AW412" s="76" t="str">
        <f aca="false">IF(B412="","",ROUND(BK412+SUMIFS(AM$5:AM411,BJ$5:BJ411,BJ412),2))</f>
        <v/>
      </c>
      <c r="AX412" s="66" t="str">
        <f aca="false">IF(B412="","",COUNTIFS(B$6:B412,B412,BJ$6:BJ412,BJ412))</f>
        <v/>
      </c>
      <c r="AY412" s="79" t="str">
        <f aca="false">IF(B412="","",ROUND(SUMIFS(AM$5:AM411,B$5:B411,B412,BJ$5:BJ411,BJ412),2))</f>
        <v/>
      </c>
      <c r="AZ412" s="79" t="str">
        <f aca="false">IF(AM412="","",ROUND(AY412+AM412,2))</f>
        <v/>
      </c>
      <c r="BA412" s="79" t="str">
        <f aca="false">IF(B412="","",ROUND(SUMIFS(AM$5:AM411,B$5:B411,"&gt;="&amp;(B412-WEEKDAY(B412,2)+1),B$5:B411,"&lt;="&amp;B412,BJ$5:BJ411,BJ412),2))</f>
        <v/>
      </c>
      <c r="BB412" s="68" t="str">
        <f aca="false">IF(B412="","",IF(AND(AF412&lt;&gt;"",AV412&lt;&gt;"",N(AF412)&gt;N(AV412)*(1+Settings!$C$13)),"Oversized",IF(AX412&gt;Settings!$C$10,"Overtraded",IF(AY412&lt;=-Settings!$C$11*(AW412-AY412),"Daily loss hit",IF(BA412&lt;=-Settings!$C$12*(AW412-BA412),"Weekly loss hit","OK")))))</f>
        <v/>
      </c>
      <c r="BC412" s="69"/>
      <c r="BD412" s="69"/>
      <c r="BE412" s="69"/>
      <c r="BF412" s="73"/>
      <c r="BG412" s="73"/>
      <c r="BH412" s="71"/>
      <c r="BI412" s="71"/>
      <c r="BJ412" s="68" t="str">
        <f aca="false">IF(B412="","",IF(E412="",Settings!$F$5,E412))</f>
        <v/>
      </c>
      <c r="BK412" s="76" t="str">
        <f aca="false">IF(B412="","",IFERROR(INDEX(Settings!$G$5:$G$10,MATCH(BJ412,Settings!$F$5:$F$10,0)),Settings!$G$5))</f>
        <v/>
      </c>
      <c r="BL412" s="82" t="str">
        <f aca="false">IF(I412="","",IFERROR(1/(1/INDEX(Lists!$C$6:$C$17,MATCH(I412,Lists!$B$6:$B$17,0))),""))</f>
        <v/>
      </c>
      <c r="BM412" s="81" t="str">
        <f aca="false">IF(I412="","",IFERROR(1/(1/INDEX(Lists!$D$6:$D$17,MATCH(I412,Lists!$B$6:$B$17,0))),""))</f>
        <v/>
      </c>
      <c r="BN412" s="76" t="str">
        <f aca="false">IF(AN412="","",MAX(BK412,_xlfn.MAXIFS(AN$6:AN412,BJ$6:BJ412,BJ412)))</f>
        <v/>
      </c>
      <c r="BO412" s="83" t="str">
        <f aca="false">IF(AN412="","",(AN412-BN412)/BN412)</f>
        <v/>
      </c>
      <c r="BP412" s="66" t="n">
        <f aca="false">IF(OR(B412="",AL412=""),0,IF(OR(Settings!$C$28="All Accounts",BJ412=Settings!$C$28),1,0))</f>
        <v>0</v>
      </c>
      <c r="BQ412" s="66" t="str">
        <f aca="false">IF(BP412=1,SUM(BP$6:BP412),"")</f>
        <v/>
      </c>
      <c r="BR412" s="76" t="str">
        <f aca="false">IF(BP412=1,ROUND(Settings!$C$29+SUMIFS(AM$6:AM412,BP$6:BP412,1),2),"")</f>
        <v/>
      </c>
      <c r="BS412" s="76" t="str">
        <f aca="false">IF(BP412=1,MAX(Settings!$C$29,MAX(BR$6:BR412)),"")</f>
        <v/>
      </c>
      <c r="BT412" s="83" t="str">
        <f aca="false">IF(BP412=1,(BR412-BS412)/BS412,"")</f>
        <v/>
      </c>
      <c r="BU412" s="66" t="str">
        <f aca="false">IF(BP412=1,IF(AL412="Win",1+IF(BQ412=1,0,INDEX(BU$5:BU411,MATCH(BQ412-1,BQ$5:BQ411,0))),0),"")</f>
        <v/>
      </c>
      <c r="BV412" s="66" t="str">
        <f aca="false">IF(BP412=1,IF(AL412="Loss",1+IF(BQ412=1,0,INDEX(BV$5:BV411,MATCH(BQ412-1,BQ$5:BQ411,0))),0),"")</f>
        <v/>
      </c>
    </row>
    <row r="413" customFormat="false" ht="15" hidden="false" customHeight="false" outlineLevel="0" collapsed="false">
      <c r="A413" s="66" t="str">
        <f aca="false">IF(B413="","",ROW()-5)</f>
        <v/>
      </c>
      <c r="B413" s="67"/>
      <c r="C413" s="68" t="str">
        <f aca="false">IF(B413="","",CHOOSE(WEEKDAY(B413,2),"Mon","Tue","Wed","Thu","Fri","Sat","Sun"))</f>
        <v/>
      </c>
      <c r="D413" s="66" t="str">
        <f aca="false">IF(B413="","",WEEKNUM(B413,2))</f>
        <v/>
      </c>
      <c r="E413" s="69"/>
      <c r="F413" s="69"/>
      <c r="G413" s="70"/>
      <c r="H413" s="70"/>
      <c r="I413" s="69"/>
      <c r="J413" s="69"/>
      <c r="K413" s="69"/>
      <c r="L413" s="71"/>
      <c r="M413" s="69"/>
      <c r="N413" s="69"/>
      <c r="O413" s="69"/>
      <c r="P413" s="71"/>
      <c r="Q413" s="69"/>
      <c r="R413" s="69"/>
      <c r="S413" s="69"/>
      <c r="T413" s="69"/>
      <c r="U413" s="69"/>
      <c r="V413" s="69"/>
      <c r="W413" s="69"/>
      <c r="X413" s="66" t="str">
        <f aca="false">IF(B413="","",COUNTIF(Q413:W413,"Yes"))</f>
        <v/>
      </c>
      <c r="Y413" s="68" t="str">
        <f aca="false">IF(B413="","",IF(X413&gt;=Settings!$C$16,"A+",IF(X413&gt;=Settings!$C$17,"A",IF(X413&gt;=Settings!$C$18,"B","C"))))</f>
        <v/>
      </c>
      <c r="Z413" s="72"/>
      <c r="AA413" s="72"/>
      <c r="AB413" s="72"/>
      <c r="AC413" s="72"/>
      <c r="AD413" s="72"/>
      <c r="AE413" s="72"/>
      <c r="AF413" s="73"/>
      <c r="AG413" s="74"/>
      <c r="AH413" s="75"/>
      <c r="AI413" s="76" t="str">
        <f aca="false">IF(B413="","",ROUND(IF(AG413="",Settings!$C$5,AG413)*AW413,2))</f>
        <v/>
      </c>
      <c r="AJ413" s="77" t="str">
        <f aca="false">IF(OR(B413="",AB413="",AC413="",AD413=""),"",IFERROR(ROUND(ABS(AD413-AB413)/ABS(AB413-AC413),2),""))</f>
        <v/>
      </c>
      <c r="AK413" s="78" t="str">
        <f aca="false">IF(OR(B413="",AB413="",AC413="",AE413=""),"",IFERROR(ROUND(IF(J413="Short",AB413-AE413,AE413-AB413)/ABS(AB413-AC413),2),""))</f>
        <v/>
      </c>
      <c r="AL413" s="68" t="str">
        <f aca="false">IF(AK413="","",IF(ABS(AK413)&lt;=Settings!$C$6,"BE",IF(AK413&gt;0,"Win","Loss")))</f>
        <v/>
      </c>
      <c r="AM413" s="79" t="str">
        <f aca="false">IF(OR(AK413="",AI413=""),"",ROUND(AK413*AI413-N(AH413),2))</f>
        <v/>
      </c>
      <c r="AN413" s="76" t="str">
        <f aca="false">IF(AM413="","",ROUND(BK413+SUMIFS(AM$6:AM413,BJ$6:BJ413,BJ413),2))</f>
        <v/>
      </c>
      <c r="AO413" s="78" t="str">
        <f aca="false">IF(AK413="","",ROUND(SUMIFS(AK$6:AK413,BJ$6:BJ413,BJ413),2))</f>
        <v/>
      </c>
      <c r="AP413" s="80" t="str">
        <f aca="false">IF(OR(AK413="",BL413=""),"",IFERROR(ROUND(IF(J413="Short",AB413-AE413,AE413-AB413)/BL413,1),""))</f>
        <v/>
      </c>
      <c r="AQ413" s="66" t="str">
        <f aca="false">IF(OR(G413="",H413=""),"",ROUND(MOD(H413-G413,1)*1440,0))</f>
        <v/>
      </c>
      <c r="AR413" s="68" t="str">
        <f aca="false">IF(AQ413="","",IF(AQ413&lt;15,"Under 15m",IF(AQ413&lt;60,"15-60m",IF(AQ413&lt;240,"1-4 hours","4+ hours"))))</f>
        <v/>
      </c>
      <c r="AS413" s="66" t="str">
        <f aca="false">IF(G413="","",HOUR(G413))</f>
        <v/>
      </c>
      <c r="AT413" s="80" t="str">
        <f aca="false">IF(OR(Z413="",AB413="",BL413=""),"",IFERROR(ROUND(IF(J413="Short",Z413-AB413,AB413-Z413)/BL413,1),""))</f>
        <v/>
      </c>
      <c r="AU413" s="68" t="str">
        <f aca="false">IF(OR(AA413="",AC413=""),"",IF(AA413=AC413,"No","Yes"))</f>
        <v/>
      </c>
      <c r="AV413" s="81" t="str">
        <f aca="false">IF(OR(B413="",BL413="",BM413="",AB413="",AC413=""),"",IFERROR(ROUND(AI413/(ABS(AB413-AC413)/BL413*BM413),2),""))</f>
        <v/>
      </c>
      <c r="AW413" s="76" t="str">
        <f aca="false">IF(B413="","",ROUND(BK413+SUMIFS(AM$5:AM412,BJ$5:BJ412,BJ413),2))</f>
        <v/>
      </c>
      <c r="AX413" s="66" t="str">
        <f aca="false">IF(B413="","",COUNTIFS(B$6:B413,B413,BJ$6:BJ413,BJ413))</f>
        <v/>
      </c>
      <c r="AY413" s="79" t="str">
        <f aca="false">IF(B413="","",ROUND(SUMIFS(AM$5:AM412,B$5:B412,B413,BJ$5:BJ412,BJ413),2))</f>
        <v/>
      </c>
      <c r="AZ413" s="79" t="str">
        <f aca="false">IF(AM413="","",ROUND(AY413+AM413,2))</f>
        <v/>
      </c>
      <c r="BA413" s="79" t="str">
        <f aca="false">IF(B413="","",ROUND(SUMIFS(AM$5:AM412,B$5:B412,"&gt;="&amp;(B413-WEEKDAY(B413,2)+1),B$5:B412,"&lt;="&amp;B413,BJ$5:BJ412,BJ413),2))</f>
        <v/>
      </c>
      <c r="BB413" s="68" t="str">
        <f aca="false">IF(B413="","",IF(AND(AF413&lt;&gt;"",AV413&lt;&gt;"",N(AF413)&gt;N(AV413)*(1+Settings!$C$13)),"Oversized",IF(AX413&gt;Settings!$C$10,"Overtraded",IF(AY413&lt;=-Settings!$C$11*(AW413-AY413),"Daily loss hit",IF(BA413&lt;=-Settings!$C$12*(AW413-BA413),"Weekly loss hit","OK")))))</f>
        <v/>
      </c>
      <c r="BC413" s="69"/>
      <c r="BD413" s="69"/>
      <c r="BE413" s="69"/>
      <c r="BF413" s="73"/>
      <c r="BG413" s="73"/>
      <c r="BH413" s="71"/>
      <c r="BI413" s="71"/>
      <c r="BJ413" s="68" t="str">
        <f aca="false">IF(B413="","",IF(E413="",Settings!$F$5,E413))</f>
        <v/>
      </c>
      <c r="BK413" s="76" t="str">
        <f aca="false">IF(B413="","",IFERROR(INDEX(Settings!$G$5:$G$10,MATCH(BJ413,Settings!$F$5:$F$10,0)),Settings!$G$5))</f>
        <v/>
      </c>
      <c r="BL413" s="82" t="str">
        <f aca="false">IF(I413="","",IFERROR(1/(1/INDEX(Lists!$C$6:$C$17,MATCH(I413,Lists!$B$6:$B$17,0))),""))</f>
        <v/>
      </c>
      <c r="BM413" s="81" t="str">
        <f aca="false">IF(I413="","",IFERROR(1/(1/INDEX(Lists!$D$6:$D$17,MATCH(I413,Lists!$B$6:$B$17,0))),""))</f>
        <v/>
      </c>
      <c r="BN413" s="76" t="str">
        <f aca="false">IF(AN413="","",MAX(BK413,_xlfn.MAXIFS(AN$6:AN413,BJ$6:BJ413,BJ413)))</f>
        <v/>
      </c>
      <c r="BO413" s="83" t="str">
        <f aca="false">IF(AN413="","",(AN413-BN413)/BN413)</f>
        <v/>
      </c>
      <c r="BP413" s="66" t="n">
        <f aca="false">IF(OR(B413="",AL413=""),0,IF(OR(Settings!$C$28="All Accounts",BJ413=Settings!$C$28),1,0))</f>
        <v>0</v>
      </c>
      <c r="BQ413" s="66" t="str">
        <f aca="false">IF(BP413=1,SUM(BP$6:BP413),"")</f>
        <v/>
      </c>
      <c r="BR413" s="76" t="str">
        <f aca="false">IF(BP413=1,ROUND(Settings!$C$29+SUMIFS(AM$6:AM413,BP$6:BP413,1),2),"")</f>
        <v/>
      </c>
      <c r="BS413" s="76" t="str">
        <f aca="false">IF(BP413=1,MAX(Settings!$C$29,MAX(BR$6:BR413)),"")</f>
        <v/>
      </c>
      <c r="BT413" s="83" t="str">
        <f aca="false">IF(BP413=1,(BR413-BS413)/BS413,"")</f>
        <v/>
      </c>
      <c r="BU413" s="66" t="str">
        <f aca="false">IF(BP413=1,IF(AL413="Win",1+IF(BQ413=1,0,INDEX(BU$5:BU412,MATCH(BQ413-1,BQ$5:BQ412,0))),0),"")</f>
        <v/>
      </c>
      <c r="BV413" s="66" t="str">
        <f aca="false">IF(BP413=1,IF(AL413="Loss",1+IF(BQ413=1,0,INDEX(BV$5:BV412,MATCH(BQ413-1,BQ$5:BQ412,0))),0),"")</f>
        <v/>
      </c>
    </row>
    <row r="414" customFormat="false" ht="15" hidden="false" customHeight="false" outlineLevel="0" collapsed="false">
      <c r="A414" s="66" t="str">
        <f aca="false">IF(B414="","",ROW()-5)</f>
        <v/>
      </c>
      <c r="B414" s="67"/>
      <c r="C414" s="68" t="str">
        <f aca="false">IF(B414="","",CHOOSE(WEEKDAY(B414,2),"Mon","Tue","Wed","Thu","Fri","Sat","Sun"))</f>
        <v/>
      </c>
      <c r="D414" s="66" t="str">
        <f aca="false">IF(B414="","",WEEKNUM(B414,2))</f>
        <v/>
      </c>
      <c r="E414" s="69"/>
      <c r="F414" s="69"/>
      <c r="G414" s="70"/>
      <c r="H414" s="70"/>
      <c r="I414" s="69"/>
      <c r="J414" s="69"/>
      <c r="K414" s="69"/>
      <c r="L414" s="71"/>
      <c r="M414" s="69"/>
      <c r="N414" s="69"/>
      <c r="O414" s="69"/>
      <c r="P414" s="71"/>
      <c r="Q414" s="69"/>
      <c r="R414" s="69"/>
      <c r="S414" s="69"/>
      <c r="T414" s="69"/>
      <c r="U414" s="69"/>
      <c r="V414" s="69"/>
      <c r="W414" s="69"/>
      <c r="X414" s="66" t="str">
        <f aca="false">IF(B414="","",COUNTIF(Q414:W414,"Yes"))</f>
        <v/>
      </c>
      <c r="Y414" s="68" t="str">
        <f aca="false">IF(B414="","",IF(X414&gt;=Settings!$C$16,"A+",IF(X414&gt;=Settings!$C$17,"A",IF(X414&gt;=Settings!$C$18,"B","C"))))</f>
        <v/>
      </c>
      <c r="Z414" s="72"/>
      <c r="AA414" s="72"/>
      <c r="AB414" s="72"/>
      <c r="AC414" s="72"/>
      <c r="AD414" s="72"/>
      <c r="AE414" s="72"/>
      <c r="AF414" s="73"/>
      <c r="AG414" s="74"/>
      <c r="AH414" s="75"/>
      <c r="AI414" s="76" t="str">
        <f aca="false">IF(B414="","",ROUND(IF(AG414="",Settings!$C$5,AG414)*AW414,2))</f>
        <v/>
      </c>
      <c r="AJ414" s="77" t="str">
        <f aca="false">IF(OR(B414="",AB414="",AC414="",AD414=""),"",IFERROR(ROUND(ABS(AD414-AB414)/ABS(AB414-AC414),2),""))</f>
        <v/>
      </c>
      <c r="AK414" s="78" t="str">
        <f aca="false">IF(OR(B414="",AB414="",AC414="",AE414=""),"",IFERROR(ROUND(IF(J414="Short",AB414-AE414,AE414-AB414)/ABS(AB414-AC414),2),""))</f>
        <v/>
      </c>
      <c r="AL414" s="68" t="str">
        <f aca="false">IF(AK414="","",IF(ABS(AK414)&lt;=Settings!$C$6,"BE",IF(AK414&gt;0,"Win","Loss")))</f>
        <v/>
      </c>
      <c r="AM414" s="79" t="str">
        <f aca="false">IF(OR(AK414="",AI414=""),"",ROUND(AK414*AI414-N(AH414),2))</f>
        <v/>
      </c>
      <c r="AN414" s="76" t="str">
        <f aca="false">IF(AM414="","",ROUND(BK414+SUMIFS(AM$6:AM414,BJ$6:BJ414,BJ414),2))</f>
        <v/>
      </c>
      <c r="AO414" s="78" t="str">
        <f aca="false">IF(AK414="","",ROUND(SUMIFS(AK$6:AK414,BJ$6:BJ414,BJ414),2))</f>
        <v/>
      </c>
      <c r="AP414" s="80" t="str">
        <f aca="false">IF(OR(AK414="",BL414=""),"",IFERROR(ROUND(IF(J414="Short",AB414-AE414,AE414-AB414)/BL414,1),""))</f>
        <v/>
      </c>
      <c r="AQ414" s="66" t="str">
        <f aca="false">IF(OR(G414="",H414=""),"",ROUND(MOD(H414-G414,1)*1440,0))</f>
        <v/>
      </c>
      <c r="AR414" s="68" t="str">
        <f aca="false">IF(AQ414="","",IF(AQ414&lt;15,"Under 15m",IF(AQ414&lt;60,"15-60m",IF(AQ414&lt;240,"1-4 hours","4+ hours"))))</f>
        <v/>
      </c>
      <c r="AS414" s="66" t="str">
        <f aca="false">IF(G414="","",HOUR(G414))</f>
        <v/>
      </c>
      <c r="AT414" s="80" t="str">
        <f aca="false">IF(OR(Z414="",AB414="",BL414=""),"",IFERROR(ROUND(IF(J414="Short",Z414-AB414,AB414-Z414)/BL414,1),""))</f>
        <v/>
      </c>
      <c r="AU414" s="68" t="str">
        <f aca="false">IF(OR(AA414="",AC414=""),"",IF(AA414=AC414,"No","Yes"))</f>
        <v/>
      </c>
      <c r="AV414" s="81" t="str">
        <f aca="false">IF(OR(B414="",BL414="",BM414="",AB414="",AC414=""),"",IFERROR(ROUND(AI414/(ABS(AB414-AC414)/BL414*BM414),2),""))</f>
        <v/>
      </c>
      <c r="AW414" s="76" t="str">
        <f aca="false">IF(B414="","",ROUND(BK414+SUMIFS(AM$5:AM413,BJ$5:BJ413,BJ414),2))</f>
        <v/>
      </c>
      <c r="AX414" s="66" t="str">
        <f aca="false">IF(B414="","",COUNTIFS(B$6:B414,B414,BJ$6:BJ414,BJ414))</f>
        <v/>
      </c>
      <c r="AY414" s="79" t="str">
        <f aca="false">IF(B414="","",ROUND(SUMIFS(AM$5:AM413,B$5:B413,B414,BJ$5:BJ413,BJ414),2))</f>
        <v/>
      </c>
      <c r="AZ414" s="79" t="str">
        <f aca="false">IF(AM414="","",ROUND(AY414+AM414,2))</f>
        <v/>
      </c>
      <c r="BA414" s="79" t="str">
        <f aca="false">IF(B414="","",ROUND(SUMIFS(AM$5:AM413,B$5:B413,"&gt;="&amp;(B414-WEEKDAY(B414,2)+1),B$5:B413,"&lt;="&amp;B414,BJ$5:BJ413,BJ414),2))</f>
        <v/>
      </c>
      <c r="BB414" s="68" t="str">
        <f aca="false">IF(B414="","",IF(AND(AF414&lt;&gt;"",AV414&lt;&gt;"",N(AF414)&gt;N(AV414)*(1+Settings!$C$13)),"Oversized",IF(AX414&gt;Settings!$C$10,"Overtraded",IF(AY414&lt;=-Settings!$C$11*(AW414-AY414),"Daily loss hit",IF(BA414&lt;=-Settings!$C$12*(AW414-BA414),"Weekly loss hit","OK")))))</f>
        <v/>
      </c>
      <c r="BC414" s="69"/>
      <c r="BD414" s="69"/>
      <c r="BE414" s="69"/>
      <c r="BF414" s="73"/>
      <c r="BG414" s="73"/>
      <c r="BH414" s="71"/>
      <c r="BI414" s="71"/>
      <c r="BJ414" s="68" t="str">
        <f aca="false">IF(B414="","",IF(E414="",Settings!$F$5,E414))</f>
        <v/>
      </c>
      <c r="BK414" s="76" t="str">
        <f aca="false">IF(B414="","",IFERROR(INDEX(Settings!$G$5:$G$10,MATCH(BJ414,Settings!$F$5:$F$10,0)),Settings!$G$5))</f>
        <v/>
      </c>
      <c r="BL414" s="82" t="str">
        <f aca="false">IF(I414="","",IFERROR(1/(1/INDEX(Lists!$C$6:$C$17,MATCH(I414,Lists!$B$6:$B$17,0))),""))</f>
        <v/>
      </c>
      <c r="BM414" s="81" t="str">
        <f aca="false">IF(I414="","",IFERROR(1/(1/INDEX(Lists!$D$6:$D$17,MATCH(I414,Lists!$B$6:$B$17,0))),""))</f>
        <v/>
      </c>
      <c r="BN414" s="76" t="str">
        <f aca="false">IF(AN414="","",MAX(BK414,_xlfn.MAXIFS(AN$6:AN414,BJ$6:BJ414,BJ414)))</f>
        <v/>
      </c>
      <c r="BO414" s="83" t="str">
        <f aca="false">IF(AN414="","",(AN414-BN414)/BN414)</f>
        <v/>
      </c>
      <c r="BP414" s="66" t="n">
        <f aca="false">IF(OR(B414="",AL414=""),0,IF(OR(Settings!$C$28="All Accounts",BJ414=Settings!$C$28),1,0))</f>
        <v>0</v>
      </c>
      <c r="BQ414" s="66" t="str">
        <f aca="false">IF(BP414=1,SUM(BP$6:BP414),"")</f>
        <v/>
      </c>
      <c r="BR414" s="76" t="str">
        <f aca="false">IF(BP414=1,ROUND(Settings!$C$29+SUMIFS(AM$6:AM414,BP$6:BP414,1),2),"")</f>
        <v/>
      </c>
      <c r="BS414" s="76" t="str">
        <f aca="false">IF(BP414=1,MAX(Settings!$C$29,MAX(BR$6:BR414)),"")</f>
        <v/>
      </c>
      <c r="BT414" s="83" t="str">
        <f aca="false">IF(BP414=1,(BR414-BS414)/BS414,"")</f>
        <v/>
      </c>
      <c r="BU414" s="66" t="str">
        <f aca="false">IF(BP414=1,IF(AL414="Win",1+IF(BQ414=1,0,INDEX(BU$5:BU413,MATCH(BQ414-1,BQ$5:BQ413,0))),0),"")</f>
        <v/>
      </c>
      <c r="BV414" s="66" t="str">
        <f aca="false">IF(BP414=1,IF(AL414="Loss",1+IF(BQ414=1,0,INDEX(BV$5:BV413,MATCH(BQ414-1,BQ$5:BQ413,0))),0),"")</f>
        <v/>
      </c>
    </row>
    <row r="415" customFormat="false" ht="15" hidden="false" customHeight="false" outlineLevel="0" collapsed="false">
      <c r="A415" s="66" t="str">
        <f aca="false">IF(B415="","",ROW()-5)</f>
        <v/>
      </c>
      <c r="B415" s="67"/>
      <c r="C415" s="68" t="str">
        <f aca="false">IF(B415="","",CHOOSE(WEEKDAY(B415,2),"Mon","Tue","Wed","Thu","Fri","Sat","Sun"))</f>
        <v/>
      </c>
      <c r="D415" s="66" t="str">
        <f aca="false">IF(B415="","",WEEKNUM(B415,2))</f>
        <v/>
      </c>
      <c r="E415" s="69"/>
      <c r="F415" s="69"/>
      <c r="G415" s="70"/>
      <c r="H415" s="70"/>
      <c r="I415" s="69"/>
      <c r="J415" s="69"/>
      <c r="K415" s="69"/>
      <c r="L415" s="71"/>
      <c r="M415" s="69"/>
      <c r="N415" s="69"/>
      <c r="O415" s="69"/>
      <c r="P415" s="71"/>
      <c r="Q415" s="69"/>
      <c r="R415" s="69"/>
      <c r="S415" s="69"/>
      <c r="T415" s="69"/>
      <c r="U415" s="69"/>
      <c r="V415" s="69"/>
      <c r="W415" s="69"/>
      <c r="X415" s="66" t="str">
        <f aca="false">IF(B415="","",COUNTIF(Q415:W415,"Yes"))</f>
        <v/>
      </c>
      <c r="Y415" s="68" t="str">
        <f aca="false">IF(B415="","",IF(X415&gt;=Settings!$C$16,"A+",IF(X415&gt;=Settings!$C$17,"A",IF(X415&gt;=Settings!$C$18,"B","C"))))</f>
        <v/>
      </c>
      <c r="Z415" s="72"/>
      <c r="AA415" s="72"/>
      <c r="AB415" s="72"/>
      <c r="AC415" s="72"/>
      <c r="AD415" s="72"/>
      <c r="AE415" s="72"/>
      <c r="AF415" s="73"/>
      <c r="AG415" s="74"/>
      <c r="AH415" s="75"/>
      <c r="AI415" s="76" t="str">
        <f aca="false">IF(B415="","",ROUND(IF(AG415="",Settings!$C$5,AG415)*AW415,2))</f>
        <v/>
      </c>
      <c r="AJ415" s="77" t="str">
        <f aca="false">IF(OR(B415="",AB415="",AC415="",AD415=""),"",IFERROR(ROUND(ABS(AD415-AB415)/ABS(AB415-AC415),2),""))</f>
        <v/>
      </c>
      <c r="AK415" s="78" t="str">
        <f aca="false">IF(OR(B415="",AB415="",AC415="",AE415=""),"",IFERROR(ROUND(IF(J415="Short",AB415-AE415,AE415-AB415)/ABS(AB415-AC415),2),""))</f>
        <v/>
      </c>
      <c r="AL415" s="68" t="str">
        <f aca="false">IF(AK415="","",IF(ABS(AK415)&lt;=Settings!$C$6,"BE",IF(AK415&gt;0,"Win","Loss")))</f>
        <v/>
      </c>
      <c r="AM415" s="79" t="str">
        <f aca="false">IF(OR(AK415="",AI415=""),"",ROUND(AK415*AI415-N(AH415),2))</f>
        <v/>
      </c>
      <c r="AN415" s="76" t="str">
        <f aca="false">IF(AM415="","",ROUND(BK415+SUMIFS(AM$6:AM415,BJ$6:BJ415,BJ415),2))</f>
        <v/>
      </c>
      <c r="AO415" s="78" t="str">
        <f aca="false">IF(AK415="","",ROUND(SUMIFS(AK$6:AK415,BJ$6:BJ415,BJ415),2))</f>
        <v/>
      </c>
      <c r="AP415" s="80" t="str">
        <f aca="false">IF(OR(AK415="",BL415=""),"",IFERROR(ROUND(IF(J415="Short",AB415-AE415,AE415-AB415)/BL415,1),""))</f>
        <v/>
      </c>
      <c r="AQ415" s="66" t="str">
        <f aca="false">IF(OR(G415="",H415=""),"",ROUND(MOD(H415-G415,1)*1440,0))</f>
        <v/>
      </c>
      <c r="AR415" s="68" t="str">
        <f aca="false">IF(AQ415="","",IF(AQ415&lt;15,"Under 15m",IF(AQ415&lt;60,"15-60m",IF(AQ415&lt;240,"1-4 hours","4+ hours"))))</f>
        <v/>
      </c>
      <c r="AS415" s="66" t="str">
        <f aca="false">IF(G415="","",HOUR(G415))</f>
        <v/>
      </c>
      <c r="AT415" s="80" t="str">
        <f aca="false">IF(OR(Z415="",AB415="",BL415=""),"",IFERROR(ROUND(IF(J415="Short",Z415-AB415,AB415-Z415)/BL415,1),""))</f>
        <v/>
      </c>
      <c r="AU415" s="68" t="str">
        <f aca="false">IF(OR(AA415="",AC415=""),"",IF(AA415=AC415,"No","Yes"))</f>
        <v/>
      </c>
      <c r="AV415" s="81" t="str">
        <f aca="false">IF(OR(B415="",BL415="",BM415="",AB415="",AC415=""),"",IFERROR(ROUND(AI415/(ABS(AB415-AC415)/BL415*BM415),2),""))</f>
        <v/>
      </c>
      <c r="AW415" s="76" t="str">
        <f aca="false">IF(B415="","",ROUND(BK415+SUMIFS(AM$5:AM414,BJ$5:BJ414,BJ415),2))</f>
        <v/>
      </c>
      <c r="AX415" s="66" t="str">
        <f aca="false">IF(B415="","",COUNTIFS(B$6:B415,B415,BJ$6:BJ415,BJ415))</f>
        <v/>
      </c>
      <c r="AY415" s="79" t="str">
        <f aca="false">IF(B415="","",ROUND(SUMIFS(AM$5:AM414,B$5:B414,B415,BJ$5:BJ414,BJ415),2))</f>
        <v/>
      </c>
      <c r="AZ415" s="79" t="str">
        <f aca="false">IF(AM415="","",ROUND(AY415+AM415,2))</f>
        <v/>
      </c>
      <c r="BA415" s="79" t="str">
        <f aca="false">IF(B415="","",ROUND(SUMIFS(AM$5:AM414,B$5:B414,"&gt;="&amp;(B415-WEEKDAY(B415,2)+1),B$5:B414,"&lt;="&amp;B415,BJ$5:BJ414,BJ415),2))</f>
        <v/>
      </c>
      <c r="BB415" s="68" t="str">
        <f aca="false">IF(B415="","",IF(AND(AF415&lt;&gt;"",AV415&lt;&gt;"",N(AF415)&gt;N(AV415)*(1+Settings!$C$13)),"Oversized",IF(AX415&gt;Settings!$C$10,"Overtraded",IF(AY415&lt;=-Settings!$C$11*(AW415-AY415),"Daily loss hit",IF(BA415&lt;=-Settings!$C$12*(AW415-BA415),"Weekly loss hit","OK")))))</f>
        <v/>
      </c>
      <c r="BC415" s="69"/>
      <c r="BD415" s="69"/>
      <c r="BE415" s="69"/>
      <c r="BF415" s="73"/>
      <c r="BG415" s="73"/>
      <c r="BH415" s="71"/>
      <c r="BI415" s="71"/>
      <c r="BJ415" s="68" t="str">
        <f aca="false">IF(B415="","",IF(E415="",Settings!$F$5,E415))</f>
        <v/>
      </c>
      <c r="BK415" s="76" t="str">
        <f aca="false">IF(B415="","",IFERROR(INDEX(Settings!$G$5:$G$10,MATCH(BJ415,Settings!$F$5:$F$10,0)),Settings!$G$5))</f>
        <v/>
      </c>
      <c r="BL415" s="82" t="str">
        <f aca="false">IF(I415="","",IFERROR(1/(1/INDEX(Lists!$C$6:$C$17,MATCH(I415,Lists!$B$6:$B$17,0))),""))</f>
        <v/>
      </c>
      <c r="BM415" s="81" t="str">
        <f aca="false">IF(I415="","",IFERROR(1/(1/INDEX(Lists!$D$6:$D$17,MATCH(I415,Lists!$B$6:$B$17,0))),""))</f>
        <v/>
      </c>
      <c r="BN415" s="76" t="str">
        <f aca="false">IF(AN415="","",MAX(BK415,_xlfn.MAXIFS(AN$6:AN415,BJ$6:BJ415,BJ415)))</f>
        <v/>
      </c>
      <c r="BO415" s="83" t="str">
        <f aca="false">IF(AN415="","",(AN415-BN415)/BN415)</f>
        <v/>
      </c>
      <c r="BP415" s="66" t="n">
        <f aca="false">IF(OR(B415="",AL415=""),0,IF(OR(Settings!$C$28="All Accounts",BJ415=Settings!$C$28),1,0))</f>
        <v>0</v>
      </c>
      <c r="BQ415" s="66" t="str">
        <f aca="false">IF(BP415=1,SUM(BP$6:BP415),"")</f>
        <v/>
      </c>
      <c r="BR415" s="76" t="str">
        <f aca="false">IF(BP415=1,ROUND(Settings!$C$29+SUMIFS(AM$6:AM415,BP$6:BP415,1),2),"")</f>
        <v/>
      </c>
      <c r="BS415" s="76" t="str">
        <f aca="false">IF(BP415=1,MAX(Settings!$C$29,MAX(BR$6:BR415)),"")</f>
        <v/>
      </c>
      <c r="BT415" s="83" t="str">
        <f aca="false">IF(BP415=1,(BR415-BS415)/BS415,"")</f>
        <v/>
      </c>
      <c r="BU415" s="66" t="str">
        <f aca="false">IF(BP415=1,IF(AL415="Win",1+IF(BQ415=1,0,INDEX(BU$5:BU414,MATCH(BQ415-1,BQ$5:BQ414,0))),0),"")</f>
        <v/>
      </c>
      <c r="BV415" s="66" t="str">
        <f aca="false">IF(BP415=1,IF(AL415="Loss",1+IF(BQ415=1,0,INDEX(BV$5:BV414,MATCH(BQ415-1,BQ$5:BQ414,0))),0),"")</f>
        <v/>
      </c>
    </row>
    <row r="416" customFormat="false" ht="15" hidden="false" customHeight="false" outlineLevel="0" collapsed="false">
      <c r="A416" s="66" t="str">
        <f aca="false">IF(B416="","",ROW()-5)</f>
        <v/>
      </c>
      <c r="B416" s="67"/>
      <c r="C416" s="68" t="str">
        <f aca="false">IF(B416="","",CHOOSE(WEEKDAY(B416,2),"Mon","Tue","Wed","Thu","Fri","Sat","Sun"))</f>
        <v/>
      </c>
      <c r="D416" s="66" t="str">
        <f aca="false">IF(B416="","",WEEKNUM(B416,2))</f>
        <v/>
      </c>
      <c r="E416" s="69"/>
      <c r="F416" s="69"/>
      <c r="G416" s="70"/>
      <c r="H416" s="70"/>
      <c r="I416" s="69"/>
      <c r="J416" s="69"/>
      <c r="K416" s="69"/>
      <c r="L416" s="71"/>
      <c r="M416" s="69"/>
      <c r="N416" s="69"/>
      <c r="O416" s="69"/>
      <c r="P416" s="71"/>
      <c r="Q416" s="69"/>
      <c r="R416" s="69"/>
      <c r="S416" s="69"/>
      <c r="T416" s="69"/>
      <c r="U416" s="69"/>
      <c r="V416" s="69"/>
      <c r="W416" s="69"/>
      <c r="X416" s="66" t="str">
        <f aca="false">IF(B416="","",COUNTIF(Q416:W416,"Yes"))</f>
        <v/>
      </c>
      <c r="Y416" s="68" t="str">
        <f aca="false">IF(B416="","",IF(X416&gt;=Settings!$C$16,"A+",IF(X416&gt;=Settings!$C$17,"A",IF(X416&gt;=Settings!$C$18,"B","C"))))</f>
        <v/>
      </c>
      <c r="Z416" s="72"/>
      <c r="AA416" s="72"/>
      <c r="AB416" s="72"/>
      <c r="AC416" s="72"/>
      <c r="AD416" s="72"/>
      <c r="AE416" s="72"/>
      <c r="AF416" s="73"/>
      <c r="AG416" s="74"/>
      <c r="AH416" s="75"/>
      <c r="AI416" s="76" t="str">
        <f aca="false">IF(B416="","",ROUND(IF(AG416="",Settings!$C$5,AG416)*AW416,2))</f>
        <v/>
      </c>
      <c r="AJ416" s="77" t="str">
        <f aca="false">IF(OR(B416="",AB416="",AC416="",AD416=""),"",IFERROR(ROUND(ABS(AD416-AB416)/ABS(AB416-AC416),2),""))</f>
        <v/>
      </c>
      <c r="AK416" s="78" t="str">
        <f aca="false">IF(OR(B416="",AB416="",AC416="",AE416=""),"",IFERROR(ROUND(IF(J416="Short",AB416-AE416,AE416-AB416)/ABS(AB416-AC416),2),""))</f>
        <v/>
      </c>
      <c r="AL416" s="68" t="str">
        <f aca="false">IF(AK416="","",IF(ABS(AK416)&lt;=Settings!$C$6,"BE",IF(AK416&gt;0,"Win","Loss")))</f>
        <v/>
      </c>
      <c r="AM416" s="79" t="str">
        <f aca="false">IF(OR(AK416="",AI416=""),"",ROUND(AK416*AI416-N(AH416),2))</f>
        <v/>
      </c>
      <c r="AN416" s="76" t="str">
        <f aca="false">IF(AM416="","",ROUND(BK416+SUMIFS(AM$6:AM416,BJ$6:BJ416,BJ416),2))</f>
        <v/>
      </c>
      <c r="AO416" s="78" t="str">
        <f aca="false">IF(AK416="","",ROUND(SUMIFS(AK$6:AK416,BJ$6:BJ416,BJ416),2))</f>
        <v/>
      </c>
      <c r="AP416" s="80" t="str">
        <f aca="false">IF(OR(AK416="",BL416=""),"",IFERROR(ROUND(IF(J416="Short",AB416-AE416,AE416-AB416)/BL416,1),""))</f>
        <v/>
      </c>
      <c r="AQ416" s="66" t="str">
        <f aca="false">IF(OR(G416="",H416=""),"",ROUND(MOD(H416-G416,1)*1440,0))</f>
        <v/>
      </c>
      <c r="AR416" s="68" t="str">
        <f aca="false">IF(AQ416="","",IF(AQ416&lt;15,"Under 15m",IF(AQ416&lt;60,"15-60m",IF(AQ416&lt;240,"1-4 hours","4+ hours"))))</f>
        <v/>
      </c>
      <c r="AS416" s="66" t="str">
        <f aca="false">IF(G416="","",HOUR(G416))</f>
        <v/>
      </c>
      <c r="AT416" s="80" t="str">
        <f aca="false">IF(OR(Z416="",AB416="",BL416=""),"",IFERROR(ROUND(IF(J416="Short",Z416-AB416,AB416-Z416)/BL416,1),""))</f>
        <v/>
      </c>
      <c r="AU416" s="68" t="str">
        <f aca="false">IF(OR(AA416="",AC416=""),"",IF(AA416=AC416,"No","Yes"))</f>
        <v/>
      </c>
      <c r="AV416" s="81" t="str">
        <f aca="false">IF(OR(B416="",BL416="",BM416="",AB416="",AC416=""),"",IFERROR(ROUND(AI416/(ABS(AB416-AC416)/BL416*BM416),2),""))</f>
        <v/>
      </c>
      <c r="AW416" s="76" t="str">
        <f aca="false">IF(B416="","",ROUND(BK416+SUMIFS(AM$5:AM415,BJ$5:BJ415,BJ416),2))</f>
        <v/>
      </c>
      <c r="AX416" s="66" t="str">
        <f aca="false">IF(B416="","",COUNTIFS(B$6:B416,B416,BJ$6:BJ416,BJ416))</f>
        <v/>
      </c>
      <c r="AY416" s="79" t="str">
        <f aca="false">IF(B416="","",ROUND(SUMIFS(AM$5:AM415,B$5:B415,B416,BJ$5:BJ415,BJ416),2))</f>
        <v/>
      </c>
      <c r="AZ416" s="79" t="str">
        <f aca="false">IF(AM416="","",ROUND(AY416+AM416,2))</f>
        <v/>
      </c>
      <c r="BA416" s="79" t="str">
        <f aca="false">IF(B416="","",ROUND(SUMIFS(AM$5:AM415,B$5:B415,"&gt;="&amp;(B416-WEEKDAY(B416,2)+1),B$5:B415,"&lt;="&amp;B416,BJ$5:BJ415,BJ416),2))</f>
        <v/>
      </c>
      <c r="BB416" s="68" t="str">
        <f aca="false">IF(B416="","",IF(AND(AF416&lt;&gt;"",AV416&lt;&gt;"",N(AF416)&gt;N(AV416)*(1+Settings!$C$13)),"Oversized",IF(AX416&gt;Settings!$C$10,"Overtraded",IF(AY416&lt;=-Settings!$C$11*(AW416-AY416),"Daily loss hit",IF(BA416&lt;=-Settings!$C$12*(AW416-BA416),"Weekly loss hit","OK")))))</f>
        <v/>
      </c>
      <c r="BC416" s="69"/>
      <c r="BD416" s="69"/>
      <c r="BE416" s="69"/>
      <c r="BF416" s="73"/>
      <c r="BG416" s="73"/>
      <c r="BH416" s="71"/>
      <c r="BI416" s="71"/>
      <c r="BJ416" s="68" t="str">
        <f aca="false">IF(B416="","",IF(E416="",Settings!$F$5,E416))</f>
        <v/>
      </c>
      <c r="BK416" s="76" t="str">
        <f aca="false">IF(B416="","",IFERROR(INDEX(Settings!$G$5:$G$10,MATCH(BJ416,Settings!$F$5:$F$10,0)),Settings!$G$5))</f>
        <v/>
      </c>
      <c r="BL416" s="82" t="str">
        <f aca="false">IF(I416="","",IFERROR(1/(1/INDEX(Lists!$C$6:$C$17,MATCH(I416,Lists!$B$6:$B$17,0))),""))</f>
        <v/>
      </c>
      <c r="BM416" s="81" t="str">
        <f aca="false">IF(I416="","",IFERROR(1/(1/INDEX(Lists!$D$6:$D$17,MATCH(I416,Lists!$B$6:$B$17,0))),""))</f>
        <v/>
      </c>
      <c r="BN416" s="76" t="str">
        <f aca="false">IF(AN416="","",MAX(BK416,_xlfn.MAXIFS(AN$6:AN416,BJ$6:BJ416,BJ416)))</f>
        <v/>
      </c>
      <c r="BO416" s="83" t="str">
        <f aca="false">IF(AN416="","",(AN416-BN416)/BN416)</f>
        <v/>
      </c>
      <c r="BP416" s="66" t="n">
        <f aca="false">IF(OR(B416="",AL416=""),0,IF(OR(Settings!$C$28="All Accounts",BJ416=Settings!$C$28),1,0))</f>
        <v>0</v>
      </c>
      <c r="BQ416" s="66" t="str">
        <f aca="false">IF(BP416=1,SUM(BP$6:BP416),"")</f>
        <v/>
      </c>
      <c r="BR416" s="76" t="str">
        <f aca="false">IF(BP416=1,ROUND(Settings!$C$29+SUMIFS(AM$6:AM416,BP$6:BP416,1),2),"")</f>
        <v/>
      </c>
      <c r="BS416" s="76" t="str">
        <f aca="false">IF(BP416=1,MAX(Settings!$C$29,MAX(BR$6:BR416)),"")</f>
        <v/>
      </c>
      <c r="BT416" s="83" t="str">
        <f aca="false">IF(BP416=1,(BR416-BS416)/BS416,"")</f>
        <v/>
      </c>
      <c r="BU416" s="66" t="str">
        <f aca="false">IF(BP416=1,IF(AL416="Win",1+IF(BQ416=1,0,INDEX(BU$5:BU415,MATCH(BQ416-1,BQ$5:BQ415,0))),0),"")</f>
        <v/>
      </c>
      <c r="BV416" s="66" t="str">
        <f aca="false">IF(BP416=1,IF(AL416="Loss",1+IF(BQ416=1,0,INDEX(BV$5:BV415,MATCH(BQ416-1,BQ$5:BQ415,0))),0),"")</f>
        <v/>
      </c>
    </row>
    <row r="417" customFormat="false" ht="15" hidden="false" customHeight="false" outlineLevel="0" collapsed="false">
      <c r="A417" s="66" t="str">
        <f aca="false">IF(B417="","",ROW()-5)</f>
        <v/>
      </c>
      <c r="B417" s="67"/>
      <c r="C417" s="68" t="str">
        <f aca="false">IF(B417="","",CHOOSE(WEEKDAY(B417,2),"Mon","Tue","Wed","Thu","Fri","Sat","Sun"))</f>
        <v/>
      </c>
      <c r="D417" s="66" t="str">
        <f aca="false">IF(B417="","",WEEKNUM(B417,2))</f>
        <v/>
      </c>
      <c r="E417" s="69"/>
      <c r="F417" s="69"/>
      <c r="G417" s="70"/>
      <c r="H417" s="70"/>
      <c r="I417" s="69"/>
      <c r="J417" s="69"/>
      <c r="K417" s="69"/>
      <c r="L417" s="71"/>
      <c r="M417" s="69"/>
      <c r="N417" s="69"/>
      <c r="O417" s="69"/>
      <c r="P417" s="71"/>
      <c r="Q417" s="69"/>
      <c r="R417" s="69"/>
      <c r="S417" s="69"/>
      <c r="T417" s="69"/>
      <c r="U417" s="69"/>
      <c r="V417" s="69"/>
      <c r="W417" s="69"/>
      <c r="X417" s="66" t="str">
        <f aca="false">IF(B417="","",COUNTIF(Q417:W417,"Yes"))</f>
        <v/>
      </c>
      <c r="Y417" s="68" t="str">
        <f aca="false">IF(B417="","",IF(X417&gt;=Settings!$C$16,"A+",IF(X417&gt;=Settings!$C$17,"A",IF(X417&gt;=Settings!$C$18,"B","C"))))</f>
        <v/>
      </c>
      <c r="Z417" s="72"/>
      <c r="AA417" s="72"/>
      <c r="AB417" s="72"/>
      <c r="AC417" s="72"/>
      <c r="AD417" s="72"/>
      <c r="AE417" s="72"/>
      <c r="AF417" s="73"/>
      <c r="AG417" s="74"/>
      <c r="AH417" s="75"/>
      <c r="AI417" s="76" t="str">
        <f aca="false">IF(B417="","",ROUND(IF(AG417="",Settings!$C$5,AG417)*AW417,2))</f>
        <v/>
      </c>
      <c r="AJ417" s="77" t="str">
        <f aca="false">IF(OR(B417="",AB417="",AC417="",AD417=""),"",IFERROR(ROUND(ABS(AD417-AB417)/ABS(AB417-AC417),2),""))</f>
        <v/>
      </c>
      <c r="AK417" s="78" t="str">
        <f aca="false">IF(OR(B417="",AB417="",AC417="",AE417=""),"",IFERROR(ROUND(IF(J417="Short",AB417-AE417,AE417-AB417)/ABS(AB417-AC417),2),""))</f>
        <v/>
      </c>
      <c r="AL417" s="68" t="str">
        <f aca="false">IF(AK417="","",IF(ABS(AK417)&lt;=Settings!$C$6,"BE",IF(AK417&gt;0,"Win","Loss")))</f>
        <v/>
      </c>
      <c r="AM417" s="79" t="str">
        <f aca="false">IF(OR(AK417="",AI417=""),"",ROUND(AK417*AI417-N(AH417),2))</f>
        <v/>
      </c>
      <c r="AN417" s="76" t="str">
        <f aca="false">IF(AM417="","",ROUND(BK417+SUMIFS(AM$6:AM417,BJ$6:BJ417,BJ417),2))</f>
        <v/>
      </c>
      <c r="AO417" s="78" t="str">
        <f aca="false">IF(AK417="","",ROUND(SUMIFS(AK$6:AK417,BJ$6:BJ417,BJ417),2))</f>
        <v/>
      </c>
      <c r="AP417" s="80" t="str">
        <f aca="false">IF(OR(AK417="",BL417=""),"",IFERROR(ROUND(IF(J417="Short",AB417-AE417,AE417-AB417)/BL417,1),""))</f>
        <v/>
      </c>
      <c r="AQ417" s="66" t="str">
        <f aca="false">IF(OR(G417="",H417=""),"",ROUND(MOD(H417-G417,1)*1440,0))</f>
        <v/>
      </c>
      <c r="AR417" s="68" t="str">
        <f aca="false">IF(AQ417="","",IF(AQ417&lt;15,"Under 15m",IF(AQ417&lt;60,"15-60m",IF(AQ417&lt;240,"1-4 hours","4+ hours"))))</f>
        <v/>
      </c>
      <c r="AS417" s="66" t="str">
        <f aca="false">IF(G417="","",HOUR(G417))</f>
        <v/>
      </c>
      <c r="AT417" s="80" t="str">
        <f aca="false">IF(OR(Z417="",AB417="",BL417=""),"",IFERROR(ROUND(IF(J417="Short",Z417-AB417,AB417-Z417)/BL417,1),""))</f>
        <v/>
      </c>
      <c r="AU417" s="68" t="str">
        <f aca="false">IF(OR(AA417="",AC417=""),"",IF(AA417=AC417,"No","Yes"))</f>
        <v/>
      </c>
      <c r="AV417" s="81" t="str">
        <f aca="false">IF(OR(B417="",BL417="",BM417="",AB417="",AC417=""),"",IFERROR(ROUND(AI417/(ABS(AB417-AC417)/BL417*BM417),2),""))</f>
        <v/>
      </c>
      <c r="AW417" s="76" t="str">
        <f aca="false">IF(B417="","",ROUND(BK417+SUMIFS(AM$5:AM416,BJ$5:BJ416,BJ417),2))</f>
        <v/>
      </c>
      <c r="AX417" s="66" t="str">
        <f aca="false">IF(B417="","",COUNTIFS(B$6:B417,B417,BJ$6:BJ417,BJ417))</f>
        <v/>
      </c>
      <c r="AY417" s="79" t="str">
        <f aca="false">IF(B417="","",ROUND(SUMIFS(AM$5:AM416,B$5:B416,B417,BJ$5:BJ416,BJ417),2))</f>
        <v/>
      </c>
      <c r="AZ417" s="79" t="str">
        <f aca="false">IF(AM417="","",ROUND(AY417+AM417,2))</f>
        <v/>
      </c>
      <c r="BA417" s="79" t="str">
        <f aca="false">IF(B417="","",ROUND(SUMIFS(AM$5:AM416,B$5:B416,"&gt;="&amp;(B417-WEEKDAY(B417,2)+1),B$5:B416,"&lt;="&amp;B417,BJ$5:BJ416,BJ417),2))</f>
        <v/>
      </c>
      <c r="BB417" s="68" t="str">
        <f aca="false">IF(B417="","",IF(AND(AF417&lt;&gt;"",AV417&lt;&gt;"",N(AF417)&gt;N(AV417)*(1+Settings!$C$13)),"Oversized",IF(AX417&gt;Settings!$C$10,"Overtraded",IF(AY417&lt;=-Settings!$C$11*(AW417-AY417),"Daily loss hit",IF(BA417&lt;=-Settings!$C$12*(AW417-BA417),"Weekly loss hit","OK")))))</f>
        <v/>
      </c>
      <c r="BC417" s="69"/>
      <c r="BD417" s="69"/>
      <c r="BE417" s="69"/>
      <c r="BF417" s="73"/>
      <c r="BG417" s="73"/>
      <c r="BH417" s="71"/>
      <c r="BI417" s="71"/>
      <c r="BJ417" s="68" t="str">
        <f aca="false">IF(B417="","",IF(E417="",Settings!$F$5,E417))</f>
        <v/>
      </c>
      <c r="BK417" s="76" t="str">
        <f aca="false">IF(B417="","",IFERROR(INDEX(Settings!$G$5:$G$10,MATCH(BJ417,Settings!$F$5:$F$10,0)),Settings!$G$5))</f>
        <v/>
      </c>
      <c r="BL417" s="82" t="str">
        <f aca="false">IF(I417="","",IFERROR(1/(1/INDEX(Lists!$C$6:$C$17,MATCH(I417,Lists!$B$6:$B$17,0))),""))</f>
        <v/>
      </c>
      <c r="BM417" s="81" t="str">
        <f aca="false">IF(I417="","",IFERROR(1/(1/INDEX(Lists!$D$6:$D$17,MATCH(I417,Lists!$B$6:$B$17,0))),""))</f>
        <v/>
      </c>
      <c r="BN417" s="76" t="str">
        <f aca="false">IF(AN417="","",MAX(BK417,_xlfn.MAXIFS(AN$6:AN417,BJ$6:BJ417,BJ417)))</f>
        <v/>
      </c>
      <c r="BO417" s="83" t="str">
        <f aca="false">IF(AN417="","",(AN417-BN417)/BN417)</f>
        <v/>
      </c>
      <c r="BP417" s="66" t="n">
        <f aca="false">IF(OR(B417="",AL417=""),0,IF(OR(Settings!$C$28="All Accounts",BJ417=Settings!$C$28),1,0))</f>
        <v>0</v>
      </c>
      <c r="BQ417" s="66" t="str">
        <f aca="false">IF(BP417=1,SUM(BP$6:BP417),"")</f>
        <v/>
      </c>
      <c r="BR417" s="76" t="str">
        <f aca="false">IF(BP417=1,ROUND(Settings!$C$29+SUMIFS(AM$6:AM417,BP$6:BP417,1),2),"")</f>
        <v/>
      </c>
      <c r="BS417" s="76" t="str">
        <f aca="false">IF(BP417=1,MAX(Settings!$C$29,MAX(BR$6:BR417)),"")</f>
        <v/>
      </c>
      <c r="BT417" s="83" t="str">
        <f aca="false">IF(BP417=1,(BR417-BS417)/BS417,"")</f>
        <v/>
      </c>
      <c r="BU417" s="66" t="str">
        <f aca="false">IF(BP417=1,IF(AL417="Win",1+IF(BQ417=1,0,INDEX(BU$5:BU416,MATCH(BQ417-1,BQ$5:BQ416,0))),0),"")</f>
        <v/>
      </c>
      <c r="BV417" s="66" t="str">
        <f aca="false">IF(BP417=1,IF(AL417="Loss",1+IF(BQ417=1,0,INDEX(BV$5:BV416,MATCH(BQ417-1,BQ$5:BQ416,0))),0),"")</f>
        <v/>
      </c>
    </row>
    <row r="418" customFormat="false" ht="15" hidden="false" customHeight="false" outlineLevel="0" collapsed="false">
      <c r="A418" s="66" t="str">
        <f aca="false">IF(B418="","",ROW()-5)</f>
        <v/>
      </c>
      <c r="B418" s="67"/>
      <c r="C418" s="68" t="str">
        <f aca="false">IF(B418="","",CHOOSE(WEEKDAY(B418,2),"Mon","Tue","Wed","Thu","Fri","Sat","Sun"))</f>
        <v/>
      </c>
      <c r="D418" s="66" t="str">
        <f aca="false">IF(B418="","",WEEKNUM(B418,2))</f>
        <v/>
      </c>
      <c r="E418" s="69"/>
      <c r="F418" s="69"/>
      <c r="G418" s="70"/>
      <c r="H418" s="70"/>
      <c r="I418" s="69"/>
      <c r="J418" s="69"/>
      <c r="K418" s="69"/>
      <c r="L418" s="71"/>
      <c r="M418" s="69"/>
      <c r="N418" s="69"/>
      <c r="O418" s="69"/>
      <c r="P418" s="71"/>
      <c r="Q418" s="69"/>
      <c r="R418" s="69"/>
      <c r="S418" s="69"/>
      <c r="T418" s="69"/>
      <c r="U418" s="69"/>
      <c r="V418" s="69"/>
      <c r="W418" s="69"/>
      <c r="X418" s="66" t="str">
        <f aca="false">IF(B418="","",COUNTIF(Q418:W418,"Yes"))</f>
        <v/>
      </c>
      <c r="Y418" s="68" t="str">
        <f aca="false">IF(B418="","",IF(X418&gt;=Settings!$C$16,"A+",IF(X418&gt;=Settings!$C$17,"A",IF(X418&gt;=Settings!$C$18,"B","C"))))</f>
        <v/>
      </c>
      <c r="Z418" s="72"/>
      <c r="AA418" s="72"/>
      <c r="AB418" s="72"/>
      <c r="AC418" s="72"/>
      <c r="AD418" s="72"/>
      <c r="AE418" s="72"/>
      <c r="AF418" s="73"/>
      <c r="AG418" s="74"/>
      <c r="AH418" s="75"/>
      <c r="AI418" s="76" t="str">
        <f aca="false">IF(B418="","",ROUND(IF(AG418="",Settings!$C$5,AG418)*AW418,2))</f>
        <v/>
      </c>
      <c r="AJ418" s="77" t="str">
        <f aca="false">IF(OR(B418="",AB418="",AC418="",AD418=""),"",IFERROR(ROUND(ABS(AD418-AB418)/ABS(AB418-AC418),2),""))</f>
        <v/>
      </c>
      <c r="AK418" s="78" t="str">
        <f aca="false">IF(OR(B418="",AB418="",AC418="",AE418=""),"",IFERROR(ROUND(IF(J418="Short",AB418-AE418,AE418-AB418)/ABS(AB418-AC418),2),""))</f>
        <v/>
      </c>
      <c r="AL418" s="68" t="str">
        <f aca="false">IF(AK418="","",IF(ABS(AK418)&lt;=Settings!$C$6,"BE",IF(AK418&gt;0,"Win","Loss")))</f>
        <v/>
      </c>
      <c r="AM418" s="79" t="str">
        <f aca="false">IF(OR(AK418="",AI418=""),"",ROUND(AK418*AI418-N(AH418),2))</f>
        <v/>
      </c>
      <c r="AN418" s="76" t="str">
        <f aca="false">IF(AM418="","",ROUND(BK418+SUMIFS(AM$6:AM418,BJ$6:BJ418,BJ418),2))</f>
        <v/>
      </c>
      <c r="AO418" s="78" t="str">
        <f aca="false">IF(AK418="","",ROUND(SUMIFS(AK$6:AK418,BJ$6:BJ418,BJ418),2))</f>
        <v/>
      </c>
      <c r="AP418" s="80" t="str">
        <f aca="false">IF(OR(AK418="",BL418=""),"",IFERROR(ROUND(IF(J418="Short",AB418-AE418,AE418-AB418)/BL418,1),""))</f>
        <v/>
      </c>
      <c r="AQ418" s="66" t="str">
        <f aca="false">IF(OR(G418="",H418=""),"",ROUND(MOD(H418-G418,1)*1440,0))</f>
        <v/>
      </c>
      <c r="AR418" s="68" t="str">
        <f aca="false">IF(AQ418="","",IF(AQ418&lt;15,"Under 15m",IF(AQ418&lt;60,"15-60m",IF(AQ418&lt;240,"1-4 hours","4+ hours"))))</f>
        <v/>
      </c>
      <c r="AS418" s="66" t="str">
        <f aca="false">IF(G418="","",HOUR(G418))</f>
        <v/>
      </c>
      <c r="AT418" s="80" t="str">
        <f aca="false">IF(OR(Z418="",AB418="",BL418=""),"",IFERROR(ROUND(IF(J418="Short",Z418-AB418,AB418-Z418)/BL418,1),""))</f>
        <v/>
      </c>
      <c r="AU418" s="68" t="str">
        <f aca="false">IF(OR(AA418="",AC418=""),"",IF(AA418=AC418,"No","Yes"))</f>
        <v/>
      </c>
      <c r="AV418" s="81" t="str">
        <f aca="false">IF(OR(B418="",BL418="",BM418="",AB418="",AC418=""),"",IFERROR(ROUND(AI418/(ABS(AB418-AC418)/BL418*BM418),2),""))</f>
        <v/>
      </c>
      <c r="AW418" s="76" t="str">
        <f aca="false">IF(B418="","",ROUND(BK418+SUMIFS(AM$5:AM417,BJ$5:BJ417,BJ418),2))</f>
        <v/>
      </c>
      <c r="AX418" s="66" t="str">
        <f aca="false">IF(B418="","",COUNTIFS(B$6:B418,B418,BJ$6:BJ418,BJ418))</f>
        <v/>
      </c>
      <c r="AY418" s="79" t="str">
        <f aca="false">IF(B418="","",ROUND(SUMIFS(AM$5:AM417,B$5:B417,B418,BJ$5:BJ417,BJ418),2))</f>
        <v/>
      </c>
      <c r="AZ418" s="79" t="str">
        <f aca="false">IF(AM418="","",ROUND(AY418+AM418,2))</f>
        <v/>
      </c>
      <c r="BA418" s="79" t="str">
        <f aca="false">IF(B418="","",ROUND(SUMIFS(AM$5:AM417,B$5:B417,"&gt;="&amp;(B418-WEEKDAY(B418,2)+1),B$5:B417,"&lt;="&amp;B418,BJ$5:BJ417,BJ418),2))</f>
        <v/>
      </c>
      <c r="BB418" s="68" t="str">
        <f aca="false">IF(B418="","",IF(AND(AF418&lt;&gt;"",AV418&lt;&gt;"",N(AF418)&gt;N(AV418)*(1+Settings!$C$13)),"Oversized",IF(AX418&gt;Settings!$C$10,"Overtraded",IF(AY418&lt;=-Settings!$C$11*(AW418-AY418),"Daily loss hit",IF(BA418&lt;=-Settings!$C$12*(AW418-BA418),"Weekly loss hit","OK")))))</f>
        <v/>
      </c>
      <c r="BC418" s="69"/>
      <c r="BD418" s="69"/>
      <c r="BE418" s="69"/>
      <c r="BF418" s="73"/>
      <c r="BG418" s="73"/>
      <c r="BH418" s="71"/>
      <c r="BI418" s="71"/>
      <c r="BJ418" s="68" t="str">
        <f aca="false">IF(B418="","",IF(E418="",Settings!$F$5,E418))</f>
        <v/>
      </c>
      <c r="BK418" s="76" t="str">
        <f aca="false">IF(B418="","",IFERROR(INDEX(Settings!$G$5:$G$10,MATCH(BJ418,Settings!$F$5:$F$10,0)),Settings!$G$5))</f>
        <v/>
      </c>
      <c r="BL418" s="82" t="str">
        <f aca="false">IF(I418="","",IFERROR(1/(1/INDEX(Lists!$C$6:$C$17,MATCH(I418,Lists!$B$6:$B$17,0))),""))</f>
        <v/>
      </c>
      <c r="BM418" s="81" t="str">
        <f aca="false">IF(I418="","",IFERROR(1/(1/INDEX(Lists!$D$6:$D$17,MATCH(I418,Lists!$B$6:$B$17,0))),""))</f>
        <v/>
      </c>
      <c r="BN418" s="76" t="str">
        <f aca="false">IF(AN418="","",MAX(BK418,_xlfn.MAXIFS(AN$6:AN418,BJ$6:BJ418,BJ418)))</f>
        <v/>
      </c>
      <c r="BO418" s="83" t="str">
        <f aca="false">IF(AN418="","",(AN418-BN418)/BN418)</f>
        <v/>
      </c>
      <c r="BP418" s="66" t="n">
        <f aca="false">IF(OR(B418="",AL418=""),0,IF(OR(Settings!$C$28="All Accounts",BJ418=Settings!$C$28),1,0))</f>
        <v>0</v>
      </c>
      <c r="BQ418" s="66" t="str">
        <f aca="false">IF(BP418=1,SUM(BP$6:BP418),"")</f>
        <v/>
      </c>
      <c r="BR418" s="76" t="str">
        <f aca="false">IF(BP418=1,ROUND(Settings!$C$29+SUMIFS(AM$6:AM418,BP$6:BP418,1),2),"")</f>
        <v/>
      </c>
      <c r="BS418" s="76" t="str">
        <f aca="false">IF(BP418=1,MAX(Settings!$C$29,MAX(BR$6:BR418)),"")</f>
        <v/>
      </c>
      <c r="BT418" s="83" t="str">
        <f aca="false">IF(BP418=1,(BR418-BS418)/BS418,"")</f>
        <v/>
      </c>
      <c r="BU418" s="66" t="str">
        <f aca="false">IF(BP418=1,IF(AL418="Win",1+IF(BQ418=1,0,INDEX(BU$5:BU417,MATCH(BQ418-1,BQ$5:BQ417,0))),0),"")</f>
        <v/>
      </c>
      <c r="BV418" s="66" t="str">
        <f aca="false">IF(BP418=1,IF(AL418="Loss",1+IF(BQ418=1,0,INDEX(BV$5:BV417,MATCH(BQ418-1,BQ$5:BQ417,0))),0),"")</f>
        <v/>
      </c>
    </row>
    <row r="419" customFormat="false" ht="15" hidden="false" customHeight="false" outlineLevel="0" collapsed="false">
      <c r="A419" s="66" t="str">
        <f aca="false">IF(B419="","",ROW()-5)</f>
        <v/>
      </c>
      <c r="B419" s="67"/>
      <c r="C419" s="68" t="str">
        <f aca="false">IF(B419="","",CHOOSE(WEEKDAY(B419,2),"Mon","Tue","Wed","Thu","Fri","Sat","Sun"))</f>
        <v/>
      </c>
      <c r="D419" s="66" t="str">
        <f aca="false">IF(B419="","",WEEKNUM(B419,2))</f>
        <v/>
      </c>
      <c r="E419" s="69"/>
      <c r="F419" s="69"/>
      <c r="G419" s="70"/>
      <c r="H419" s="70"/>
      <c r="I419" s="69"/>
      <c r="J419" s="69"/>
      <c r="K419" s="69"/>
      <c r="L419" s="71"/>
      <c r="M419" s="69"/>
      <c r="N419" s="69"/>
      <c r="O419" s="69"/>
      <c r="P419" s="71"/>
      <c r="Q419" s="69"/>
      <c r="R419" s="69"/>
      <c r="S419" s="69"/>
      <c r="T419" s="69"/>
      <c r="U419" s="69"/>
      <c r="V419" s="69"/>
      <c r="W419" s="69"/>
      <c r="X419" s="66" t="str">
        <f aca="false">IF(B419="","",COUNTIF(Q419:W419,"Yes"))</f>
        <v/>
      </c>
      <c r="Y419" s="68" t="str">
        <f aca="false">IF(B419="","",IF(X419&gt;=Settings!$C$16,"A+",IF(X419&gt;=Settings!$C$17,"A",IF(X419&gt;=Settings!$C$18,"B","C"))))</f>
        <v/>
      </c>
      <c r="Z419" s="72"/>
      <c r="AA419" s="72"/>
      <c r="AB419" s="72"/>
      <c r="AC419" s="72"/>
      <c r="AD419" s="72"/>
      <c r="AE419" s="72"/>
      <c r="AF419" s="73"/>
      <c r="AG419" s="74"/>
      <c r="AH419" s="75"/>
      <c r="AI419" s="76" t="str">
        <f aca="false">IF(B419="","",ROUND(IF(AG419="",Settings!$C$5,AG419)*AW419,2))</f>
        <v/>
      </c>
      <c r="AJ419" s="77" t="str">
        <f aca="false">IF(OR(B419="",AB419="",AC419="",AD419=""),"",IFERROR(ROUND(ABS(AD419-AB419)/ABS(AB419-AC419),2),""))</f>
        <v/>
      </c>
      <c r="AK419" s="78" t="str">
        <f aca="false">IF(OR(B419="",AB419="",AC419="",AE419=""),"",IFERROR(ROUND(IF(J419="Short",AB419-AE419,AE419-AB419)/ABS(AB419-AC419),2),""))</f>
        <v/>
      </c>
      <c r="AL419" s="68" t="str">
        <f aca="false">IF(AK419="","",IF(ABS(AK419)&lt;=Settings!$C$6,"BE",IF(AK419&gt;0,"Win","Loss")))</f>
        <v/>
      </c>
      <c r="AM419" s="79" t="str">
        <f aca="false">IF(OR(AK419="",AI419=""),"",ROUND(AK419*AI419-N(AH419),2))</f>
        <v/>
      </c>
      <c r="AN419" s="76" t="str">
        <f aca="false">IF(AM419="","",ROUND(BK419+SUMIFS(AM$6:AM419,BJ$6:BJ419,BJ419),2))</f>
        <v/>
      </c>
      <c r="AO419" s="78" t="str">
        <f aca="false">IF(AK419="","",ROUND(SUMIFS(AK$6:AK419,BJ$6:BJ419,BJ419),2))</f>
        <v/>
      </c>
      <c r="AP419" s="80" t="str">
        <f aca="false">IF(OR(AK419="",BL419=""),"",IFERROR(ROUND(IF(J419="Short",AB419-AE419,AE419-AB419)/BL419,1),""))</f>
        <v/>
      </c>
      <c r="AQ419" s="66" t="str">
        <f aca="false">IF(OR(G419="",H419=""),"",ROUND(MOD(H419-G419,1)*1440,0))</f>
        <v/>
      </c>
      <c r="AR419" s="68" t="str">
        <f aca="false">IF(AQ419="","",IF(AQ419&lt;15,"Under 15m",IF(AQ419&lt;60,"15-60m",IF(AQ419&lt;240,"1-4 hours","4+ hours"))))</f>
        <v/>
      </c>
      <c r="AS419" s="66" t="str">
        <f aca="false">IF(G419="","",HOUR(G419))</f>
        <v/>
      </c>
      <c r="AT419" s="80" t="str">
        <f aca="false">IF(OR(Z419="",AB419="",BL419=""),"",IFERROR(ROUND(IF(J419="Short",Z419-AB419,AB419-Z419)/BL419,1),""))</f>
        <v/>
      </c>
      <c r="AU419" s="68" t="str">
        <f aca="false">IF(OR(AA419="",AC419=""),"",IF(AA419=AC419,"No","Yes"))</f>
        <v/>
      </c>
      <c r="AV419" s="81" t="str">
        <f aca="false">IF(OR(B419="",BL419="",BM419="",AB419="",AC419=""),"",IFERROR(ROUND(AI419/(ABS(AB419-AC419)/BL419*BM419),2),""))</f>
        <v/>
      </c>
      <c r="AW419" s="76" t="str">
        <f aca="false">IF(B419="","",ROUND(BK419+SUMIFS(AM$5:AM418,BJ$5:BJ418,BJ419),2))</f>
        <v/>
      </c>
      <c r="AX419" s="66" t="str">
        <f aca="false">IF(B419="","",COUNTIFS(B$6:B419,B419,BJ$6:BJ419,BJ419))</f>
        <v/>
      </c>
      <c r="AY419" s="79" t="str">
        <f aca="false">IF(B419="","",ROUND(SUMIFS(AM$5:AM418,B$5:B418,B419,BJ$5:BJ418,BJ419),2))</f>
        <v/>
      </c>
      <c r="AZ419" s="79" t="str">
        <f aca="false">IF(AM419="","",ROUND(AY419+AM419,2))</f>
        <v/>
      </c>
      <c r="BA419" s="79" t="str">
        <f aca="false">IF(B419="","",ROUND(SUMIFS(AM$5:AM418,B$5:B418,"&gt;="&amp;(B419-WEEKDAY(B419,2)+1),B$5:B418,"&lt;="&amp;B419,BJ$5:BJ418,BJ419),2))</f>
        <v/>
      </c>
      <c r="BB419" s="68" t="str">
        <f aca="false">IF(B419="","",IF(AND(AF419&lt;&gt;"",AV419&lt;&gt;"",N(AF419)&gt;N(AV419)*(1+Settings!$C$13)),"Oversized",IF(AX419&gt;Settings!$C$10,"Overtraded",IF(AY419&lt;=-Settings!$C$11*(AW419-AY419),"Daily loss hit",IF(BA419&lt;=-Settings!$C$12*(AW419-BA419),"Weekly loss hit","OK")))))</f>
        <v/>
      </c>
      <c r="BC419" s="69"/>
      <c r="BD419" s="69"/>
      <c r="BE419" s="69"/>
      <c r="BF419" s="73"/>
      <c r="BG419" s="73"/>
      <c r="BH419" s="71"/>
      <c r="BI419" s="71"/>
      <c r="BJ419" s="68" t="str">
        <f aca="false">IF(B419="","",IF(E419="",Settings!$F$5,E419))</f>
        <v/>
      </c>
      <c r="BK419" s="76" t="str">
        <f aca="false">IF(B419="","",IFERROR(INDEX(Settings!$G$5:$G$10,MATCH(BJ419,Settings!$F$5:$F$10,0)),Settings!$G$5))</f>
        <v/>
      </c>
      <c r="BL419" s="82" t="str">
        <f aca="false">IF(I419="","",IFERROR(1/(1/INDEX(Lists!$C$6:$C$17,MATCH(I419,Lists!$B$6:$B$17,0))),""))</f>
        <v/>
      </c>
      <c r="BM419" s="81" t="str">
        <f aca="false">IF(I419="","",IFERROR(1/(1/INDEX(Lists!$D$6:$D$17,MATCH(I419,Lists!$B$6:$B$17,0))),""))</f>
        <v/>
      </c>
      <c r="BN419" s="76" t="str">
        <f aca="false">IF(AN419="","",MAX(BK419,_xlfn.MAXIFS(AN$6:AN419,BJ$6:BJ419,BJ419)))</f>
        <v/>
      </c>
      <c r="BO419" s="83" t="str">
        <f aca="false">IF(AN419="","",(AN419-BN419)/BN419)</f>
        <v/>
      </c>
      <c r="BP419" s="66" t="n">
        <f aca="false">IF(OR(B419="",AL419=""),0,IF(OR(Settings!$C$28="All Accounts",BJ419=Settings!$C$28),1,0))</f>
        <v>0</v>
      </c>
      <c r="BQ419" s="66" t="str">
        <f aca="false">IF(BP419=1,SUM(BP$6:BP419),"")</f>
        <v/>
      </c>
      <c r="BR419" s="76" t="str">
        <f aca="false">IF(BP419=1,ROUND(Settings!$C$29+SUMIFS(AM$6:AM419,BP$6:BP419,1),2),"")</f>
        <v/>
      </c>
      <c r="BS419" s="76" t="str">
        <f aca="false">IF(BP419=1,MAX(Settings!$C$29,MAX(BR$6:BR419)),"")</f>
        <v/>
      </c>
      <c r="BT419" s="83" t="str">
        <f aca="false">IF(BP419=1,(BR419-BS419)/BS419,"")</f>
        <v/>
      </c>
      <c r="BU419" s="66" t="str">
        <f aca="false">IF(BP419=1,IF(AL419="Win",1+IF(BQ419=1,0,INDEX(BU$5:BU418,MATCH(BQ419-1,BQ$5:BQ418,0))),0),"")</f>
        <v/>
      </c>
      <c r="BV419" s="66" t="str">
        <f aca="false">IF(BP419=1,IF(AL419="Loss",1+IF(BQ419=1,0,INDEX(BV$5:BV418,MATCH(BQ419-1,BQ$5:BQ418,0))),0),"")</f>
        <v/>
      </c>
    </row>
    <row r="420" customFormat="false" ht="15" hidden="false" customHeight="false" outlineLevel="0" collapsed="false">
      <c r="A420" s="66" t="str">
        <f aca="false">IF(B420="","",ROW()-5)</f>
        <v/>
      </c>
      <c r="B420" s="67"/>
      <c r="C420" s="68" t="str">
        <f aca="false">IF(B420="","",CHOOSE(WEEKDAY(B420,2),"Mon","Tue","Wed","Thu","Fri","Sat","Sun"))</f>
        <v/>
      </c>
      <c r="D420" s="66" t="str">
        <f aca="false">IF(B420="","",WEEKNUM(B420,2))</f>
        <v/>
      </c>
      <c r="E420" s="69"/>
      <c r="F420" s="69"/>
      <c r="G420" s="70"/>
      <c r="H420" s="70"/>
      <c r="I420" s="69"/>
      <c r="J420" s="69"/>
      <c r="K420" s="69"/>
      <c r="L420" s="71"/>
      <c r="M420" s="69"/>
      <c r="N420" s="69"/>
      <c r="O420" s="69"/>
      <c r="P420" s="71"/>
      <c r="Q420" s="69"/>
      <c r="R420" s="69"/>
      <c r="S420" s="69"/>
      <c r="T420" s="69"/>
      <c r="U420" s="69"/>
      <c r="V420" s="69"/>
      <c r="W420" s="69"/>
      <c r="X420" s="66" t="str">
        <f aca="false">IF(B420="","",COUNTIF(Q420:W420,"Yes"))</f>
        <v/>
      </c>
      <c r="Y420" s="68" t="str">
        <f aca="false">IF(B420="","",IF(X420&gt;=Settings!$C$16,"A+",IF(X420&gt;=Settings!$C$17,"A",IF(X420&gt;=Settings!$C$18,"B","C"))))</f>
        <v/>
      </c>
      <c r="Z420" s="72"/>
      <c r="AA420" s="72"/>
      <c r="AB420" s="72"/>
      <c r="AC420" s="72"/>
      <c r="AD420" s="72"/>
      <c r="AE420" s="72"/>
      <c r="AF420" s="73"/>
      <c r="AG420" s="74"/>
      <c r="AH420" s="75"/>
      <c r="AI420" s="76" t="str">
        <f aca="false">IF(B420="","",ROUND(IF(AG420="",Settings!$C$5,AG420)*AW420,2))</f>
        <v/>
      </c>
      <c r="AJ420" s="77" t="str">
        <f aca="false">IF(OR(B420="",AB420="",AC420="",AD420=""),"",IFERROR(ROUND(ABS(AD420-AB420)/ABS(AB420-AC420),2),""))</f>
        <v/>
      </c>
      <c r="AK420" s="78" t="str">
        <f aca="false">IF(OR(B420="",AB420="",AC420="",AE420=""),"",IFERROR(ROUND(IF(J420="Short",AB420-AE420,AE420-AB420)/ABS(AB420-AC420),2),""))</f>
        <v/>
      </c>
      <c r="AL420" s="68" t="str">
        <f aca="false">IF(AK420="","",IF(ABS(AK420)&lt;=Settings!$C$6,"BE",IF(AK420&gt;0,"Win","Loss")))</f>
        <v/>
      </c>
      <c r="AM420" s="79" t="str">
        <f aca="false">IF(OR(AK420="",AI420=""),"",ROUND(AK420*AI420-N(AH420),2))</f>
        <v/>
      </c>
      <c r="AN420" s="76" t="str">
        <f aca="false">IF(AM420="","",ROUND(BK420+SUMIFS(AM$6:AM420,BJ$6:BJ420,BJ420),2))</f>
        <v/>
      </c>
      <c r="AO420" s="78" t="str">
        <f aca="false">IF(AK420="","",ROUND(SUMIFS(AK$6:AK420,BJ$6:BJ420,BJ420),2))</f>
        <v/>
      </c>
      <c r="AP420" s="80" t="str">
        <f aca="false">IF(OR(AK420="",BL420=""),"",IFERROR(ROUND(IF(J420="Short",AB420-AE420,AE420-AB420)/BL420,1),""))</f>
        <v/>
      </c>
      <c r="AQ420" s="66" t="str">
        <f aca="false">IF(OR(G420="",H420=""),"",ROUND(MOD(H420-G420,1)*1440,0))</f>
        <v/>
      </c>
      <c r="AR420" s="68" t="str">
        <f aca="false">IF(AQ420="","",IF(AQ420&lt;15,"Under 15m",IF(AQ420&lt;60,"15-60m",IF(AQ420&lt;240,"1-4 hours","4+ hours"))))</f>
        <v/>
      </c>
      <c r="AS420" s="66" t="str">
        <f aca="false">IF(G420="","",HOUR(G420))</f>
        <v/>
      </c>
      <c r="AT420" s="80" t="str">
        <f aca="false">IF(OR(Z420="",AB420="",BL420=""),"",IFERROR(ROUND(IF(J420="Short",Z420-AB420,AB420-Z420)/BL420,1),""))</f>
        <v/>
      </c>
      <c r="AU420" s="68" t="str">
        <f aca="false">IF(OR(AA420="",AC420=""),"",IF(AA420=AC420,"No","Yes"))</f>
        <v/>
      </c>
      <c r="AV420" s="81" t="str">
        <f aca="false">IF(OR(B420="",BL420="",BM420="",AB420="",AC420=""),"",IFERROR(ROUND(AI420/(ABS(AB420-AC420)/BL420*BM420),2),""))</f>
        <v/>
      </c>
      <c r="AW420" s="76" t="str">
        <f aca="false">IF(B420="","",ROUND(BK420+SUMIFS(AM$5:AM419,BJ$5:BJ419,BJ420),2))</f>
        <v/>
      </c>
      <c r="AX420" s="66" t="str">
        <f aca="false">IF(B420="","",COUNTIFS(B$6:B420,B420,BJ$6:BJ420,BJ420))</f>
        <v/>
      </c>
      <c r="AY420" s="79" t="str">
        <f aca="false">IF(B420="","",ROUND(SUMIFS(AM$5:AM419,B$5:B419,B420,BJ$5:BJ419,BJ420),2))</f>
        <v/>
      </c>
      <c r="AZ420" s="79" t="str">
        <f aca="false">IF(AM420="","",ROUND(AY420+AM420,2))</f>
        <v/>
      </c>
      <c r="BA420" s="79" t="str">
        <f aca="false">IF(B420="","",ROUND(SUMIFS(AM$5:AM419,B$5:B419,"&gt;="&amp;(B420-WEEKDAY(B420,2)+1),B$5:B419,"&lt;="&amp;B420,BJ$5:BJ419,BJ420),2))</f>
        <v/>
      </c>
      <c r="BB420" s="68" t="str">
        <f aca="false">IF(B420="","",IF(AND(AF420&lt;&gt;"",AV420&lt;&gt;"",N(AF420)&gt;N(AV420)*(1+Settings!$C$13)),"Oversized",IF(AX420&gt;Settings!$C$10,"Overtraded",IF(AY420&lt;=-Settings!$C$11*(AW420-AY420),"Daily loss hit",IF(BA420&lt;=-Settings!$C$12*(AW420-BA420),"Weekly loss hit","OK")))))</f>
        <v/>
      </c>
      <c r="BC420" s="69"/>
      <c r="BD420" s="69"/>
      <c r="BE420" s="69"/>
      <c r="BF420" s="73"/>
      <c r="BG420" s="73"/>
      <c r="BH420" s="71"/>
      <c r="BI420" s="71"/>
      <c r="BJ420" s="68" t="str">
        <f aca="false">IF(B420="","",IF(E420="",Settings!$F$5,E420))</f>
        <v/>
      </c>
      <c r="BK420" s="76" t="str">
        <f aca="false">IF(B420="","",IFERROR(INDEX(Settings!$G$5:$G$10,MATCH(BJ420,Settings!$F$5:$F$10,0)),Settings!$G$5))</f>
        <v/>
      </c>
      <c r="BL420" s="82" t="str">
        <f aca="false">IF(I420="","",IFERROR(1/(1/INDEX(Lists!$C$6:$C$17,MATCH(I420,Lists!$B$6:$B$17,0))),""))</f>
        <v/>
      </c>
      <c r="BM420" s="81" t="str">
        <f aca="false">IF(I420="","",IFERROR(1/(1/INDEX(Lists!$D$6:$D$17,MATCH(I420,Lists!$B$6:$B$17,0))),""))</f>
        <v/>
      </c>
      <c r="BN420" s="76" t="str">
        <f aca="false">IF(AN420="","",MAX(BK420,_xlfn.MAXIFS(AN$6:AN420,BJ$6:BJ420,BJ420)))</f>
        <v/>
      </c>
      <c r="BO420" s="83" t="str">
        <f aca="false">IF(AN420="","",(AN420-BN420)/BN420)</f>
        <v/>
      </c>
      <c r="BP420" s="66" t="n">
        <f aca="false">IF(OR(B420="",AL420=""),0,IF(OR(Settings!$C$28="All Accounts",BJ420=Settings!$C$28),1,0))</f>
        <v>0</v>
      </c>
      <c r="BQ420" s="66" t="str">
        <f aca="false">IF(BP420=1,SUM(BP$6:BP420),"")</f>
        <v/>
      </c>
      <c r="BR420" s="76" t="str">
        <f aca="false">IF(BP420=1,ROUND(Settings!$C$29+SUMIFS(AM$6:AM420,BP$6:BP420,1),2),"")</f>
        <v/>
      </c>
      <c r="BS420" s="76" t="str">
        <f aca="false">IF(BP420=1,MAX(Settings!$C$29,MAX(BR$6:BR420)),"")</f>
        <v/>
      </c>
      <c r="BT420" s="83" t="str">
        <f aca="false">IF(BP420=1,(BR420-BS420)/BS420,"")</f>
        <v/>
      </c>
      <c r="BU420" s="66" t="str">
        <f aca="false">IF(BP420=1,IF(AL420="Win",1+IF(BQ420=1,0,INDEX(BU$5:BU419,MATCH(BQ420-1,BQ$5:BQ419,0))),0),"")</f>
        <v/>
      </c>
      <c r="BV420" s="66" t="str">
        <f aca="false">IF(BP420=1,IF(AL420="Loss",1+IF(BQ420=1,0,INDEX(BV$5:BV419,MATCH(BQ420-1,BQ$5:BQ419,0))),0),"")</f>
        <v/>
      </c>
    </row>
    <row r="421" customFormat="false" ht="15" hidden="false" customHeight="false" outlineLevel="0" collapsed="false">
      <c r="A421" s="66" t="str">
        <f aca="false">IF(B421="","",ROW()-5)</f>
        <v/>
      </c>
      <c r="B421" s="67"/>
      <c r="C421" s="68" t="str">
        <f aca="false">IF(B421="","",CHOOSE(WEEKDAY(B421,2),"Mon","Tue","Wed","Thu","Fri","Sat","Sun"))</f>
        <v/>
      </c>
      <c r="D421" s="66" t="str">
        <f aca="false">IF(B421="","",WEEKNUM(B421,2))</f>
        <v/>
      </c>
      <c r="E421" s="69"/>
      <c r="F421" s="69"/>
      <c r="G421" s="70"/>
      <c r="H421" s="70"/>
      <c r="I421" s="69"/>
      <c r="J421" s="69"/>
      <c r="K421" s="69"/>
      <c r="L421" s="71"/>
      <c r="M421" s="69"/>
      <c r="N421" s="69"/>
      <c r="O421" s="69"/>
      <c r="P421" s="71"/>
      <c r="Q421" s="69"/>
      <c r="R421" s="69"/>
      <c r="S421" s="69"/>
      <c r="T421" s="69"/>
      <c r="U421" s="69"/>
      <c r="V421" s="69"/>
      <c r="W421" s="69"/>
      <c r="X421" s="66" t="str">
        <f aca="false">IF(B421="","",COUNTIF(Q421:W421,"Yes"))</f>
        <v/>
      </c>
      <c r="Y421" s="68" t="str">
        <f aca="false">IF(B421="","",IF(X421&gt;=Settings!$C$16,"A+",IF(X421&gt;=Settings!$C$17,"A",IF(X421&gt;=Settings!$C$18,"B","C"))))</f>
        <v/>
      </c>
      <c r="Z421" s="72"/>
      <c r="AA421" s="72"/>
      <c r="AB421" s="72"/>
      <c r="AC421" s="72"/>
      <c r="AD421" s="72"/>
      <c r="AE421" s="72"/>
      <c r="AF421" s="73"/>
      <c r="AG421" s="74"/>
      <c r="AH421" s="75"/>
      <c r="AI421" s="76" t="str">
        <f aca="false">IF(B421="","",ROUND(IF(AG421="",Settings!$C$5,AG421)*AW421,2))</f>
        <v/>
      </c>
      <c r="AJ421" s="77" t="str">
        <f aca="false">IF(OR(B421="",AB421="",AC421="",AD421=""),"",IFERROR(ROUND(ABS(AD421-AB421)/ABS(AB421-AC421),2),""))</f>
        <v/>
      </c>
      <c r="AK421" s="78" t="str">
        <f aca="false">IF(OR(B421="",AB421="",AC421="",AE421=""),"",IFERROR(ROUND(IF(J421="Short",AB421-AE421,AE421-AB421)/ABS(AB421-AC421),2),""))</f>
        <v/>
      </c>
      <c r="AL421" s="68" t="str">
        <f aca="false">IF(AK421="","",IF(ABS(AK421)&lt;=Settings!$C$6,"BE",IF(AK421&gt;0,"Win","Loss")))</f>
        <v/>
      </c>
      <c r="AM421" s="79" t="str">
        <f aca="false">IF(OR(AK421="",AI421=""),"",ROUND(AK421*AI421-N(AH421),2))</f>
        <v/>
      </c>
      <c r="AN421" s="76" t="str">
        <f aca="false">IF(AM421="","",ROUND(BK421+SUMIFS(AM$6:AM421,BJ$6:BJ421,BJ421),2))</f>
        <v/>
      </c>
      <c r="AO421" s="78" t="str">
        <f aca="false">IF(AK421="","",ROUND(SUMIFS(AK$6:AK421,BJ$6:BJ421,BJ421),2))</f>
        <v/>
      </c>
      <c r="AP421" s="80" t="str">
        <f aca="false">IF(OR(AK421="",BL421=""),"",IFERROR(ROUND(IF(J421="Short",AB421-AE421,AE421-AB421)/BL421,1),""))</f>
        <v/>
      </c>
      <c r="AQ421" s="66" t="str">
        <f aca="false">IF(OR(G421="",H421=""),"",ROUND(MOD(H421-G421,1)*1440,0))</f>
        <v/>
      </c>
      <c r="AR421" s="68" t="str">
        <f aca="false">IF(AQ421="","",IF(AQ421&lt;15,"Under 15m",IF(AQ421&lt;60,"15-60m",IF(AQ421&lt;240,"1-4 hours","4+ hours"))))</f>
        <v/>
      </c>
      <c r="AS421" s="66" t="str">
        <f aca="false">IF(G421="","",HOUR(G421))</f>
        <v/>
      </c>
      <c r="AT421" s="80" t="str">
        <f aca="false">IF(OR(Z421="",AB421="",BL421=""),"",IFERROR(ROUND(IF(J421="Short",Z421-AB421,AB421-Z421)/BL421,1),""))</f>
        <v/>
      </c>
      <c r="AU421" s="68" t="str">
        <f aca="false">IF(OR(AA421="",AC421=""),"",IF(AA421=AC421,"No","Yes"))</f>
        <v/>
      </c>
      <c r="AV421" s="81" t="str">
        <f aca="false">IF(OR(B421="",BL421="",BM421="",AB421="",AC421=""),"",IFERROR(ROUND(AI421/(ABS(AB421-AC421)/BL421*BM421),2),""))</f>
        <v/>
      </c>
      <c r="AW421" s="76" t="str">
        <f aca="false">IF(B421="","",ROUND(BK421+SUMIFS(AM$5:AM420,BJ$5:BJ420,BJ421),2))</f>
        <v/>
      </c>
      <c r="AX421" s="66" t="str">
        <f aca="false">IF(B421="","",COUNTIFS(B$6:B421,B421,BJ$6:BJ421,BJ421))</f>
        <v/>
      </c>
      <c r="AY421" s="79" t="str">
        <f aca="false">IF(B421="","",ROUND(SUMIFS(AM$5:AM420,B$5:B420,B421,BJ$5:BJ420,BJ421),2))</f>
        <v/>
      </c>
      <c r="AZ421" s="79" t="str">
        <f aca="false">IF(AM421="","",ROUND(AY421+AM421,2))</f>
        <v/>
      </c>
      <c r="BA421" s="79" t="str">
        <f aca="false">IF(B421="","",ROUND(SUMIFS(AM$5:AM420,B$5:B420,"&gt;="&amp;(B421-WEEKDAY(B421,2)+1),B$5:B420,"&lt;="&amp;B421,BJ$5:BJ420,BJ421),2))</f>
        <v/>
      </c>
      <c r="BB421" s="68" t="str">
        <f aca="false">IF(B421="","",IF(AND(AF421&lt;&gt;"",AV421&lt;&gt;"",N(AF421)&gt;N(AV421)*(1+Settings!$C$13)),"Oversized",IF(AX421&gt;Settings!$C$10,"Overtraded",IF(AY421&lt;=-Settings!$C$11*(AW421-AY421),"Daily loss hit",IF(BA421&lt;=-Settings!$C$12*(AW421-BA421),"Weekly loss hit","OK")))))</f>
        <v/>
      </c>
      <c r="BC421" s="69"/>
      <c r="BD421" s="69"/>
      <c r="BE421" s="69"/>
      <c r="BF421" s="73"/>
      <c r="BG421" s="73"/>
      <c r="BH421" s="71"/>
      <c r="BI421" s="71"/>
      <c r="BJ421" s="68" t="str">
        <f aca="false">IF(B421="","",IF(E421="",Settings!$F$5,E421))</f>
        <v/>
      </c>
      <c r="BK421" s="76" t="str">
        <f aca="false">IF(B421="","",IFERROR(INDEX(Settings!$G$5:$G$10,MATCH(BJ421,Settings!$F$5:$F$10,0)),Settings!$G$5))</f>
        <v/>
      </c>
      <c r="BL421" s="82" t="str">
        <f aca="false">IF(I421="","",IFERROR(1/(1/INDEX(Lists!$C$6:$C$17,MATCH(I421,Lists!$B$6:$B$17,0))),""))</f>
        <v/>
      </c>
      <c r="BM421" s="81" t="str">
        <f aca="false">IF(I421="","",IFERROR(1/(1/INDEX(Lists!$D$6:$D$17,MATCH(I421,Lists!$B$6:$B$17,0))),""))</f>
        <v/>
      </c>
      <c r="BN421" s="76" t="str">
        <f aca="false">IF(AN421="","",MAX(BK421,_xlfn.MAXIFS(AN$6:AN421,BJ$6:BJ421,BJ421)))</f>
        <v/>
      </c>
      <c r="BO421" s="83" t="str">
        <f aca="false">IF(AN421="","",(AN421-BN421)/BN421)</f>
        <v/>
      </c>
      <c r="BP421" s="66" t="n">
        <f aca="false">IF(OR(B421="",AL421=""),0,IF(OR(Settings!$C$28="All Accounts",BJ421=Settings!$C$28),1,0))</f>
        <v>0</v>
      </c>
      <c r="BQ421" s="66" t="str">
        <f aca="false">IF(BP421=1,SUM(BP$6:BP421),"")</f>
        <v/>
      </c>
      <c r="BR421" s="76" t="str">
        <f aca="false">IF(BP421=1,ROUND(Settings!$C$29+SUMIFS(AM$6:AM421,BP$6:BP421,1),2),"")</f>
        <v/>
      </c>
      <c r="BS421" s="76" t="str">
        <f aca="false">IF(BP421=1,MAX(Settings!$C$29,MAX(BR$6:BR421)),"")</f>
        <v/>
      </c>
      <c r="BT421" s="83" t="str">
        <f aca="false">IF(BP421=1,(BR421-BS421)/BS421,"")</f>
        <v/>
      </c>
      <c r="BU421" s="66" t="str">
        <f aca="false">IF(BP421=1,IF(AL421="Win",1+IF(BQ421=1,0,INDEX(BU$5:BU420,MATCH(BQ421-1,BQ$5:BQ420,0))),0),"")</f>
        <v/>
      </c>
      <c r="BV421" s="66" t="str">
        <f aca="false">IF(BP421=1,IF(AL421="Loss",1+IF(BQ421=1,0,INDEX(BV$5:BV420,MATCH(BQ421-1,BQ$5:BQ420,0))),0),"")</f>
        <v/>
      </c>
    </row>
    <row r="422" customFormat="false" ht="15" hidden="false" customHeight="false" outlineLevel="0" collapsed="false">
      <c r="A422" s="66" t="str">
        <f aca="false">IF(B422="","",ROW()-5)</f>
        <v/>
      </c>
      <c r="B422" s="67"/>
      <c r="C422" s="68" t="str">
        <f aca="false">IF(B422="","",CHOOSE(WEEKDAY(B422,2),"Mon","Tue","Wed","Thu","Fri","Sat","Sun"))</f>
        <v/>
      </c>
      <c r="D422" s="66" t="str">
        <f aca="false">IF(B422="","",WEEKNUM(B422,2))</f>
        <v/>
      </c>
      <c r="E422" s="69"/>
      <c r="F422" s="69"/>
      <c r="G422" s="70"/>
      <c r="H422" s="70"/>
      <c r="I422" s="69"/>
      <c r="J422" s="69"/>
      <c r="K422" s="69"/>
      <c r="L422" s="71"/>
      <c r="M422" s="69"/>
      <c r="N422" s="69"/>
      <c r="O422" s="69"/>
      <c r="P422" s="71"/>
      <c r="Q422" s="69"/>
      <c r="R422" s="69"/>
      <c r="S422" s="69"/>
      <c r="T422" s="69"/>
      <c r="U422" s="69"/>
      <c r="V422" s="69"/>
      <c r="W422" s="69"/>
      <c r="X422" s="66" t="str">
        <f aca="false">IF(B422="","",COUNTIF(Q422:W422,"Yes"))</f>
        <v/>
      </c>
      <c r="Y422" s="68" t="str">
        <f aca="false">IF(B422="","",IF(X422&gt;=Settings!$C$16,"A+",IF(X422&gt;=Settings!$C$17,"A",IF(X422&gt;=Settings!$C$18,"B","C"))))</f>
        <v/>
      </c>
      <c r="Z422" s="72"/>
      <c r="AA422" s="72"/>
      <c r="AB422" s="72"/>
      <c r="AC422" s="72"/>
      <c r="AD422" s="72"/>
      <c r="AE422" s="72"/>
      <c r="AF422" s="73"/>
      <c r="AG422" s="74"/>
      <c r="AH422" s="75"/>
      <c r="AI422" s="76" t="str">
        <f aca="false">IF(B422="","",ROUND(IF(AG422="",Settings!$C$5,AG422)*AW422,2))</f>
        <v/>
      </c>
      <c r="AJ422" s="77" t="str">
        <f aca="false">IF(OR(B422="",AB422="",AC422="",AD422=""),"",IFERROR(ROUND(ABS(AD422-AB422)/ABS(AB422-AC422),2),""))</f>
        <v/>
      </c>
      <c r="AK422" s="78" t="str">
        <f aca="false">IF(OR(B422="",AB422="",AC422="",AE422=""),"",IFERROR(ROUND(IF(J422="Short",AB422-AE422,AE422-AB422)/ABS(AB422-AC422),2),""))</f>
        <v/>
      </c>
      <c r="AL422" s="68" t="str">
        <f aca="false">IF(AK422="","",IF(ABS(AK422)&lt;=Settings!$C$6,"BE",IF(AK422&gt;0,"Win","Loss")))</f>
        <v/>
      </c>
      <c r="AM422" s="79" t="str">
        <f aca="false">IF(OR(AK422="",AI422=""),"",ROUND(AK422*AI422-N(AH422),2))</f>
        <v/>
      </c>
      <c r="AN422" s="76" t="str">
        <f aca="false">IF(AM422="","",ROUND(BK422+SUMIFS(AM$6:AM422,BJ$6:BJ422,BJ422),2))</f>
        <v/>
      </c>
      <c r="AO422" s="78" t="str">
        <f aca="false">IF(AK422="","",ROUND(SUMIFS(AK$6:AK422,BJ$6:BJ422,BJ422),2))</f>
        <v/>
      </c>
      <c r="AP422" s="80" t="str">
        <f aca="false">IF(OR(AK422="",BL422=""),"",IFERROR(ROUND(IF(J422="Short",AB422-AE422,AE422-AB422)/BL422,1),""))</f>
        <v/>
      </c>
      <c r="AQ422" s="66" t="str">
        <f aca="false">IF(OR(G422="",H422=""),"",ROUND(MOD(H422-G422,1)*1440,0))</f>
        <v/>
      </c>
      <c r="AR422" s="68" t="str">
        <f aca="false">IF(AQ422="","",IF(AQ422&lt;15,"Under 15m",IF(AQ422&lt;60,"15-60m",IF(AQ422&lt;240,"1-4 hours","4+ hours"))))</f>
        <v/>
      </c>
      <c r="AS422" s="66" t="str">
        <f aca="false">IF(G422="","",HOUR(G422))</f>
        <v/>
      </c>
      <c r="AT422" s="80" t="str">
        <f aca="false">IF(OR(Z422="",AB422="",BL422=""),"",IFERROR(ROUND(IF(J422="Short",Z422-AB422,AB422-Z422)/BL422,1),""))</f>
        <v/>
      </c>
      <c r="AU422" s="68" t="str">
        <f aca="false">IF(OR(AA422="",AC422=""),"",IF(AA422=AC422,"No","Yes"))</f>
        <v/>
      </c>
      <c r="AV422" s="81" t="str">
        <f aca="false">IF(OR(B422="",BL422="",BM422="",AB422="",AC422=""),"",IFERROR(ROUND(AI422/(ABS(AB422-AC422)/BL422*BM422),2),""))</f>
        <v/>
      </c>
      <c r="AW422" s="76" t="str">
        <f aca="false">IF(B422="","",ROUND(BK422+SUMIFS(AM$5:AM421,BJ$5:BJ421,BJ422),2))</f>
        <v/>
      </c>
      <c r="AX422" s="66" t="str">
        <f aca="false">IF(B422="","",COUNTIFS(B$6:B422,B422,BJ$6:BJ422,BJ422))</f>
        <v/>
      </c>
      <c r="AY422" s="79" t="str">
        <f aca="false">IF(B422="","",ROUND(SUMIFS(AM$5:AM421,B$5:B421,B422,BJ$5:BJ421,BJ422),2))</f>
        <v/>
      </c>
      <c r="AZ422" s="79" t="str">
        <f aca="false">IF(AM422="","",ROUND(AY422+AM422,2))</f>
        <v/>
      </c>
      <c r="BA422" s="79" t="str">
        <f aca="false">IF(B422="","",ROUND(SUMIFS(AM$5:AM421,B$5:B421,"&gt;="&amp;(B422-WEEKDAY(B422,2)+1),B$5:B421,"&lt;="&amp;B422,BJ$5:BJ421,BJ422),2))</f>
        <v/>
      </c>
      <c r="BB422" s="68" t="str">
        <f aca="false">IF(B422="","",IF(AND(AF422&lt;&gt;"",AV422&lt;&gt;"",N(AF422)&gt;N(AV422)*(1+Settings!$C$13)),"Oversized",IF(AX422&gt;Settings!$C$10,"Overtraded",IF(AY422&lt;=-Settings!$C$11*(AW422-AY422),"Daily loss hit",IF(BA422&lt;=-Settings!$C$12*(AW422-BA422),"Weekly loss hit","OK")))))</f>
        <v/>
      </c>
      <c r="BC422" s="69"/>
      <c r="BD422" s="69"/>
      <c r="BE422" s="69"/>
      <c r="BF422" s="73"/>
      <c r="BG422" s="73"/>
      <c r="BH422" s="71"/>
      <c r="BI422" s="71"/>
      <c r="BJ422" s="68" t="str">
        <f aca="false">IF(B422="","",IF(E422="",Settings!$F$5,E422))</f>
        <v/>
      </c>
      <c r="BK422" s="76" t="str">
        <f aca="false">IF(B422="","",IFERROR(INDEX(Settings!$G$5:$G$10,MATCH(BJ422,Settings!$F$5:$F$10,0)),Settings!$G$5))</f>
        <v/>
      </c>
      <c r="BL422" s="82" t="str">
        <f aca="false">IF(I422="","",IFERROR(1/(1/INDEX(Lists!$C$6:$C$17,MATCH(I422,Lists!$B$6:$B$17,0))),""))</f>
        <v/>
      </c>
      <c r="BM422" s="81" t="str">
        <f aca="false">IF(I422="","",IFERROR(1/(1/INDEX(Lists!$D$6:$D$17,MATCH(I422,Lists!$B$6:$B$17,0))),""))</f>
        <v/>
      </c>
      <c r="BN422" s="76" t="str">
        <f aca="false">IF(AN422="","",MAX(BK422,_xlfn.MAXIFS(AN$6:AN422,BJ$6:BJ422,BJ422)))</f>
        <v/>
      </c>
      <c r="BO422" s="83" t="str">
        <f aca="false">IF(AN422="","",(AN422-BN422)/BN422)</f>
        <v/>
      </c>
      <c r="BP422" s="66" t="n">
        <f aca="false">IF(OR(B422="",AL422=""),0,IF(OR(Settings!$C$28="All Accounts",BJ422=Settings!$C$28),1,0))</f>
        <v>0</v>
      </c>
      <c r="BQ422" s="66" t="str">
        <f aca="false">IF(BP422=1,SUM(BP$6:BP422),"")</f>
        <v/>
      </c>
      <c r="BR422" s="76" t="str">
        <f aca="false">IF(BP422=1,ROUND(Settings!$C$29+SUMIFS(AM$6:AM422,BP$6:BP422,1),2),"")</f>
        <v/>
      </c>
      <c r="BS422" s="76" t="str">
        <f aca="false">IF(BP422=1,MAX(Settings!$C$29,MAX(BR$6:BR422)),"")</f>
        <v/>
      </c>
      <c r="BT422" s="83" t="str">
        <f aca="false">IF(BP422=1,(BR422-BS422)/BS422,"")</f>
        <v/>
      </c>
      <c r="BU422" s="66" t="str">
        <f aca="false">IF(BP422=1,IF(AL422="Win",1+IF(BQ422=1,0,INDEX(BU$5:BU421,MATCH(BQ422-1,BQ$5:BQ421,0))),0),"")</f>
        <v/>
      </c>
      <c r="BV422" s="66" t="str">
        <f aca="false">IF(BP422=1,IF(AL422="Loss",1+IF(BQ422=1,0,INDEX(BV$5:BV421,MATCH(BQ422-1,BQ$5:BQ421,0))),0),"")</f>
        <v/>
      </c>
    </row>
    <row r="423" customFormat="false" ht="15" hidden="false" customHeight="false" outlineLevel="0" collapsed="false">
      <c r="A423" s="66" t="str">
        <f aca="false">IF(B423="","",ROW()-5)</f>
        <v/>
      </c>
      <c r="B423" s="67"/>
      <c r="C423" s="68" t="str">
        <f aca="false">IF(B423="","",CHOOSE(WEEKDAY(B423,2),"Mon","Tue","Wed","Thu","Fri","Sat","Sun"))</f>
        <v/>
      </c>
      <c r="D423" s="66" t="str">
        <f aca="false">IF(B423="","",WEEKNUM(B423,2))</f>
        <v/>
      </c>
      <c r="E423" s="69"/>
      <c r="F423" s="69"/>
      <c r="G423" s="70"/>
      <c r="H423" s="70"/>
      <c r="I423" s="69"/>
      <c r="J423" s="69"/>
      <c r="K423" s="69"/>
      <c r="L423" s="71"/>
      <c r="M423" s="69"/>
      <c r="N423" s="69"/>
      <c r="O423" s="69"/>
      <c r="P423" s="71"/>
      <c r="Q423" s="69"/>
      <c r="R423" s="69"/>
      <c r="S423" s="69"/>
      <c r="T423" s="69"/>
      <c r="U423" s="69"/>
      <c r="V423" s="69"/>
      <c r="W423" s="69"/>
      <c r="X423" s="66" t="str">
        <f aca="false">IF(B423="","",COUNTIF(Q423:W423,"Yes"))</f>
        <v/>
      </c>
      <c r="Y423" s="68" t="str">
        <f aca="false">IF(B423="","",IF(X423&gt;=Settings!$C$16,"A+",IF(X423&gt;=Settings!$C$17,"A",IF(X423&gt;=Settings!$C$18,"B","C"))))</f>
        <v/>
      </c>
      <c r="Z423" s="72"/>
      <c r="AA423" s="72"/>
      <c r="AB423" s="72"/>
      <c r="AC423" s="72"/>
      <c r="AD423" s="72"/>
      <c r="AE423" s="72"/>
      <c r="AF423" s="73"/>
      <c r="AG423" s="74"/>
      <c r="AH423" s="75"/>
      <c r="AI423" s="76" t="str">
        <f aca="false">IF(B423="","",ROUND(IF(AG423="",Settings!$C$5,AG423)*AW423,2))</f>
        <v/>
      </c>
      <c r="AJ423" s="77" t="str">
        <f aca="false">IF(OR(B423="",AB423="",AC423="",AD423=""),"",IFERROR(ROUND(ABS(AD423-AB423)/ABS(AB423-AC423),2),""))</f>
        <v/>
      </c>
      <c r="AK423" s="78" t="str">
        <f aca="false">IF(OR(B423="",AB423="",AC423="",AE423=""),"",IFERROR(ROUND(IF(J423="Short",AB423-AE423,AE423-AB423)/ABS(AB423-AC423),2),""))</f>
        <v/>
      </c>
      <c r="AL423" s="68" t="str">
        <f aca="false">IF(AK423="","",IF(ABS(AK423)&lt;=Settings!$C$6,"BE",IF(AK423&gt;0,"Win","Loss")))</f>
        <v/>
      </c>
      <c r="AM423" s="79" t="str">
        <f aca="false">IF(OR(AK423="",AI423=""),"",ROUND(AK423*AI423-N(AH423),2))</f>
        <v/>
      </c>
      <c r="AN423" s="76" t="str">
        <f aca="false">IF(AM423="","",ROUND(BK423+SUMIFS(AM$6:AM423,BJ$6:BJ423,BJ423),2))</f>
        <v/>
      </c>
      <c r="AO423" s="78" t="str">
        <f aca="false">IF(AK423="","",ROUND(SUMIFS(AK$6:AK423,BJ$6:BJ423,BJ423),2))</f>
        <v/>
      </c>
      <c r="AP423" s="80" t="str">
        <f aca="false">IF(OR(AK423="",BL423=""),"",IFERROR(ROUND(IF(J423="Short",AB423-AE423,AE423-AB423)/BL423,1),""))</f>
        <v/>
      </c>
      <c r="AQ423" s="66" t="str">
        <f aca="false">IF(OR(G423="",H423=""),"",ROUND(MOD(H423-G423,1)*1440,0))</f>
        <v/>
      </c>
      <c r="AR423" s="68" t="str">
        <f aca="false">IF(AQ423="","",IF(AQ423&lt;15,"Under 15m",IF(AQ423&lt;60,"15-60m",IF(AQ423&lt;240,"1-4 hours","4+ hours"))))</f>
        <v/>
      </c>
      <c r="AS423" s="66" t="str">
        <f aca="false">IF(G423="","",HOUR(G423))</f>
        <v/>
      </c>
      <c r="AT423" s="80" t="str">
        <f aca="false">IF(OR(Z423="",AB423="",BL423=""),"",IFERROR(ROUND(IF(J423="Short",Z423-AB423,AB423-Z423)/BL423,1),""))</f>
        <v/>
      </c>
      <c r="AU423" s="68" t="str">
        <f aca="false">IF(OR(AA423="",AC423=""),"",IF(AA423=AC423,"No","Yes"))</f>
        <v/>
      </c>
      <c r="AV423" s="81" t="str">
        <f aca="false">IF(OR(B423="",BL423="",BM423="",AB423="",AC423=""),"",IFERROR(ROUND(AI423/(ABS(AB423-AC423)/BL423*BM423),2),""))</f>
        <v/>
      </c>
      <c r="AW423" s="76" t="str">
        <f aca="false">IF(B423="","",ROUND(BK423+SUMIFS(AM$5:AM422,BJ$5:BJ422,BJ423),2))</f>
        <v/>
      </c>
      <c r="AX423" s="66" t="str">
        <f aca="false">IF(B423="","",COUNTIFS(B$6:B423,B423,BJ$6:BJ423,BJ423))</f>
        <v/>
      </c>
      <c r="AY423" s="79" t="str">
        <f aca="false">IF(B423="","",ROUND(SUMIFS(AM$5:AM422,B$5:B422,B423,BJ$5:BJ422,BJ423),2))</f>
        <v/>
      </c>
      <c r="AZ423" s="79" t="str">
        <f aca="false">IF(AM423="","",ROUND(AY423+AM423,2))</f>
        <v/>
      </c>
      <c r="BA423" s="79" t="str">
        <f aca="false">IF(B423="","",ROUND(SUMIFS(AM$5:AM422,B$5:B422,"&gt;="&amp;(B423-WEEKDAY(B423,2)+1),B$5:B422,"&lt;="&amp;B423,BJ$5:BJ422,BJ423),2))</f>
        <v/>
      </c>
      <c r="BB423" s="68" t="str">
        <f aca="false">IF(B423="","",IF(AND(AF423&lt;&gt;"",AV423&lt;&gt;"",N(AF423)&gt;N(AV423)*(1+Settings!$C$13)),"Oversized",IF(AX423&gt;Settings!$C$10,"Overtraded",IF(AY423&lt;=-Settings!$C$11*(AW423-AY423),"Daily loss hit",IF(BA423&lt;=-Settings!$C$12*(AW423-BA423),"Weekly loss hit","OK")))))</f>
        <v/>
      </c>
      <c r="BC423" s="69"/>
      <c r="BD423" s="69"/>
      <c r="BE423" s="69"/>
      <c r="BF423" s="73"/>
      <c r="BG423" s="73"/>
      <c r="BH423" s="71"/>
      <c r="BI423" s="71"/>
      <c r="BJ423" s="68" t="str">
        <f aca="false">IF(B423="","",IF(E423="",Settings!$F$5,E423))</f>
        <v/>
      </c>
      <c r="BK423" s="76" t="str">
        <f aca="false">IF(B423="","",IFERROR(INDEX(Settings!$G$5:$G$10,MATCH(BJ423,Settings!$F$5:$F$10,0)),Settings!$G$5))</f>
        <v/>
      </c>
      <c r="BL423" s="82" t="str">
        <f aca="false">IF(I423="","",IFERROR(1/(1/INDEX(Lists!$C$6:$C$17,MATCH(I423,Lists!$B$6:$B$17,0))),""))</f>
        <v/>
      </c>
      <c r="BM423" s="81" t="str">
        <f aca="false">IF(I423="","",IFERROR(1/(1/INDEX(Lists!$D$6:$D$17,MATCH(I423,Lists!$B$6:$B$17,0))),""))</f>
        <v/>
      </c>
      <c r="BN423" s="76" t="str">
        <f aca="false">IF(AN423="","",MAX(BK423,_xlfn.MAXIFS(AN$6:AN423,BJ$6:BJ423,BJ423)))</f>
        <v/>
      </c>
      <c r="BO423" s="83" t="str">
        <f aca="false">IF(AN423="","",(AN423-BN423)/BN423)</f>
        <v/>
      </c>
      <c r="BP423" s="66" t="n">
        <f aca="false">IF(OR(B423="",AL423=""),0,IF(OR(Settings!$C$28="All Accounts",BJ423=Settings!$C$28),1,0))</f>
        <v>0</v>
      </c>
      <c r="BQ423" s="66" t="str">
        <f aca="false">IF(BP423=1,SUM(BP$6:BP423),"")</f>
        <v/>
      </c>
      <c r="BR423" s="76" t="str">
        <f aca="false">IF(BP423=1,ROUND(Settings!$C$29+SUMIFS(AM$6:AM423,BP$6:BP423,1),2),"")</f>
        <v/>
      </c>
      <c r="BS423" s="76" t="str">
        <f aca="false">IF(BP423=1,MAX(Settings!$C$29,MAX(BR$6:BR423)),"")</f>
        <v/>
      </c>
      <c r="BT423" s="83" t="str">
        <f aca="false">IF(BP423=1,(BR423-BS423)/BS423,"")</f>
        <v/>
      </c>
      <c r="BU423" s="66" t="str">
        <f aca="false">IF(BP423=1,IF(AL423="Win",1+IF(BQ423=1,0,INDEX(BU$5:BU422,MATCH(BQ423-1,BQ$5:BQ422,0))),0),"")</f>
        <v/>
      </c>
      <c r="BV423" s="66" t="str">
        <f aca="false">IF(BP423=1,IF(AL423="Loss",1+IF(BQ423=1,0,INDEX(BV$5:BV422,MATCH(BQ423-1,BQ$5:BQ422,0))),0),"")</f>
        <v/>
      </c>
    </row>
    <row r="424" customFormat="false" ht="15" hidden="false" customHeight="false" outlineLevel="0" collapsed="false">
      <c r="A424" s="66" t="str">
        <f aca="false">IF(B424="","",ROW()-5)</f>
        <v/>
      </c>
      <c r="B424" s="67"/>
      <c r="C424" s="68" t="str">
        <f aca="false">IF(B424="","",CHOOSE(WEEKDAY(B424,2),"Mon","Tue","Wed","Thu","Fri","Sat","Sun"))</f>
        <v/>
      </c>
      <c r="D424" s="66" t="str">
        <f aca="false">IF(B424="","",WEEKNUM(B424,2))</f>
        <v/>
      </c>
      <c r="E424" s="69"/>
      <c r="F424" s="69"/>
      <c r="G424" s="70"/>
      <c r="H424" s="70"/>
      <c r="I424" s="69"/>
      <c r="J424" s="69"/>
      <c r="K424" s="69"/>
      <c r="L424" s="71"/>
      <c r="M424" s="69"/>
      <c r="N424" s="69"/>
      <c r="O424" s="69"/>
      <c r="P424" s="71"/>
      <c r="Q424" s="69"/>
      <c r="R424" s="69"/>
      <c r="S424" s="69"/>
      <c r="T424" s="69"/>
      <c r="U424" s="69"/>
      <c r="V424" s="69"/>
      <c r="W424" s="69"/>
      <c r="X424" s="66" t="str">
        <f aca="false">IF(B424="","",COUNTIF(Q424:W424,"Yes"))</f>
        <v/>
      </c>
      <c r="Y424" s="68" t="str">
        <f aca="false">IF(B424="","",IF(X424&gt;=Settings!$C$16,"A+",IF(X424&gt;=Settings!$C$17,"A",IF(X424&gt;=Settings!$C$18,"B","C"))))</f>
        <v/>
      </c>
      <c r="Z424" s="72"/>
      <c r="AA424" s="72"/>
      <c r="AB424" s="72"/>
      <c r="AC424" s="72"/>
      <c r="AD424" s="72"/>
      <c r="AE424" s="72"/>
      <c r="AF424" s="73"/>
      <c r="AG424" s="74"/>
      <c r="AH424" s="75"/>
      <c r="AI424" s="76" t="str">
        <f aca="false">IF(B424="","",ROUND(IF(AG424="",Settings!$C$5,AG424)*AW424,2))</f>
        <v/>
      </c>
      <c r="AJ424" s="77" t="str">
        <f aca="false">IF(OR(B424="",AB424="",AC424="",AD424=""),"",IFERROR(ROUND(ABS(AD424-AB424)/ABS(AB424-AC424),2),""))</f>
        <v/>
      </c>
      <c r="AK424" s="78" t="str">
        <f aca="false">IF(OR(B424="",AB424="",AC424="",AE424=""),"",IFERROR(ROUND(IF(J424="Short",AB424-AE424,AE424-AB424)/ABS(AB424-AC424),2),""))</f>
        <v/>
      </c>
      <c r="AL424" s="68" t="str">
        <f aca="false">IF(AK424="","",IF(ABS(AK424)&lt;=Settings!$C$6,"BE",IF(AK424&gt;0,"Win","Loss")))</f>
        <v/>
      </c>
      <c r="AM424" s="79" t="str">
        <f aca="false">IF(OR(AK424="",AI424=""),"",ROUND(AK424*AI424-N(AH424),2))</f>
        <v/>
      </c>
      <c r="AN424" s="76" t="str">
        <f aca="false">IF(AM424="","",ROUND(BK424+SUMIFS(AM$6:AM424,BJ$6:BJ424,BJ424),2))</f>
        <v/>
      </c>
      <c r="AO424" s="78" t="str">
        <f aca="false">IF(AK424="","",ROUND(SUMIFS(AK$6:AK424,BJ$6:BJ424,BJ424),2))</f>
        <v/>
      </c>
      <c r="AP424" s="80" t="str">
        <f aca="false">IF(OR(AK424="",BL424=""),"",IFERROR(ROUND(IF(J424="Short",AB424-AE424,AE424-AB424)/BL424,1),""))</f>
        <v/>
      </c>
      <c r="AQ424" s="66" t="str">
        <f aca="false">IF(OR(G424="",H424=""),"",ROUND(MOD(H424-G424,1)*1440,0))</f>
        <v/>
      </c>
      <c r="AR424" s="68" t="str">
        <f aca="false">IF(AQ424="","",IF(AQ424&lt;15,"Under 15m",IF(AQ424&lt;60,"15-60m",IF(AQ424&lt;240,"1-4 hours","4+ hours"))))</f>
        <v/>
      </c>
      <c r="AS424" s="66" t="str">
        <f aca="false">IF(G424="","",HOUR(G424))</f>
        <v/>
      </c>
      <c r="AT424" s="80" t="str">
        <f aca="false">IF(OR(Z424="",AB424="",BL424=""),"",IFERROR(ROUND(IF(J424="Short",Z424-AB424,AB424-Z424)/BL424,1),""))</f>
        <v/>
      </c>
      <c r="AU424" s="68" t="str">
        <f aca="false">IF(OR(AA424="",AC424=""),"",IF(AA424=AC424,"No","Yes"))</f>
        <v/>
      </c>
      <c r="AV424" s="81" t="str">
        <f aca="false">IF(OR(B424="",BL424="",BM424="",AB424="",AC424=""),"",IFERROR(ROUND(AI424/(ABS(AB424-AC424)/BL424*BM424),2),""))</f>
        <v/>
      </c>
      <c r="AW424" s="76" t="str">
        <f aca="false">IF(B424="","",ROUND(BK424+SUMIFS(AM$5:AM423,BJ$5:BJ423,BJ424),2))</f>
        <v/>
      </c>
      <c r="AX424" s="66" t="str">
        <f aca="false">IF(B424="","",COUNTIFS(B$6:B424,B424,BJ$6:BJ424,BJ424))</f>
        <v/>
      </c>
      <c r="AY424" s="79" t="str">
        <f aca="false">IF(B424="","",ROUND(SUMIFS(AM$5:AM423,B$5:B423,B424,BJ$5:BJ423,BJ424),2))</f>
        <v/>
      </c>
      <c r="AZ424" s="79" t="str">
        <f aca="false">IF(AM424="","",ROUND(AY424+AM424,2))</f>
        <v/>
      </c>
      <c r="BA424" s="79" t="str">
        <f aca="false">IF(B424="","",ROUND(SUMIFS(AM$5:AM423,B$5:B423,"&gt;="&amp;(B424-WEEKDAY(B424,2)+1),B$5:B423,"&lt;="&amp;B424,BJ$5:BJ423,BJ424),2))</f>
        <v/>
      </c>
      <c r="BB424" s="68" t="str">
        <f aca="false">IF(B424="","",IF(AND(AF424&lt;&gt;"",AV424&lt;&gt;"",N(AF424)&gt;N(AV424)*(1+Settings!$C$13)),"Oversized",IF(AX424&gt;Settings!$C$10,"Overtraded",IF(AY424&lt;=-Settings!$C$11*(AW424-AY424),"Daily loss hit",IF(BA424&lt;=-Settings!$C$12*(AW424-BA424),"Weekly loss hit","OK")))))</f>
        <v/>
      </c>
      <c r="BC424" s="69"/>
      <c r="BD424" s="69"/>
      <c r="BE424" s="69"/>
      <c r="BF424" s="73"/>
      <c r="BG424" s="73"/>
      <c r="BH424" s="71"/>
      <c r="BI424" s="71"/>
      <c r="BJ424" s="68" t="str">
        <f aca="false">IF(B424="","",IF(E424="",Settings!$F$5,E424))</f>
        <v/>
      </c>
      <c r="BK424" s="76" t="str">
        <f aca="false">IF(B424="","",IFERROR(INDEX(Settings!$G$5:$G$10,MATCH(BJ424,Settings!$F$5:$F$10,0)),Settings!$G$5))</f>
        <v/>
      </c>
      <c r="BL424" s="82" t="str">
        <f aca="false">IF(I424="","",IFERROR(1/(1/INDEX(Lists!$C$6:$C$17,MATCH(I424,Lists!$B$6:$B$17,0))),""))</f>
        <v/>
      </c>
      <c r="BM424" s="81" t="str">
        <f aca="false">IF(I424="","",IFERROR(1/(1/INDEX(Lists!$D$6:$D$17,MATCH(I424,Lists!$B$6:$B$17,0))),""))</f>
        <v/>
      </c>
      <c r="BN424" s="76" t="str">
        <f aca="false">IF(AN424="","",MAX(BK424,_xlfn.MAXIFS(AN$6:AN424,BJ$6:BJ424,BJ424)))</f>
        <v/>
      </c>
      <c r="BO424" s="83" t="str">
        <f aca="false">IF(AN424="","",(AN424-BN424)/BN424)</f>
        <v/>
      </c>
      <c r="BP424" s="66" t="n">
        <f aca="false">IF(OR(B424="",AL424=""),0,IF(OR(Settings!$C$28="All Accounts",BJ424=Settings!$C$28),1,0))</f>
        <v>0</v>
      </c>
      <c r="BQ424" s="66" t="str">
        <f aca="false">IF(BP424=1,SUM(BP$6:BP424),"")</f>
        <v/>
      </c>
      <c r="BR424" s="76" t="str">
        <f aca="false">IF(BP424=1,ROUND(Settings!$C$29+SUMIFS(AM$6:AM424,BP$6:BP424,1),2),"")</f>
        <v/>
      </c>
      <c r="BS424" s="76" t="str">
        <f aca="false">IF(BP424=1,MAX(Settings!$C$29,MAX(BR$6:BR424)),"")</f>
        <v/>
      </c>
      <c r="BT424" s="83" t="str">
        <f aca="false">IF(BP424=1,(BR424-BS424)/BS424,"")</f>
        <v/>
      </c>
      <c r="BU424" s="66" t="str">
        <f aca="false">IF(BP424=1,IF(AL424="Win",1+IF(BQ424=1,0,INDEX(BU$5:BU423,MATCH(BQ424-1,BQ$5:BQ423,0))),0),"")</f>
        <v/>
      </c>
      <c r="BV424" s="66" t="str">
        <f aca="false">IF(BP424=1,IF(AL424="Loss",1+IF(BQ424=1,0,INDEX(BV$5:BV423,MATCH(BQ424-1,BQ$5:BQ423,0))),0),"")</f>
        <v/>
      </c>
    </row>
    <row r="425" customFormat="false" ht="15" hidden="false" customHeight="false" outlineLevel="0" collapsed="false">
      <c r="A425" s="66" t="str">
        <f aca="false">IF(B425="","",ROW()-5)</f>
        <v/>
      </c>
      <c r="B425" s="67"/>
      <c r="C425" s="68" t="str">
        <f aca="false">IF(B425="","",CHOOSE(WEEKDAY(B425,2),"Mon","Tue","Wed","Thu","Fri","Sat","Sun"))</f>
        <v/>
      </c>
      <c r="D425" s="66" t="str">
        <f aca="false">IF(B425="","",WEEKNUM(B425,2))</f>
        <v/>
      </c>
      <c r="E425" s="69"/>
      <c r="F425" s="69"/>
      <c r="G425" s="70"/>
      <c r="H425" s="70"/>
      <c r="I425" s="69"/>
      <c r="J425" s="69"/>
      <c r="K425" s="69"/>
      <c r="L425" s="71"/>
      <c r="M425" s="69"/>
      <c r="N425" s="69"/>
      <c r="O425" s="69"/>
      <c r="P425" s="71"/>
      <c r="Q425" s="69"/>
      <c r="R425" s="69"/>
      <c r="S425" s="69"/>
      <c r="T425" s="69"/>
      <c r="U425" s="69"/>
      <c r="V425" s="69"/>
      <c r="W425" s="69"/>
      <c r="X425" s="66" t="str">
        <f aca="false">IF(B425="","",COUNTIF(Q425:W425,"Yes"))</f>
        <v/>
      </c>
      <c r="Y425" s="68" t="str">
        <f aca="false">IF(B425="","",IF(X425&gt;=Settings!$C$16,"A+",IF(X425&gt;=Settings!$C$17,"A",IF(X425&gt;=Settings!$C$18,"B","C"))))</f>
        <v/>
      </c>
      <c r="Z425" s="72"/>
      <c r="AA425" s="72"/>
      <c r="AB425" s="72"/>
      <c r="AC425" s="72"/>
      <c r="AD425" s="72"/>
      <c r="AE425" s="72"/>
      <c r="AF425" s="73"/>
      <c r="AG425" s="74"/>
      <c r="AH425" s="75"/>
      <c r="AI425" s="76" t="str">
        <f aca="false">IF(B425="","",ROUND(IF(AG425="",Settings!$C$5,AG425)*AW425,2))</f>
        <v/>
      </c>
      <c r="AJ425" s="77" t="str">
        <f aca="false">IF(OR(B425="",AB425="",AC425="",AD425=""),"",IFERROR(ROUND(ABS(AD425-AB425)/ABS(AB425-AC425),2),""))</f>
        <v/>
      </c>
      <c r="AK425" s="78" t="str">
        <f aca="false">IF(OR(B425="",AB425="",AC425="",AE425=""),"",IFERROR(ROUND(IF(J425="Short",AB425-AE425,AE425-AB425)/ABS(AB425-AC425),2),""))</f>
        <v/>
      </c>
      <c r="AL425" s="68" t="str">
        <f aca="false">IF(AK425="","",IF(ABS(AK425)&lt;=Settings!$C$6,"BE",IF(AK425&gt;0,"Win","Loss")))</f>
        <v/>
      </c>
      <c r="AM425" s="79" t="str">
        <f aca="false">IF(OR(AK425="",AI425=""),"",ROUND(AK425*AI425-N(AH425),2))</f>
        <v/>
      </c>
      <c r="AN425" s="76" t="str">
        <f aca="false">IF(AM425="","",ROUND(BK425+SUMIFS(AM$6:AM425,BJ$6:BJ425,BJ425),2))</f>
        <v/>
      </c>
      <c r="AO425" s="78" t="str">
        <f aca="false">IF(AK425="","",ROUND(SUMIFS(AK$6:AK425,BJ$6:BJ425,BJ425),2))</f>
        <v/>
      </c>
      <c r="AP425" s="80" t="str">
        <f aca="false">IF(OR(AK425="",BL425=""),"",IFERROR(ROUND(IF(J425="Short",AB425-AE425,AE425-AB425)/BL425,1),""))</f>
        <v/>
      </c>
      <c r="AQ425" s="66" t="str">
        <f aca="false">IF(OR(G425="",H425=""),"",ROUND(MOD(H425-G425,1)*1440,0))</f>
        <v/>
      </c>
      <c r="AR425" s="68" t="str">
        <f aca="false">IF(AQ425="","",IF(AQ425&lt;15,"Under 15m",IF(AQ425&lt;60,"15-60m",IF(AQ425&lt;240,"1-4 hours","4+ hours"))))</f>
        <v/>
      </c>
      <c r="AS425" s="66" t="str">
        <f aca="false">IF(G425="","",HOUR(G425))</f>
        <v/>
      </c>
      <c r="AT425" s="80" t="str">
        <f aca="false">IF(OR(Z425="",AB425="",BL425=""),"",IFERROR(ROUND(IF(J425="Short",Z425-AB425,AB425-Z425)/BL425,1),""))</f>
        <v/>
      </c>
      <c r="AU425" s="68" t="str">
        <f aca="false">IF(OR(AA425="",AC425=""),"",IF(AA425=AC425,"No","Yes"))</f>
        <v/>
      </c>
      <c r="AV425" s="81" t="str">
        <f aca="false">IF(OR(B425="",BL425="",BM425="",AB425="",AC425=""),"",IFERROR(ROUND(AI425/(ABS(AB425-AC425)/BL425*BM425),2),""))</f>
        <v/>
      </c>
      <c r="AW425" s="76" t="str">
        <f aca="false">IF(B425="","",ROUND(BK425+SUMIFS(AM$5:AM424,BJ$5:BJ424,BJ425),2))</f>
        <v/>
      </c>
      <c r="AX425" s="66" t="str">
        <f aca="false">IF(B425="","",COUNTIFS(B$6:B425,B425,BJ$6:BJ425,BJ425))</f>
        <v/>
      </c>
      <c r="AY425" s="79" t="str">
        <f aca="false">IF(B425="","",ROUND(SUMIFS(AM$5:AM424,B$5:B424,B425,BJ$5:BJ424,BJ425),2))</f>
        <v/>
      </c>
      <c r="AZ425" s="79" t="str">
        <f aca="false">IF(AM425="","",ROUND(AY425+AM425,2))</f>
        <v/>
      </c>
      <c r="BA425" s="79" t="str">
        <f aca="false">IF(B425="","",ROUND(SUMIFS(AM$5:AM424,B$5:B424,"&gt;="&amp;(B425-WEEKDAY(B425,2)+1),B$5:B424,"&lt;="&amp;B425,BJ$5:BJ424,BJ425),2))</f>
        <v/>
      </c>
      <c r="BB425" s="68" t="str">
        <f aca="false">IF(B425="","",IF(AND(AF425&lt;&gt;"",AV425&lt;&gt;"",N(AF425)&gt;N(AV425)*(1+Settings!$C$13)),"Oversized",IF(AX425&gt;Settings!$C$10,"Overtraded",IF(AY425&lt;=-Settings!$C$11*(AW425-AY425),"Daily loss hit",IF(BA425&lt;=-Settings!$C$12*(AW425-BA425),"Weekly loss hit","OK")))))</f>
        <v/>
      </c>
      <c r="BC425" s="69"/>
      <c r="BD425" s="69"/>
      <c r="BE425" s="69"/>
      <c r="BF425" s="73"/>
      <c r="BG425" s="73"/>
      <c r="BH425" s="71"/>
      <c r="BI425" s="71"/>
      <c r="BJ425" s="68" t="str">
        <f aca="false">IF(B425="","",IF(E425="",Settings!$F$5,E425))</f>
        <v/>
      </c>
      <c r="BK425" s="76" t="str">
        <f aca="false">IF(B425="","",IFERROR(INDEX(Settings!$G$5:$G$10,MATCH(BJ425,Settings!$F$5:$F$10,0)),Settings!$G$5))</f>
        <v/>
      </c>
      <c r="BL425" s="82" t="str">
        <f aca="false">IF(I425="","",IFERROR(1/(1/INDEX(Lists!$C$6:$C$17,MATCH(I425,Lists!$B$6:$B$17,0))),""))</f>
        <v/>
      </c>
      <c r="BM425" s="81" t="str">
        <f aca="false">IF(I425="","",IFERROR(1/(1/INDEX(Lists!$D$6:$D$17,MATCH(I425,Lists!$B$6:$B$17,0))),""))</f>
        <v/>
      </c>
      <c r="BN425" s="76" t="str">
        <f aca="false">IF(AN425="","",MAX(BK425,_xlfn.MAXIFS(AN$6:AN425,BJ$6:BJ425,BJ425)))</f>
        <v/>
      </c>
      <c r="BO425" s="83" t="str">
        <f aca="false">IF(AN425="","",(AN425-BN425)/BN425)</f>
        <v/>
      </c>
      <c r="BP425" s="66" t="n">
        <f aca="false">IF(OR(B425="",AL425=""),0,IF(OR(Settings!$C$28="All Accounts",BJ425=Settings!$C$28),1,0))</f>
        <v>0</v>
      </c>
      <c r="BQ425" s="66" t="str">
        <f aca="false">IF(BP425=1,SUM(BP$6:BP425),"")</f>
        <v/>
      </c>
      <c r="BR425" s="76" t="str">
        <f aca="false">IF(BP425=1,ROUND(Settings!$C$29+SUMIFS(AM$6:AM425,BP$6:BP425,1),2),"")</f>
        <v/>
      </c>
      <c r="BS425" s="76" t="str">
        <f aca="false">IF(BP425=1,MAX(Settings!$C$29,MAX(BR$6:BR425)),"")</f>
        <v/>
      </c>
      <c r="BT425" s="83" t="str">
        <f aca="false">IF(BP425=1,(BR425-BS425)/BS425,"")</f>
        <v/>
      </c>
      <c r="BU425" s="66" t="str">
        <f aca="false">IF(BP425=1,IF(AL425="Win",1+IF(BQ425=1,0,INDEX(BU$5:BU424,MATCH(BQ425-1,BQ$5:BQ424,0))),0),"")</f>
        <v/>
      </c>
      <c r="BV425" s="66" t="str">
        <f aca="false">IF(BP425=1,IF(AL425="Loss",1+IF(BQ425=1,0,INDEX(BV$5:BV424,MATCH(BQ425-1,BQ$5:BQ424,0))),0),"")</f>
        <v/>
      </c>
    </row>
    <row r="426" customFormat="false" ht="15" hidden="false" customHeight="false" outlineLevel="0" collapsed="false">
      <c r="A426" s="66" t="str">
        <f aca="false">IF(B426="","",ROW()-5)</f>
        <v/>
      </c>
      <c r="B426" s="67"/>
      <c r="C426" s="68" t="str">
        <f aca="false">IF(B426="","",CHOOSE(WEEKDAY(B426,2),"Mon","Tue","Wed","Thu","Fri","Sat","Sun"))</f>
        <v/>
      </c>
      <c r="D426" s="66" t="str">
        <f aca="false">IF(B426="","",WEEKNUM(B426,2))</f>
        <v/>
      </c>
      <c r="E426" s="69"/>
      <c r="F426" s="69"/>
      <c r="G426" s="70"/>
      <c r="H426" s="70"/>
      <c r="I426" s="69"/>
      <c r="J426" s="69"/>
      <c r="K426" s="69"/>
      <c r="L426" s="71"/>
      <c r="M426" s="69"/>
      <c r="N426" s="69"/>
      <c r="O426" s="69"/>
      <c r="P426" s="71"/>
      <c r="Q426" s="69"/>
      <c r="R426" s="69"/>
      <c r="S426" s="69"/>
      <c r="T426" s="69"/>
      <c r="U426" s="69"/>
      <c r="V426" s="69"/>
      <c r="W426" s="69"/>
      <c r="X426" s="66" t="str">
        <f aca="false">IF(B426="","",COUNTIF(Q426:W426,"Yes"))</f>
        <v/>
      </c>
      <c r="Y426" s="68" t="str">
        <f aca="false">IF(B426="","",IF(X426&gt;=Settings!$C$16,"A+",IF(X426&gt;=Settings!$C$17,"A",IF(X426&gt;=Settings!$C$18,"B","C"))))</f>
        <v/>
      </c>
      <c r="Z426" s="72"/>
      <c r="AA426" s="72"/>
      <c r="AB426" s="72"/>
      <c r="AC426" s="72"/>
      <c r="AD426" s="72"/>
      <c r="AE426" s="72"/>
      <c r="AF426" s="73"/>
      <c r="AG426" s="74"/>
      <c r="AH426" s="75"/>
      <c r="AI426" s="76" t="str">
        <f aca="false">IF(B426="","",ROUND(IF(AG426="",Settings!$C$5,AG426)*AW426,2))</f>
        <v/>
      </c>
      <c r="AJ426" s="77" t="str">
        <f aca="false">IF(OR(B426="",AB426="",AC426="",AD426=""),"",IFERROR(ROUND(ABS(AD426-AB426)/ABS(AB426-AC426),2),""))</f>
        <v/>
      </c>
      <c r="AK426" s="78" t="str">
        <f aca="false">IF(OR(B426="",AB426="",AC426="",AE426=""),"",IFERROR(ROUND(IF(J426="Short",AB426-AE426,AE426-AB426)/ABS(AB426-AC426),2),""))</f>
        <v/>
      </c>
      <c r="AL426" s="68" t="str">
        <f aca="false">IF(AK426="","",IF(ABS(AK426)&lt;=Settings!$C$6,"BE",IF(AK426&gt;0,"Win","Loss")))</f>
        <v/>
      </c>
      <c r="AM426" s="79" t="str">
        <f aca="false">IF(OR(AK426="",AI426=""),"",ROUND(AK426*AI426-N(AH426),2))</f>
        <v/>
      </c>
      <c r="AN426" s="76" t="str">
        <f aca="false">IF(AM426="","",ROUND(BK426+SUMIFS(AM$6:AM426,BJ$6:BJ426,BJ426),2))</f>
        <v/>
      </c>
      <c r="AO426" s="78" t="str">
        <f aca="false">IF(AK426="","",ROUND(SUMIFS(AK$6:AK426,BJ$6:BJ426,BJ426),2))</f>
        <v/>
      </c>
      <c r="AP426" s="80" t="str">
        <f aca="false">IF(OR(AK426="",BL426=""),"",IFERROR(ROUND(IF(J426="Short",AB426-AE426,AE426-AB426)/BL426,1),""))</f>
        <v/>
      </c>
      <c r="AQ426" s="66" t="str">
        <f aca="false">IF(OR(G426="",H426=""),"",ROUND(MOD(H426-G426,1)*1440,0))</f>
        <v/>
      </c>
      <c r="AR426" s="68" t="str">
        <f aca="false">IF(AQ426="","",IF(AQ426&lt;15,"Under 15m",IF(AQ426&lt;60,"15-60m",IF(AQ426&lt;240,"1-4 hours","4+ hours"))))</f>
        <v/>
      </c>
      <c r="AS426" s="66" t="str">
        <f aca="false">IF(G426="","",HOUR(G426))</f>
        <v/>
      </c>
      <c r="AT426" s="80" t="str">
        <f aca="false">IF(OR(Z426="",AB426="",BL426=""),"",IFERROR(ROUND(IF(J426="Short",Z426-AB426,AB426-Z426)/BL426,1),""))</f>
        <v/>
      </c>
      <c r="AU426" s="68" t="str">
        <f aca="false">IF(OR(AA426="",AC426=""),"",IF(AA426=AC426,"No","Yes"))</f>
        <v/>
      </c>
      <c r="AV426" s="81" t="str">
        <f aca="false">IF(OR(B426="",BL426="",BM426="",AB426="",AC426=""),"",IFERROR(ROUND(AI426/(ABS(AB426-AC426)/BL426*BM426),2),""))</f>
        <v/>
      </c>
      <c r="AW426" s="76" t="str">
        <f aca="false">IF(B426="","",ROUND(BK426+SUMIFS(AM$5:AM425,BJ$5:BJ425,BJ426),2))</f>
        <v/>
      </c>
      <c r="AX426" s="66" t="str">
        <f aca="false">IF(B426="","",COUNTIFS(B$6:B426,B426,BJ$6:BJ426,BJ426))</f>
        <v/>
      </c>
      <c r="AY426" s="79" t="str">
        <f aca="false">IF(B426="","",ROUND(SUMIFS(AM$5:AM425,B$5:B425,B426,BJ$5:BJ425,BJ426),2))</f>
        <v/>
      </c>
      <c r="AZ426" s="79" t="str">
        <f aca="false">IF(AM426="","",ROUND(AY426+AM426,2))</f>
        <v/>
      </c>
      <c r="BA426" s="79" t="str">
        <f aca="false">IF(B426="","",ROUND(SUMIFS(AM$5:AM425,B$5:B425,"&gt;="&amp;(B426-WEEKDAY(B426,2)+1),B$5:B425,"&lt;="&amp;B426,BJ$5:BJ425,BJ426),2))</f>
        <v/>
      </c>
      <c r="BB426" s="68" t="str">
        <f aca="false">IF(B426="","",IF(AND(AF426&lt;&gt;"",AV426&lt;&gt;"",N(AF426)&gt;N(AV426)*(1+Settings!$C$13)),"Oversized",IF(AX426&gt;Settings!$C$10,"Overtraded",IF(AY426&lt;=-Settings!$C$11*(AW426-AY426),"Daily loss hit",IF(BA426&lt;=-Settings!$C$12*(AW426-BA426),"Weekly loss hit","OK")))))</f>
        <v/>
      </c>
      <c r="BC426" s="69"/>
      <c r="BD426" s="69"/>
      <c r="BE426" s="69"/>
      <c r="BF426" s="73"/>
      <c r="BG426" s="73"/>
      <c r="BH426" s="71"/>
      <c r="BI426" s="71"/>
      <c r="BJ426" s="68" t="str">
        <f aca="false">IF(B426="","",IF(E426="",Settings!$F$5,E426))</f>
        <v/>
      </c>
      <c r="BK426" s="76" t="str">
        <f aca="false">IF(B426="","",IFERROR(INDEX(Settings!$G$5:$G$10,MATCH(BJ426,Settings!$F$5:$F$10,0)),Settings!$G$5))</f>
        <v/>
      </c>
      <c r="BL426" s="82" t="str">
        <f aca="false">IF(I426="","",IFERROR(1/(1/INDEX(Lists!$C$6:$C$17,MATCH(I426,Lists!$B$6:$B$17,0))),""))</f>
        <v/>
      </c>
      <c r="BM426" s="81" t="str">
        <f aca="false">IF(I426="","",IFERROR(1/(1/INDEX(Lists!$D$6:$D$17,MATCH(I426,Lists!$B$6:$B$17,0))),""))</f>
        <v/>
      </c>
      <c r="BN426" s="76" t="str">
        <f aca="false">IF(AN426="","",MAX(BK426,_xlfn.MAXIFS(AN$6:AN426,BJ$6:BJ426,BJ426)))</f>
        <v/>
      </c>
      <c r="BO426" s="83" t="str">
        <f aca="false">IF(AN426="","",(AN426-BN426)/BN426)</f>
        <v/>
      </c>
      <c r="BP426" s="66" t="n">
        <f aca="false">IF(OR(B426="",AL426=""),0,IF(OR(Settings!$C$28="All Accounts",BJ426=Settings!$C$28),1,0))</f>
        <v>0</v>
      </c>
      <c r="BQ426" s="66" t="str">
        <f aca="false">IF(BP426=1,SUM(BP$6:BP426),"")</f>
        <v/>
      </c>
      <c r="BR426" s="76" t="str">
        <f aca="false">IF(BP426=1,ROUND(Settings!$C$29+SUMIFS(AM$6:AM426,BP$6:BP426,1),2),"")</f>
        <v/>
      </c>
      <c r="BS426" s="76" t="str">
        <f aca="false">IF(BP426=1,MAX(Settings!$C$29,MAX(BR$6:BR426)),"")</f>
        <v/>
      </c>
      <c r="BT426" s="83" t="str">
        <f aca="false">IF(BP426=1,(BR426-BS426)/BS426,"")</f>
        <v/>
      </c>
      <c r="BU426" s="66" t="str">
        <f aca="false">IF(BP426=1,IF(AL426="Win",1+IF(BQ426=1,0,INDEX(BU$5:BU425,MATCH(BQ426-1,BQ$5:BQ425,0))),0),"")</f>
        <v/>
      </c>
      <c r="BV426" s="66" t="str">
        <f aca="false">IF(BP426=1,IF(AL426="Loss",1+IF(BQ426=1,0,INDEX(BV$5:BV425,MATCH(BQ426-1,BQ$5:BQ425,0))),0),"")</f>
        <v/>
      </c>
    </row>
    <row r="427" customFormat="false" ht="15" hidden="false" customHeight="false" outlineLevel="0" collapsed="false">
      <c r="A427" s="66" t="str">
        <f aca="false">IF(B427="","",ROW()-5)</f>
        <v/>
      </c>
      <c r="B427" s="67"/>
      <c r="C427" s="68" t="str">
        <f aca="false">IF(B427="","",CHOOSE(WEEKDAY(B427,2),"Mon","Tue","Wed","Thu","Fri","Sat","Sun"))</f>
        <v/>
      </c>
      <c r="D427" s="66" t="str">
        <f aca="false">IF(B427="","",WEEKNUM(B427,2))</f>
        <v/>
      </c>
      <c r="E427" s="69"/>
      <c r="F427" s="69"/>
      <c r="G427" s="70"/>
      <c r="H427" s="70"/>
      <c r="I427" s="69"/>
      <c r="J427" s="69"/>
      <c r="K427" s="69"/>
      <c r="L427" s="71"/>
      <c r="M427" s="69"/>
      <c r="N427" s="69"/>
      <c r="O427" s="69"/>
      <c r="P427" s="71"/>
      <c r="Q427" s="69"/>
      <c r="R427" s="69"/>
      <c r="S427" s="69"/>
      <c r="T427" s="69"/>
      <c r="U427" s="69"/>
      <c r="V427" s="69"/>
      <c r="W427" s="69"/>
      <c r="X427" s="66" t="str">
        <f aca="false">IF(B427="","",COUNTIF(Q427:W427,"Yes"))</f>
        <v/>
      </c>
      <c r="Y427" s="68" t="str">
        <f aca="false">IF(B427="","",IF(X427&gt;=Settings!$C$16,"A+",IF(X427&gt;=Settings!$C$17,"A",IF(X427&gt;=Settings!$C$18,"B","C"))))</f>
        <v/>
      </c>
      <c r="Z427" s="72"/>
      <c r="AA427" s="72"/>
      <c r="AB427" s="72"/>
      <c r="AC427" s="72"/>
      <c r="AD427" s="72"/>
      <c r="AE427" s="72"/>
      <c r="AF427" s="73"/>
      <c r="AG427" s="74"/>
      <c r="AH427" s="75"/>
      <c r="AI427" s="76" t="str">
        <f aca="false">IF(B427="","",ROUND(IF(AG427="",Settings!$C$5,AG427)*AW427,2))</f>
        <v/>
      </c>
      <c r="AJ427" s="77" t="str">
        <f aca="false">IF(OR(B427="",AB427="",AC427="",AD427=""),"",IFERROR(ROUND(ABS(AD427-AB427)/ABS(AB427-AC427),2),""))</f>
        <v/>
      </c>
      <c r="AK427" s="78" t="str">
        <f aca="false">IF(OR(B427="",AB427="",AC427="",AE427=""),"",IFERROR(ROUND(IF(J427="Short",AB427-AE427,AE427-AB427)/ABS(AB427-AC427),2),""))</f>
        <v/>
      </c>
      <c r="AL427" s="68" t="str">
        <f aca="false">IF(AK427="","",IF(ABS(AK427)&lt;=Settings!$C$6,"BE",IF(AK427&gt;0,"Win","Loss")))</f>
        <v/>
      </c>
      <c r="AM427" s="79" t="str">
        <f aca="false">IF(OR(AK427="",AI427=""),"",ROUND(AK427*AI427-N(AH427),2))</f>
        <v/>
      </c>
      <c r="AN427" s="76" t="str">
        <f aca="false">IF(AM427="","",ROUND(BK427+SUMIFS(AM$6:AM427,BJ$6:BJ427,BJ427),2))</f>
        <v/>
      </c>
      <c r="AO427" s="78" t="str">
        <f aca="false">IF(AK427="","",ROUND(SUMIFS(AK$6:AK427,BJ$6:BJ427,BJ427),2))</f>
        <v/>
      </c>
      <c r="AP427" s="80" t="str">
        <f aca="false">IF(OR(AK427="",BL427=""),"",IFERROR(ROUND(IF(J427="Short",AB427-AE427,AE427-AB427)/BL427,1),""))</f>
        <v/>
      </c>
      <c r="AQ427" s="66" t="str">
        <f aca="false">IF(OR(G427="",H427=""),"",ROUND(MOD(H427-G427,1)*1440,0))</f>
        <v/>
      </c>
      <c r="AR427" s="68" t="str">
        <f aca="false">IF(AQ427="","",IF(AQ427&lt;15,"Under 15m",IF(AQ427&lt;60,"15-60m",IF(AQ427&lt;240,"1-4 hours","4+ hours"))))</f>
        <v/>
      </c>
      <c r="AS427" s="66" t="str">
        <f aca="false">IF(G427="","",HOUR(G427))</f>
        <v/>
      </c>
      <c r="AT427" s="80" t="str">
        <f aca="false">IF(OR(Z427="",AB427="",BL427=""),"",IFERROR(ROUND(IF(J427="Short",Z427-AB427,AB427-Z427)/BL427,1),""))</f>
        <v/>
      </c>
      <c r="AU427" s="68" t="str">
        <f aca="false">IF(OR(AA427="",AC427=""),"",IF(AA427=AC427,"No","Yes"))</f>
        <v/>
      </c>
      <c r="AV427" s="81" t="str">
        <f aca="false">IF(OR(B427="",BL427="",BM427="",AB427="",AC427=""),"",IFERROR(ROUND(AI427/(ABS(AB427-AC427)/BL427*BM427),2),""))</f>
        <v/>
      </c>
      <c r="AW427" s="76" t="str">
        <f aca="false">IF(B427="","",ROUND(BK427+SUMIFS(AM$5:AM426,BJ$5:BJ426,BJ427),2))</f>
        <v/>
      </c>
      <c r="AX427" s="66" t="str">
        <f aca="false">IF(B427="","",COUNTIFS(B$6:B427,B427,BJ$6:BJ427,BJ427))</f>
        <v/>
      </c>
      <c r="AY427" s="79" t="str">
        <f aca="false">IF(B427="","",ROUND(SUMIFS(AM$5:AM426,B$5:B426,B427,BJ$5:BJ426,BJ427),2))</f>
        <v/>
      </c>
      <c r="AZ427" s="79" t="str">
        <f aca="false">IF(AM427="","",ROUND(AY427+AM427,2))</f>
        <v/>
      </c>
      <c r="BA427" s="79" t="str">
        <f aca="false">IF(B427="","",ROUND(SUMIFS(AM$5:AM426,B$5:B426,"&gt;="&amp;(B427-WEEKDAY(B427,2)+1),B$5:B426,"&lt;="&amp;B427,BJ$5:BJ426,BJ427),2))</f>
        <v/>
      </c>
      <c r="BB427" s="68" t="str">
        <f aca="false">IF(B427="","",IF(AND(AF427&lt;&gt;"",AV427&lt;&gt;"",N(AF427)&gt;N(AV427)*(1+Settings!$C$13)),"Oversized",IF(AX427&gt;Settings!$C$10,"Overtraded",IF(AY427&lt;=-Settings!$C$11*(AW427-AY427),"Daily loss hit",IF(BA427&lt;=-Settings!$C$12*(AW427-BA427),"Weekly loss hit","OK")))))</f>
        <v/>
      </c>
      <c r="BC427" s="69"/>
      <c r="BD427" s="69"/>
      <c r="BE427" s="69"/>
      <c r="BF427" s="73"/>
      <c r="BG427" s="73"/>
      <c r="BH427" s="71"/>
      <c r="BI427" s="71"/>
      <c r="BJ427" s="68" t="str">
        <f aca="false">IF(B427="","",IF(E427="",Settings!$F$5,E427))</f>
        <v/>
      </c>
      <c r="BK427" s="76" t="str">
        <f aca="false">IF(B427="","",IFERROR(INDEX(Settings!$G$5:$G$10,MATCH(BJ427,Settings!$F$5:$F$10,0)),Settings!$G$5))</f>
        <v/>
      </c>
      <c r="BL427" s="82" t="str">
        <f aca="false">IF(I427="","",IFERROR(1/(1/INDEX(Lists!$C$6:$C$17,MATCH(I427,Lists!$B$6:$B$17,0))),""))</f>
        <v/>
      </c>
      <c r="BM427" s="81" t="str">
        <f aca="false">IF(I427="","",IFERROR(1/(1/INDEX(Lists!$D$6:$D$17,MATCH(I427,Lists!$B$6:$B$17,0))),""))</f>
        <v/>
      </c>
      <c r="BN427" s="76" t="str">
        <f aca="false">IF(AN427="","",MAX(BK427,_xlfn.MAXIFS(AN$6:AN427,BJ$6:BJ427,BJ427)))</f>
        <v/>
      </c>
      <c r="BO427" s="83" t="str">
        <f aca="false">IF(AN427="","",(AN427-BN427)/BN427)</f>
        <v/>
      </c>
      <c r="BP427" s="66" t="n">
        <f aca="false">IF(OR(B427="",AL427=""),0,IF(OR(Settings!$C$28="All Accounts",BJ427=Settings!$C$28),1,0))</f>
        <v>0</v>
      </c>
      <c r="BQ427" s="66" t="str">
        <f aca="false">IF(BP427=1,SUM(BP$6:BP427),"")</f>
        <v/>
      </c>
      <c r="BR427" s="76" t="str">
        <f aca="false">IF(BP427=1,ROUND(Settings!$C$29+SUMIFS(AM$6:AM427,BP$6:BP427,1),2),"")</f>
        <v/>
      </c>
      <c r="BS427" s="76" t="str">
        <f aca="false">IF(BP427=1,MAX(Settings!$C$29,MAX(BR$6:BR427)),"")</f>
        <v/>
      </c>
      <c r="BT427" s="83" t="str">
        <f aca="false">IF(BP427=1,(BR427-BS427)/BS427,"")</f>
        <v/>
      </c>
      <c r="BU427" s="66" t="str">
        <f aca="false">IF(BP427=1,IF(AL427="Win",1+IF(BQ427=1,0,INDEX(BU$5:BU426,MATCH(BQ427-1,BQ$5:BQ426,0))),0),"")</f>
        <v/>
      </c>
      <c r="BV427" s="66" t="str">
        <f aca="false">IF(BP427=1,IF(AL427="Loss",1+IF(BQ427=1,0,INDEX(BV$5:BV426,MATCH(BQ427-1,BQ$5:BQ426,0))),0),"")</f>
        <v/>
      </c>
    </row>
    <row r="428" customFormat="false" ht="15" hidden="false" customHeight="false" outlineLevel="0" collapsed="false">
      <c r="A428" s="66" t="str">
        <f aca="false">IF(B428="","",ROW()-5)</f>
        <v/>
      </c>
      <c r="B428" s="67"/>
      <c r="C428" s="68" t="str">
        <f aca="false">IF(B428="","",CHOOSE(WEEKDAY(B428,2),"Mon","Tue","Wed","Thu","Fri","Sat","Sun"))</f>
        <v/>
      </c>
      <c r="D428" s="66" t="str">
        <f aca="false">IF(B428="","",WEEKNUM(B428,2))</f>
        <v/>
      </c>
      <c r="E428" s="69"/>
      <c r="F428" s="69"/>
      <c r="G428" s="70"/>
      <c r="H428" s="70"/>
      <c r="I428" s="69"/>
      <c r="J428" s="69"/>
      <c r="K428" s="69"/>
      <c r="L428" s="71"/>
      <c r="M428" s="69"/>
      <c r="N428" s="69"/>
      <c r="O428" s="69"/>
      <c r="P428" s="71"/>
      <c r="Q428" s="69"/>
      <c r="R428" s="69"/>
      <c r="S428" s="69"/>
      <c r="T428" s="69"/>
      <c r="U428" s="69"/>
      <c r="V428" s="69"/>
      <c r="W428" s="69"/>
      <c r="X428" s="66" t="str">
        <f aca="false">IF(B428="","",COUNTIF(Q428:W428,"Yes"))</f>
        <v/>
      </c>
      <c r="Y428" s="68" t="str">
        <f aca="false">IF(B428="","",IF(X428&gt;=Settings!$C$16,"A+",IF(X428&gt;=Settings!$C$17,"A",IF(X428&gt;=Settings!$C$18,"B","C"))))</f>
        <v/>
      </c>
      <c r="Z428" s="72"/>
      <c r="AA428" s="72"/>
      <c r="AB428" s="72"/>
      <c r="AC428" s="72"/>
      <c r="AD428" s="72"/>
      <c r="AE428" s="72"/>
      <c r="AF428" s="73"/>
      <c r="AG428" s="74"/>
      <c r="AH428" s="75"/>
      <c r="AI428" s="76" t="str">
        <f aca="false">IF(B428="","",ROUND(IF(AG428="",Settings!$C$5,AG428)*AW428,2))</f>
        <v/>
      </c>
      <c r="AJ428" s="77" t="str">
        <f aca="false">IF(OR(B428="",AB428="",AC428="",AD428=""),"",IFERROR(ROUND(ABS(AD428-AB428)/ABS(AB428-AC428),2),""))</f>
        <v/>
      </c>
      <c r="AK428" s="78" t="str">
        <f aca="false">IF(OR(B428="",AB428="",AC428="",AE428=""),"",IFERROR(ROUND(IF(J428="Short",AB428-AE428,AE428-AB428)/ABS(AB428-AC428),2),""))</f>
        <v/>
      </c>
      <c r="AL428" s="68" t="str">
        <f aca="false">IF(AK428="","",IF(ABS(AK428)&lt;=Settings!$C$6,"BE",IF(AK428&gt;0,"Win","Loss")))</f>
        <v/>
      </c>
      <c r="AM428" s="79" t="str">
        <f aca="false">IF(OR(AK428="",AI428=""),"",ROUND(AK428*AI428-N(AH428),2))</f>
        <v/>
      </c>
      <c r="AN428" s="76" t="str">
        <f aca="false">IF(AM428="","",ROUND(BK428+SUMIFS(AM$6:AM428,BJ$6:BJ428,BJ428),2))</f>
        <v/>
      </c>
      <c r="AO428" s="78" t="str">
        <f aca="false">IF(AK428="","",ROUND(SUMIFS(AK$6:AK428,BJ$6:BJ428,BJ428),2))</f>
        <v/>
      </c>
      <c r="AP428" s="80" t="str">
        <f aca="false">IF(OR(AK428="",BL428=""),"",IFERROR(ROUND(IF(J428="Short",AB428-AE428,AE428-AB428)/BL428,1),""))</f>
        <v/>
      </c>
      <c r="AQ428" s="66" t="str">
        <f aca="false">IF(OR(G428="",H428=""),"",ROUND(MOD(H428-G428,1)*1440,0))</f>
        <v/>
      </c>
      <c r="AR428" s="68" t="str">
        <f aca="false">IF(AQ428="","",IF(AQ428&lt;15,"Under 15m",IF(AQ428&lt;60,"15-60m",IF(AQ428&lt;240,"1-4 hours","4+ hours"))))</f>
        <v/>
      </c>
      <c r="AS428" s="66" t="str">
        <f aca="false">IF(G428="","",HOUR(G428))</f>
        <v/>
      </c>
      <c r="AT428" s="80" t="str">
        <f aca="false">IF(OR(Z428="",AB428="",BL428=""),"",IFERROR(ROUND(IF(J428="Short",Z428-AB428,AB428-Z428)/BL428,1),""))</f>
        <v/>
      </c>
      <c r="AU428" s="68" t="str">
        <f aca="false">IF(OR(AA428="",AC428=""),"",IF(AA428=AC428,"No","Yes"))</f>
        <v/>
      </c>
      <c r="AV428" s="81" t="str">
        <f aca="false">IF(OR(B428="",BL428="",BM428="",AB428="",AC428=""),"",IFERROR(ROUND(AI428/(ABS(AB428-AC428)/BL428*BM428),2),""))</f>
        <v/>
      </c>
      <c r="AW428" s="76" t="str">
        <f aca="false">IF(B428="","",ROUND(BK428+SUMIFS(AM$5:AM427,BJ$5:BJ427,BJ428),2))</f>
        <v/>
      </c>
      <c r="AX428" s="66" t="str">
        <f aca="false">IF(B428="","",COUNTIFS(B$6:B428,B428,BJ$6:BJ428,BJ428))</f>
        <v/>
      </c>
      <c r="AY428" s="79" t="str">
        <f aca="false">IF(B428="","",ROUND(SUMIFS(AM$5:AM427,B$5:B427,B428,BJ$5:BJ427,BJ428),2))</f>
        <v/>
      </c>
      <c r="AZ428" s="79" t="str">
        <f aca="false">IF(AM428="","",ROUND(AY428+AM428,2))</f>
        <v/>
      </c>
      <c r="BA428" s="79" t="str">
        <f aca="false">IF(B428="","",ROUND(SUMIFS(AM$5:AM427,B$5:B427,"&gt;="&amp;(B428-WEEKDAY(B428,2)+1),B$5:B427,"&lt;="&amp;B428,BJ$5:BJ427,BJ428),2))</f>
        <v/>
      </c>
      <c r="BB428" s="68" t="str">
        <f aca="false">IF(B428="","",IF(AND(AF428&lt;&gt;"",AV428&lt;&gt;"",N(AF428)&gt;N(AV428)*(1+Settings!$C$13)),"Oversized",IF(AX428&gt;Settings!$C$10,"Overtraded",IF(AY428&lt;=-Settings!$C$11*(AW428-AY428),"Daily loss hit",IF(BA428&lt;=-Settings!$C$12*(AW428-BA428),"Weekly loss hit","OK")))))</f>
        <v/>
      </c>
      <c r="BC428" s="69"/>
      <c r="BD428" s="69"/>
      <c r="BE428" s="69"/>
      <c r="BF428" s="73"/>
      <c r="BG428" s="73"/>
      <c r="BH428" s="71"/>
      <c r="BI428" s="71"/>
      <c r="BJ428" s="68" t="str">
        <f aca="false">IF(B428="","",IF(E428="",Settings!$F$5,E428))</f>
        <v/>
      </c>
      <c r="BK428" s="76" t="str">
        <f aca="false">IF(B428="","",IFERROR(INDEX(Settings!$G$5:$G$10,MATCH(BJ428,Settings!$F$5:$F$10,0)),Settings!$G$5))</f>
        <v/>
      </c>
      <c r="BL428" s="82" t="str">
        <f aca="false">IF(I428="","",IFERROR(1/(1/INDEX(Lists!$C$6:$C$17,MATCH(I428,Lists!$B$6:$B$17,0))),""))</f>
        <v/>
      </c>
      <c r="BM428" s="81" t="str">
        <f aca="false">IF(I428="","",IFERROR(1/(1/INDEX(Lists!$D$6:$D$17,MATCH(I428,Lists!$B$6:$B$17,0))),""))</f>
        <v/>
      </c>
      <c r="BN428" s="76" t="str">
        <f aca="false">IF(AN428="","",MAX(BK428,_xlfn.MAXIFS(AN$6:AN428,BJ$6:BJ428,BJ428)))</f>
        <v/>
      </c>
      <c r="BO428" s="83" t="str">
        <f aca="false">IF(AN428="","",(AN428-BN428)/BN428)</f>
        <v/>
      </c>
      <c r="BP428" s="66" t="n">
        <f aca="false">IF(OR(B428="",AL428=""),0,IF(OR(Settings!$C$28="All Accounts",BJ428=Settings!$C$28),1,0))</f>
        <v>0</v>
      </c>
      <c r="BQ428" s="66" t="str">
        <f aca="false">IF(BP428=1,SUM(BP$6:BP428),"")</f>
        <v/>
      </c>
      <c r="BR428" s="76" t="str">
        <f aca="false">IF(BP428=1,ROUND(Settings!$C$29+SUMIFS(AM$6:AM428,BP$6:BP428,1),2),"")</f>
        <v/>
      </c>
      <c r="BS428" s="76" t="str">
        <f aca="false">IF(BP428=1,MAX(Settings!$C$29,MAX(BR$6:BR428)),"")</f>
        <v/>
      </c>
      <c r="BT428" s="83" t="str">
        <f aca="false">IF(BP428=1,(BR428-BS428)/BS428,"")</f>
        <v/>
      </c>
      <c r="BU428" s="66" t="str">
        <f aca="false">IF(BP428=1,IF(AL428="Win",1+IF(BQ428=1,0,INDEX(BU$5:BU427,MATCH(BQ428-1,BQ$5:BQ427,0))),0),"")</f>
        <v/>
      </c>
      <c r="BV428" s="66" t="str">
        <f aca="false">IF(BP428=1,IF(AL428="Loss",1+IF(BQ428=1,0,INDEX(BV$5:BV427,MATCH(BQ428-1,BQ$5:BQ427,0))),0),"")</f>
        <v/>
      </c>
    </row>
    <row r="429" customFormat="false" ht="15" hidden="false" customHeight="false" outlineLevel="0" collapsed="false">
      <c r="A429" s="66" t="str">
        <f aca="false">IF(B429="","",ROW()-5)</f>
        <v/>
      </c>
      <c r="B429" s="67"/>
      <c r="C429" s="68" t="str">
        <f aca="false">IF(B429="","",CHOOSE(WEEKDAY(B429,2),"Mon","Tue","Wed","Thu","Fri","Sat","Sun"))</f>
        <v/>
      </c>
      <c r="D429" s="66" t="str">
        <f aca="false">IF(B429="","",WEEKNUM(B429,2))</f>
        <v/>
      </c>
      <c r="E429" s="69"/>
      <c r="F429" s="69"/>
      <c r="G429" s="70"/>
      <c r="H429" s="70"/>
      <c r="I429" s="69"/>
      <c r="J429" s="69"/>
      <c r="K429" s="69"/>
      <c r="L429" s="71"/>
      <c r="M429" s="69"/>
      <c r="N429" s="69"/>
      <c r="O429" s="69"/>
      <c r="P429" s="71"/>
      <c r="Q429" s="69"/>
      <c r="R429" s="69"/>
      <c r="S429" s="69"/>
      <c r="T429" s="69"/>
      <c r="U429" s="69"/>
      <c r="V429" s="69"/>
      <c r="W429" s="69"/>
      <c r="X429" s="66" t="str">
        <f aca="false">IF(B429="","",COUNTIF(Q429:W429,"Yes"))</f>
        <v/>
      </c>
      <c r="Y429" s="68" t="str">
        <f aca="false">IF(B429="","",IF(X429&gt;=Settings!$C$16,"A+",IF(X429&gt;=Settings!$C$17,"A",IF(X429&gt;=Settings!$C$18,"B","C"))))</f>
        <v/>
      </c>
      <c r="Z429" s="72"/>
      <c r="AA429" s="72"/>
      <c r="AB429" s="72"/>
      <c r="AC429" s="72"/>
      <c r="AD429" s="72"/>
      <c r="AE429" s="72"/>
      <c r="AF429" s="73"/>
      <c r="AG429" s="74"/>
      <c r="AH429" s="75"/>
      <c r="AI429" s="76" t="str">
        <f aca="false">IF(B429="","",ROUND(IF(AG429="",Settings!$C$5,AG429)*AW429,2))</f>
        <v/>
      </c>
      <c r="AJ429" s="77" t="str">
        <f aca="false">IF(OR(B429="",AB429="",AC429="",AD429=""),"",IFERROR(ROUND(ABS(AD429-AB429)/ABS(AB429-AC429),2),""))</f>
        <v/>
      </c>
      <c r="AK429" s="78" t="str">
        <f aca="false">IF(OR(B429="",AB429="",AC429="",AE429=""),"",IFERROR(ROUND(IF(J429="Short",AB429-AE429,AE429-AB429)/ABS(AB429-AC429),2),""))</f>
        <v/>
      </c>
      <c r="AL429" s="68" t="str">
        <f aca="false">IF(AK429="","",IF(ABS(AK429)&lt;=Settings!$C$6,"BE",IF(AK429&gt;0,"Win","Loss")))</f>
        <v/>
      </c>
      <c r="AM429" s="79" t="str">
        <f aca="false">IF(OR(AK429="",AI429=""),"",ROUND(AK429*AI429-N(AH429),2))</f>
        <v/>
      </c>
      <c r="AN429" s="76" t="str">
        <f aca="false">IF(AM429="","",ROUND(BK429+SUMIFS(AM$6:AM429,BJ$6:BJ429,BJ429),2))</f>
        <v/>
      </c>
      <c r="AO429" s="78" t="str">
        <f aca="false">IF(AK429="","",ROUND(SUMIFS(AK$6:AK429,BJ$6:BJ429,BJ429),2))</f>
        <v/>
      </c>
      <c r="AP429" s="80" t="str">
        <f aca="false">IF(OR(AK429="",BL429=""),"",IFERROR(ROUND(IF(J429="Short",AB429-AE429,AE429-AB429)/BL429,1),""))</f>
        <v/>
      </c>
      <c r="AQ429" s="66" t="str">
        <f aca="false">IF(OR(G429="",H429=""),"",ROUND(MOD(H429-G429,1)*1440,0))</f>
        <v/>
      </c>
      <c r="AR429" s="68" t="str">
        <f aca="false">IF(AQ429="","",IF(AQ429&lt;15,"Under 15m",IF(AQ429&lt;60,"15-60m",IF(AQ429&lt;240,"1-4 hours","4+ hours"))))</f>
        <v/>
      </c>
      <c r="AS429" s="66" t="str">
        <f aca="false">IF(G429="","",HOUR(G429))</f>
        <v/>
      </c>
      <c r="AT429" s="80" t="str">
        <f aca="false">IF(OR(Z429="",AB429="",BL429=""),"",IFERROR(ROUND(IF(J429="Short",Z429-AB429,AB429-Z429)/BL429,1),""))</f>
        <v/>
      </c>
      <c r="AU429" s="68" t="str">
        <f aca="false">IF(OR(AA429="",AC429=""),"",IF(AA429=AC429,"No","Yes"))</f>
        <v/>
      </c>
      <c r="AV429" s="81" t="str">
        <f aca="false">IF(OR(B429="",BL429="",BM429="",AB429="",AC429=""),"",IFERROR(ROUND(AI429/(ABS(AB429-AC429)/BL429*BM429),2),""))</f>
        <v/>
      </c>
      <c r="AW429" s="76" t="str">
        <f aca="false">IF(B429="","",ROUND(BK429+SUMIFS(AM$5:AM428,BJ$5:BJ428,BJ429),2))</f>
        <v/>
      </c>
      <c r="AX429" s="66" t="str">
        <f aca="false">IF(B429="","",COUNTIFS(B$6:B429,B429,BJ$6:BJ429,BJ429))</f>
        <v/>
      </c>
      <c r="AY429" s="79" t="str">
        <f aca="false">IF(B429="","",ROUND(SUMIFS(AM$5:AM428,B$5:B428,B429,BJ$5:BJ428,BJ429),2))</f>
        <v/>
      </c>
      <c r="AZ429" s="79" t="str">
        <f aca="false">IF(AM429="","",ROUND(AY429+AM429,2))</f>
        <v/>
      </c>
      <c r="BA429" s="79" t="str">
        <f aca="false">IF(B429="","",ROUND(SUMIFS(AM$5:AM428,B$5:B428,"&gt;="&amp;(B429-WEEKDAY(B429,2)+1),B$5:B428,"&lt;="&amp;B429,BJ$5:BJ428,BJ429),2))</f>
        <v/>
      </c>
      <c r="BB429" s="68" t="str">
        <f aca="false">IF(B429="","",IF(AND(AF429&lt;&gt;"",AV429&lt;&gt;"",N(AF429)&gt;N(AV429)*(1+Settings!$C$13)),"Oversized",IF(AX429&gt;Settings!$C$10,"Overtraded",IF(AY429&lt;=-Settings!$C$11*(AW429-AY429),"Daily loss hit",IF(BA429&lt;=-Settings!$C$12*(AW429-BA429),"Weekly loss hit","OK")))))</f>
        <v/>
      </c>
      <c r="BC429" s="69"/>
      <c r="BD429" s="69"/>
      <c r="BE429" s="69"/>
      <c r="BF429" s="73"/>
      <c r="BG429" s="73"/>
      <c r="BH429" s="71"/>
      <c r="BI429" s="71"/>
      <c r="BJ429" s="68" t="str">
        <f aca="false">IF(B429="","",IF(E429="",Settings!$F$5,E429))</f>
        <v/>
      </c>
      <c r="BK429" s="76" t="str">
        <f aca="false">IF(B429="","",IFERROR(INDEX(Settings!$G$5:$G$10,MATCH(BJ429,Settings!$F$5:$F$10,0)),Settings!$G$5))</f>
        <v/>
      </c>
      <c r="BL429" s="82" t="str">
        <f aca="false">IF(I429="","",IFERROR(1/(1/INDEX(Lists!$C$6:$C$17,MATCH(I429,Lists!$B$6:$B$17,0))),""))</f>
        <v/>
      </c>
      <c r="BM429" s="81" t="str">
        <f aca="false">IF(I429="","",IFERROR(1/(1/INDEX(Lists!$D$6:$D$17,MATCH(I429,Lists!$B$6:$B$17,0))),""))</f>
        <v/>
      </c>
      <c r="BN429" s="76" t="str">
        <f aca="false">IF(AN429="","",MAX(BK429,_xlfn.MAXIFS(AN$6:AN429,BJ$6:BJ429,BJ429)))</f>
        <v/>
      </c>
      <c r="BO429" s="83" t="str">
        <f aca="false">IF(AN429="","",(AN429-BN429)/BN429)</f>
        <v/>
      </c>
      <c r="BP429" s="66" t="n">
        <f aca="false">IF(OR(B429="",AL429=""),0,IF(OR(Settings!$C$28="All Accounts",BJ429=Settings!$C$28),1,0))</f>
        <v>0</v>
      </c>
      <c r="BQ429" s="66" t="str">
        <f aca="false">IF(BP429=1,SUM(BP$6:BP429),"")</f>
        <v/>
      </c>
      <c r="BR429" s="76" t="str">
        <f aca="false">IF(BP429=1,ROUND(Settings!$C$29+SUMIFS(AM$6:AM429,BP$6:BP429,1),2),"")</f>
        <v/>
      </c>
      <c r="BS429" s="76" t="str">
        <f aca="false">IF(BP429=1,MAX(Settings!$C$29,MAX(BR$6:BR429)),"")</f>
        <v/>
      </c>
      <c r="BT429" s="83" t="str">
        <f aca="false">IF(BP429=1,(BR429-BS429)/BS429,"")</f>
        <v/>
      </c>
      <c r="BU429" s="66" t="str">
        <f aca="false">IF(BP429=1,IF(AL429="Win",1+IF(BQ429=1,0,INDEX(BU$5:BU428,MATCH(BQ429-1,BQ$5:BQ428,0))),0),"")</f>
        <v/>
      </c>
      <c r="BV429" s="66" t="str">
        <f aca="false">IF(BP429=1,IF(AL429="Loss",1+IF(BQ429=1,0,INDEX(BV$5:BV428,MATCH(BQ429-1,BQ$5:BQ428,0))),0),"")</f>
        <v/>
      </c>
    </row>
    <row r="430" customFormat="false" ht="15" hidden="false" customHeight="false" outlineLevel="0" collapsed="false">
      <c r="A430" s="66" t="str">
        <f aca="false">IF(B430="","",ROW()-5)</f>
        <v/>
      </c>
      <c r="B430" s="67"/>
      <c r="C430" s="68" t="str">
        <f aca="false">IF(B430="","",CHOOSE(WEEKDAY(B430,2),"Mon","Tue","Wed","Thu","Fri","Sat","Sun"))</f>
        <v/>
      </c>
      <c r="D430" s="66" t="str">
        <f aca="false">IF(B430="","",WEEKNUM(B430,2))</f>
        <v/>
      </c>
      <c r="E430" s="69"/>
      <c r="F430" s="69"/>
      <c r="G430" s="70"/>
      <c r="H430" s="70"/>
      <c r="I430" s="69"/>
      <c r="J430" s="69"/>
      <c r="K430" s="69"/>
      <c r="L430" s="71"/>
      <c r="M430" s="69"/>
      <c r="N430" s="69"/>
      <c r="O430" s="69"/>
      <c r="P430" s="71"/>
      <c r="Q430" s="69"/>
      <c r="R430" s="69"/>
      <c r="S430" s="69"/>
      <c r="T430" s="69"/>
      <c r="U430" s="69"/>
      <c r="V430" s="69"/>
      <c r="W430" s="69"/>
      <c r="X430" s="66" t="str">
        <f aca="false">IF(B430="","",COUNTIF(Q430:W430,"Yes"))</f>
        <v/>
      </c>
      <c r="Y430" s="68" t="str">
        <f aca="false">IF(B430="","",IF(X430&gt;=Settings!$C$16,"A+",IF(X430&gt;=Settings!$C$17,"A",IF(X430&gt;=Settings!$C$18,"B","C"))))</f>
        <v/>
      </c>
      <c r="Z430" s="72"/>
      <c r="AA430" s="72"/>
      <c r="AB430" s="72"/>
      <c r="AC430" s="72"/>
      <c r="AD430" s="72"/>
      <c r="AE430" s="72"/>
      <c r="AF430" s="73"/>
      <c r="AG430" s="74"/>
      <c r="AH430" s="75"/>
      <c r="AI430" s="76" t="str">
        <f aca="false">IF(B430="","",ROUND(IF(AG430="",Settings!$C$5,AG430)*AW430,2))</f>
        <v/>
      </c>
      <c r="AJ430" s="77" t="str">
        <f aca="false">IF(OR(B430="",AB430="",AC430="",AD430=""),"",IFERROR(ROUND(ABS(AD430-AB430)/ABS(AB430-AC430),2),""))</f>
        <v/>
      </c>
      <c r="AK430" s="78" t="str">
        <f aca="false">IF(OR(B430="",AB430="",AC430="",AE430=""),"",IFERROR(ROUND(IF(J430="Short",AB430-AE430,AE430-AB430)/ABS(AB430-AC430),2),""))</f>
        <v/>
      </c>
      <c r="AL430" s="68" t="str">
        <f aca="false">IF(AK430="","",IF(ABS(AK430)&lt;=Settings!$C$6,"BE",IF(AK430&gt;0,"Win","Loss")))</f>
        <v/>
      </c>
      <c r="AM430" s="79" t="str">
        <f aca="false">IF(OR(AK430="",AI430=""),"",ROUND(AK430*AI430-N(AH430),2))</f>
        <v/>
      </c>
      <c r="AN430" s="76" t="str">
        <f aca="false">IF(AM430="","",ROUND(BK430+SUMIFS(AM$6:AM430,BJ$6:BJ430,BJ430),2))</f>
        <v/>
      </c>
      <c r="AO430" s="78" t="str">
        <f aca="false">IF(AK430="","",ROUND(SUMIFS(AK$6:AK430,BJ$6:BJ430,BJ430),2))</f>
        <v/>
      </c>
      <c r="AP430" s="80" t="str">
        <f aca="false">IF(OR(AK430="",BL430=""),"",IFERROR(ROUND(IF(J430="Short",AB430-AE430,AE430-AB430)/BL430,1),""))</f>
        <v/>
      </c>
      <c r="AQ430" s="66" t="str">
        <f aca="false">IF(OR(G430="",H430=""),"",ROUND(MOD(H430-G430,1)*1440,0))</f>
        <v/>
      </c>
      <c r="AR430" s="68" t="str">
        <f aca="false">IF(AQ430="","",IF(AQ430&lt;15,"Under 15m",IF(AQ430&lt;60,"15-60m",IF(AQ430&lt;240,"1-4 hours","4+ hours"))))</f>
        <v/>
      </c>
      <c r="AS430" s="66" t="str">
        <f aca="false">IF(G430="","",HOUR(G430))</f>
        <v/>
      </c>
      <c r="AT430" s="80" t="str">
        <f aca="false">IF(OR(Z430="",AB430="",BL430=""),"",IFERROR(ROUND(IF(J430="Short",Z430-AB430,AB430-Z430)/BL430,1),""))</f>
        <v/>
      </c>
      <c r="AU430" s="68" t="str">
        <f aca="false">IF(OR(AA430="",AC430=""),"",IF(AA430=AC430,"No","Yes"))</f>
        <v/>
      </c>
      <c r="AV430" s="81" t="str">
        <f aca="false">IF(OR(B430="",BL430="",BM430="",AB430="",AC430=""),"",IFERROR(ROUND(AI430/(ABS(AB430-AC430)/BL430*BM430),2),""))</f>
        <v/>
      </c>
      <c r="AW430" s="76" t="str">
        <f aca="false">IF(B430="","",ROUND(BK430+SUMIFS(AM$5:AM429,BJ$5:BJ429,BJ430),2))</f>
        <v/>
      </c>
      <c r="AX430" s="66" t="str">
        <f aca="false">IF(B430="","",COUNTIFS(B$6:B430,B430,BJ$6:BJ430,BJ430))</f>
        <v/>
      </c>
      <c r="AY430" s="79" t="str">
        <f aca="false">IF(B430="","",ROUND(SUMIFS(AM$5:AM429,B$5:B429,B430,BJ$5:BJ429,BJ430),2))</f>
        <v/>
      </c>
      <c r="AZ430" s="79" t="str">
        <f aca="false">IF(AM430="","",ROUND(AY430+AM430,2))</f>
        <v/>
      </c>
      <c r="BA430" s="79" t="str">
        <f aca="false">IF(B430="","",ROUND(SUMIFS(AM$5:AM429,B$5:B429,"&gt;="&amp;(B430-WEEKDAY(B430,2)+1),B$5:B429,"&lt;="&amp;B430,BJ$5:BJ429,BJ430),2))</f>
        <v/>
      </c>
      <c r="BB430" s="68" t="str">
        <f aca="false">IF(B430="","",IF(AND(AF430&lt;&gt;"",AV430&lt;&gt;"",N(AF430)&gt;N(AV430)*(1+Settings!$C$13)),"Oversized",IF(AX430&gt;Settings!$C$10,"Overtraded",IF(AY430&lt;=-Settings!$C$11*(AW430-AY430),"Daily loss hit",IF(BA430&lt;=-Settings!$C$12*(AW430-BA430),"Weekly loss hit","OK")))))</f>
        <v/>
      </c>
      <c r="BC430" s="69"/>
      <c r="BD430" s="69"/>
      <c r="BE430" s="69"/>
      <c r="BF430" s="73"/>
      <c r="BG430" s="73"/>
      <c r="BH430" s="71"/>
      <c r="BI430" s="71"/>
      <c r="BJ430" s="68" t="str">
        <f aca="false">IF(B430="","",IF(E430="",Settings!$F$5,E430))</f>
        <v/>
      </c>
      <c r="BK430" s="76" t="str">
        <f aca="false">IF(B430="","",IFERROR(INDEX(Settings!$G$5:$G$10,MATCH(BJ430,Settings!$F$5:$F$10,0)),Settings!$G$5))</f>
        <v/>
      </c>
      <c r="BL430" s="82" t="str">
        <f aca="false">IF(I430="","",IFERROR(1/(1/INDEX(Lists!$C$6:$C$17,MATCH(I430,Lists!$B$6:$B$17,0))),""))</f>
        <v/>
      </c>
      <c r="BM430" s="81" t="str">
        <f aca="false">IF(I430="","",IFERROR(1/(1/INDEX(Lists!$D$6:$D$17,MATCH(I430,Lists!$B$6:$B$17,0))),""))</f>
        <v/>
      </c>
      <c r="BN430" s="76" t="str">
        <f aca="false">IF(AN430="","",MAX(BK430,_xlfn.MAXIFS(AN$6:AN430,BJ$6:BJ430,BJ430)))</f>
        <v/>
      </c>
      <c r="BO430" s="83" t="str">
        <f aca="false">IF(AN430="","",(AN430-BN430)/BN430)</f>
        <v/>
      </c>
      <c r="BP430" s="66" t="n">
        <f aca="false">IF(OR(B430="",AL430=""),0,IF(OR(Settings!$C$28="All Accounts",BJ430=Settings!$C$28),1,0))</f>
        <v>0</v>
      </c>
      <c r="BQ430" s="66" t="str">
        <f aca="false">IF(BP430=1,SUM(BP$6:BP430),"")</f>
        <v/>
      </c>
      <c r="BR430" s="76" t="str">
        <f aca="false">IF(BP430=1,ROUND(Settings!$C$29+SUMIFS(AM$6:AM430,BP$6:BP430,1),2),"")</f>
        <v/>
      </c>
      <c r="BS430" s="76" t="str">
        <f aca="false">IF(BP430=1,MAX(Settings!$C$29,MAX(BR$6:BR430)),"")</f>
        <v/>
      </c>
      <c r="BT430" s="83" t="str">
        <f aca="false">IF(BP430=1,(BR430-BS430)/BS430,"")</f>
        <v/>
      </c>
      <c r="BU430" s="66" t="str">
        <f aca="false">IF(BP430=1,IF(AL430="Win",1+IF(BQ430=1,0,INDEX(BU$5:BU429,MATCH(BQ430-1,BQ$5:BQ429,0))),0),"")</f>
        <v/>
      </c>
      <c r="BV430" s="66" t="str">
        <f aca="false">IF(BP430=1,IF(AL430="Loss",1+IF(BQ430=1,0,INDEX(BV$5:BV429,MATCH(BQ430-1,BQ$5:BQ429,0))),0),"")</f>
        <v/>
      </c>
    </row>
    <row r="431" customFormat="false" ht="15" hidden="false" customHeight="false" outlineLevel="0" collapsed="false">
      <c r="A431" s="66" t="str">
        <f aca="false">IF(B431="","",ROW()-5)</f>
        <v/>
      </c>
      <c r="B431" s="67"/>
      <c r="C431" s="68" t="str">
        <f aca="false">IF(B431="","",CHOOSE(WEEKDAY(B431,2),"Mon","Tue","Wed","Thu","Fri","Sat","Sun"))</f>
        <v/>
      </c>
      <c r="D431" s="66" t="str">
        <f aca="false">IF(B431="","",WEEKNUM(B431,2))</f>
        <v/>
      </c>
      <c r="E431" s="69"/>
      <c r="F431" s="69"/>
      <c r="G431" s="70"/>
      <c r="H431" s="70"/>
      <c r="I431" s="69"/>
      <c r="J431" s="69"/>
      <c r="K431" s="69"/>
      <c r="L431" s="71"/>
      <c r="M431" s="69"/>
      <c r="N431" s="69"/>
      <c r="O431" s="69"/>
      <c r="P431" s="71"/>
      <c r="Q431" s="69"/>
      <c r="R431" s="69"/>
      <c r="S431" s="69"/>
      <c r="T431" s="69"/>
      <c r="U431" s="69"/>
      <c r="V431" s="69"/>
      <c r="W431" s="69"/>
      <c r="X431" s="66" t="str">
        <f aca="false">IF(B431="","",COUNTIF(Q431:W431,"Yes"))</f>
        <v/>
      </c>
      <c r="Y431" s="68" t="str">
        <f aca="false">IF(B431="","",IF(X431&gt;=Settings!$C$16,"A+",IF(X431&gt;=Settings!$C$17,"A",IF(X431&gt;=Settings!$C$18,"B","C"))))</f>
        <v/>
      </c>
      <c r="Z431" s="72"/>
      <c r="AA431" s="72"/>
      <c r="AB431" s="72"/>
      <c r="AC431" s="72"/>
      <c r="AD431" s="72"/>
      <c r="AE431" s="72"/>
      <c r="AF431" s="73"/>
      <c r="AG431" s="74"/>
      <c r="AH431" s="75"/>
      <c r="AI431" s="76" t="str">
        <f aca="false">IF(B431="","",ROUND(IF(AG431="",Settings!$C$5,AG431)*AW431,2))</f>
        <v/>
      </c>
      <c r="AJ431" s="77" t="str">
        <f aca="false">IF(OR(B431="",AB431="",AC431="",AD431=""),"",IFERROR(ROUND(ABS(AD431-AB431)/ABS(AB431-AC431),2),""))</f>
        <v/>
      </c>
      <c r="AK431" s="78" t="str">
        <f aca="false">IF(OR(B431="",AB431="",AC431="",AE431=""),"",IFERROR(ROUND(IF(J431="Short",AB431-AE431,AE431-AB431)/ABS(AB431-AC431),2),""))</f>
        <v/>
      </c>
      <c r="AL431" s="68" t="str">
        <f aca="false">IF(AK431="","",IF(ABS(AK431)&lt;=Settings!$C$6,"BE",IF(AK431&gt;0,"Win","Loss")))</f>
        <v/>
      </c>
      <c r="AM431" s="79" t="str">
        <f aca="false">IF(OR(AK431="",AI431=""),"",ROUND(AK431*AI431-N(AH431),2))</f>
        <v/>
      </c>
      <c r="AN431" s="76" t="str">
        <f aca="false">IF(AM431="","",ROUND(BK431+SUMIFS(AM$6:AM431,BJ$6:BJ431,BJ431),2))</f>
        <v/>
      </c>
      <c r="AO431" s="78" t="str">
        <f aca="false">IF(AK431="","",ROUND(SUMIFS(AK$6:AK431,BJ$6:BJ431,BJ431),2))</f>
        <v/>
      </c>
      <c r="AP431" s="80" t="str">
        <f aca="false">IF(OR(AK431="",BL431=""),"",IFERROR(ROUND(IF(J431="Short",AB431-AE431,AE431-AB431)/BL431,1),""))</f>
        <v/>
      </c>
      <c r="AQ431" s="66" t="str">
        <f aca="false">IF(OR(G431="",H431=""),"",ROUND(MOD(H431-G431,1)*1440,0))</f>
        <v/>
      </c>
      <c r="AR431" s="68" t="str">
        <f aca="false">IF(AQ431="","",IF(AQ431&lt;15,"Under 15m",IF(AQ431&lt;60,"15-60m",IF(AQ431&lt;240,"1-4 hours","4+ hours"))))</f>
        <v/>
      </c>
      <c r="AS431" s="66" t="str">
        <f aca="false">IF(G431="","",HOUR(G431))</f>
        <v/>
      </c>
      <c r="AT431" s="80" t="str">
        <f aca="false">IF(OR(Z431="",AB431="",BL431=""),"",IFERROR(ROUND(IF(J431="Short",Z431-AB431,AB431-Z431)/BL431,1),""))</f>
        <v/>
      </c>
      <c r="AU431" s="68" t="str">
        <f aca="false">IF(OR(AA431="",AC431=""),"",IF(AA431=AC431,"No","Yes"))</f>
        <v/>
      </c>
      <c r="AV431" s="81" t="str">
        <f aca="false">IF(OR(B431="",BL431="",BM431="",AB431="",AC431=""),"",IFERROR(ROUND(AI431/(ABS(AB431-AC431)/BL431*BM431),2),""))</f>
        <v/>
      </c>
      <c r="AW431" s="76" t="str">
        <f aca="false">IF(B431="","",ROUND(BK431+SUMIFS(AM$5:AM430,BJ$5:BJ430,BJ431),2))</f>
        <v/>
      </c>
      <c r="AX431" s="66" t="str">
        <f aca="false">IF(B431="","",COUNTIFS(B$6:B431,B431,BJ$6:BJ431,BJ431))</f>
        <v/>
      </c>
      <c r="AY431" s="79" t="str">
        <f aca="false">IF(B431="","",ROUND(SUMIFS(AM$5:AM430,B$5:B430,B431,BJ$5:BJ430,BJ431),2))</f>
        <v/>
      </c>
      <c r="AZ431" s="79" t="str">
        <f aca="false">IF(AM431="","",ROUND(AY431+AM431,2))</f>
        <v/>
      </c>
      <c r="BA431" s="79" t="str">
        <f aca="false">IF(B431="","",ROUND(SUMIFS(AM$5:AM430,B$5:B430,"&gt;="&amp;(B431-WEEKDAY(B431,2)+1),B$5:B430,"&lt;="&amp;B431,BJ$5:BJ430,BJ431),2))</f>
        <v/>
      </c>
      <c r="BB431" s="68" t="str">
        <f aca="false">IF(B431="","",IF(AND(AF431&lt;&gt;"",AV431&lt;&gt;"",N(AF431)&gt;N(AV431)*(1+Settings!$C$13)),"Oversized",IF(AX431&gt;Settings!$C$10,"Overtraded",IF(AY431&lt;=-Settings!$C$11*(AW431-AY431),"Daily loss hit",IF(BA431&lt;=-Settings!$C$12*(AW431-BA431),"Weekly loss hit","OK")))))</f>
        <v/>
      </c>
      <c r="BC431" s="69"/>
      <c r="BD431" s="69"/>
      <c r="BE431" s="69"/>
      <c r="BF431" s="73"/>
      <c r="BG431" s="73"/>
      <c r="BH431" s="71"/>
      <c r="BI431" s="71"/>
      <c r="BJ431" s="68" t="str">
        <f aca="false">IF(B431="","",IF(E431="",Settings!$F$5,E431))</f>
        <v/>
      </c>
      <c r="BK431" s="76" t="str">
        <f aca="false">IF(B431="","",IFERROR(INDEX(Settings!$G$5:$G$10,MATCH(BJ431,Settings!$F$5:$F$10,0)),Settings!$G$5))</f>
        <v/>
      </c>
      <c r="BL431" s="82" t="str">
        <f aca="false">IF(I431="","",IFERROR(1/(1/INDEX(Lists!$C$6:$C$17,MATCH(I431,Lists!$B$6:$B$17,0))),""))</f>
        <v/>
      </c>
      <c r="BM431" s="81" t="str">
        <f aca="false">IF(I431="","",IFERROR(1/(1/INDEX(Lists!$D$6:$D$17,MATCH(I431,Lists!$B$6:$B$17,0))),""))</f>
        <v/>
      </c>
      <c r="BN431" s="76" t="str">
        <f aca="false">IF(AN431="","",MAX(BK431,_xlfn.MAXIFS(AN$6:AN431,BJ$6:BJ431,BJ431)))</f>
        <v/>
      </c>
      <c r="BO431" s="83" t="str">
        <f aca="false">IF(AN431="","",(AN431-BN431)/BN431)</f>
        <v/>
      </c>
      <c r="BP431" s="66" t="n">
        <f aca="false">IF(OR(B431="",AL431=""),0,IF(OR(Settings!$C$28="All Accounts",BJ431=Settings!$C$28),1,0))</f>
        <v>0</v>
      </c>
      <c r="BQ431" s="66" t="str">
        <f aca="false">IF(BP431=1,SUM(BP$6:BP431),"")</f>
        <v/>
      </c>
      <c r="BR431" s="76" t="str">
        <f aca="false">IF(BP431=1,ROUND(Settings!$C$29+SUMIFS(AM$6:AM431,BP$6:BP431,1),2),"")</f>
        <v/>
      </c>
      <c r="BS431" s="76" t="str">
        <f aca="false">IF(BP431=1,MAX(Settings!$C$29,MAX(BR$6:BR431)),"")</f>
        <v/>
      </c>
      <c r="BT431" s="83" t="str">
        <f aca="false">IF(BP431=1,(BR431-BS431)/BS431,"")</f>
        <v/>
      </c>
      <c r="BU431" s="66" t="str">
        <f aca="false">IF(BP431=1,IF(AL431="Win",1+IF(BQ431=1,0,INDEX(BU$5:BU430,MATCH(BQ431-1,BQ$5:BQ430,0))),0),"")</f>
        <v/>
      </c>
      <c r="BV431" s="66" t="str">
        <f aca="false">IF(BP431=1,IF(AL431="Loss",1+IF(BQ431=1,0,INDEX(BV$5:BV430,MATCH(BQ431-1,BQ$5:BQ430,0))),0),"")</f>
        <v/>
      </c>
    </row>
    <row r="432" customFormat="false" ht="15" hidden="false" customHeight="false" outlineLevel="0" collapsed="false">
      <c r="A432" s="66" t="str">
        <f aca="false">IF(B432="","",ROW()-5)</f>
        <v/>
      </c>
      <c r="B432" s="67"/>
      <c r="C432" s="68" t="str">
        <f aca="false">IF(B432="","",CHOOSE(WEEKDAY(B432,2),"Mon","Tue","Wed","Thu","Fri","Sat","Sun"))</f>
        <v/>
      </c>
      <c r="D432" s="66" t="str">
        <f aca="false">IF(B432="","",WEEKNUM(B432,2))</f>
        <v/>
      </c>
      <c r="E432" s="69"/>
      <c r="F432" s="69"/>
      <c r="G432" s="70"/>
      <c r="H432" s="70"/>
      <c r="I432" s="69"/>
      <c r="J432" s="69"/>
      <c r="K432" s="69"/>
      <c r="L432" s="71"/>
      <c r="M432" s="69"/>
      <c r="N432" s="69"/>
      <c r="O432" s="69"/>
      <c r="P432" s="71"/>
      <c r="Q432" s="69"/>
      <c r="R432" s="69"/>
      <c r="S432" s="69"/>
      <c r="T432" s="69"/>
      <c r="U432" s="69"/>
      <c r="V432" s="69"/>
      <c r="W432" s="69"/>
      <c r="X432" s="66" t="str">
        <f aca="false">IF(B432="","",COUNTIF(Q432:W432,"Yes"))</f>
        <v/>
      </c>
      <c r="Y432" s="68" t="str">
        <f aca="false">IF(B432="","",IF(X432&gt;=Settings!$C$16,"A+",IF(X432&gt;=Settings!$C$17,"A",IF(X432&gt;=Settings!$C$18,"B","C"))))</f>
        <v/>
      </c>
      <c r="Z432" s="72"/>
      <c r="AA432" s="72"/>
      <c r="AB432" s="72"/>
      <c r="AC432" s="72"/>
      <c r="AD432" s="72"/>
      <c r="AE432" s="72"/>
      <c r="AF432" s="73"/>
      <c r="AG432" s="74"/>
      <c r="AH432" s="75"/>
      <c r="AI432" s="76" t="str">
        <f aca="false">IF(B432="","",ROUND(IF(AG432="",Settings!$C$5,AG432)*AW432,2))</f>
        <v/>
      </c>
      <c r="AJ432" s="77" t="str">
        <f aca="false">IF(OR(B432="",AB432="",AC432="",AD432=""),"",IFERROR(ROUND(ABS(AD432-AB432)/ABS(AB432-AC432),2),""))</f>
        <v/>
      </c>
      <c r="AK432" s="78" t="str">
        <f aca="false">IF(OR(B432="",AB432="",AC432="",AE432=""),"",IFERROR(ROUND(IF(J432="Short",AB432-AE432,AE432-AB432)/ABS(AB432-AC432),2),""))</f>
        <v/>
      </c>
      <c r="AL432" s="68" t="str">
        <f aca="false">IF(AK432="","",IF(ABS(AK432)&lt;=Settings!$C$6,"BE",IF(AK432&gt;0,"Win","Loss")))</f>
        <v/>
      </c>
      <c r="AM432" s="79" t="str">
        <f aca="false">IF(OR(AK432="",AI432=""),"",ROUND(AK432*AI432-N(AH432),2))</f>
        <v/>
      </c>
      <c r="AN432" s="76" t="str">
        <f aca="false">IF(AM432="","",ROUND(BK432+SUMIFS(AM$6:AM432,BJ$6:BJ432,BJ432),2))</f>
        <v/>
      </c>
      <c r="AO432" s="78" t="str">
        <f aca="false">IF(AK432="","",ROUND(SUMIFS(AK$6:AK432,BJ$6:BJ432,BJ432),2))</f>
        <v/>
      </c>
      <c r="AP432" s="80" t="str">
        <f aca="false">IF(OR(AK432="",BL432=""),"",IFERROR(ROUND(IF(J432="Short",AB432-AE432,AE432-AB432)/BL432,1),""))</f>
        <v/>
      </c>
      <c r="AQ432" s="66" t="str">
        <f aca="false">IF(OR(G432="",H432=""),"",ROUND(MOD(H432-G432,1)*1440,0))</f>
        <v/>
      </c>
      <c r="AR432" s="68" t="str">
        <f aca="false">IF(AQ432="","",IF(AQ432&lt;15,"Under 15m",IF(AQ432&lt;60,"15-60m",IF(AQ432&lt;240,"1-4 hours","4+ hours"))))</f>
        <v/>
      </c>
      <c r="AS432" s="66" t="str">
        <f aca="false">IF(G432="","",HOUR(G432))</f>
        <v/>
      </c>
      <c r="AT432" s="80" t="str">
        <f aca="false">IF(OR(Z432="",AB432="",BL432=""),"",IFERROR(ROUND(IF(J432="Short",Z432-AB432,AB432-Z432)/BL432,1),""))</f>
        <v/>
      </c>
      <c r="AU432" s="68" t="str">
        <f aca="false">IF(OR(AA432="",AC432=""),"",IF(AA432=AC432,"No","Yes"))</f>
        <v/>
      </c>
      <c r="AV432" s="81" t="str">
        <f aca="false">IF(OR(B432="",BL432="",BM432="",AB432="",AC432=""),"",IFERROR(ROUND(AI432/(ABS(AB432-AC432)/BL432*BM432),2),""))</f>
        <v/>
      </c>
      <c r="AW432" s="76" t="str">
        <f aca="false">IF(B432="","",ROUND(BK432+SUMIFS(AM$5:AM431,BJ$5:BJ431,BJ432),2))</f>
        <v/>
      </c>
      <c r="AX432" s="66" t="str">
        <f aca="false">IF(B432="","",COUNTIFS(B$6:B432,B432,BJ$6:BJ432,BJ432))</f>
        <v/>
      </c>
      <c r="AY432" s="79" t="str">
        <f aca="false">IF(B432="","",ROUND(SUMIFS(AM$5:AM431,B$5:B431,B432,BJ$5:BJ431,BJ432),2))</f>
        <v/>
      </c>
      <c r="AZ432" s="79" t="str">
        <f aca="false">IF(AM432="","",ROUND(AY432+AM432,2))</f>
        <v/>
      </c>
      <c r="BA432" s="79" t="str">
        <f aca="false">IF(B432="","",ROUND(SUMIFS(AM$5:AM431,B$5:B431,"&gt;="&amp;(B432-WEEKDAY(B432,2)+1),B$5:B431,"&lt;="&amp;B432,BJ$5:BJ431,BJ432),2))</f>
        <v/>
      </c>
      <c r="BB432" s="68" t="str">
        <f aca="false">IF(B432="","",IF(AND(AF432&lt;&gt;"",AV432&lt;&gt;"",N(AF432)&gt;N(AV432)*(1+Settings!$C$13)),"Oversized",IF(AX432&gt;Settings!$C$10,"Overtraded",IF(AY432&lt;=-Settings!$C$11*(AW432-AY432),"Daily loss hit",IF(BA432&lt;=-Settings!$C$12*(AW432-BA432),"Weekly loss hit","OK")))))</f>
        <v/>
      </c>
      <c r="BC432" s="69"/>
      <c r="BD432" s="69"/>
      <c r="BE432" s="69"/>
      <c r="BF432" s="73"/>
      <c r="BG432" s="73"/>
      <c r="BH432" s="71"/>
      <c r="BI432" s="71"/>
      <c r="BJ432" s="68" t="str">
        <f aca="false">IF(B432="","",IF(E432="",Settings!$F$5,E432))</f>
        <v/>
      </c>
      <c r="BK432" s="76" t="str">
        <f aca="false">IF(B432="","",IFERROR(INDEX(Settings!$G$5:$G$10,MATCH(BJ432,Settings!$F$5:$F$10,0)),Settings!$G$5))</f>
        <v/>
      </c>
      <c r="BL432" s="82" t="str">
        <f aca="false">IF(I432="","",IFERROR(1/(1/INDEX(Lists!$C$6:$C$17,MATCH(I432,Lists!$B$6:$B$17,0))),""))</f>
        <v/>
      </c>
      <c r="BM432" s="81" t="str">
        <f aca="false">IF(I432="","",IFERROR(1/(1/INDEX(Lists!$D$6:$D$17,MATCH(I432,Lists!$B$6:$B$17,0))),""))</f>
        <v/>
      </c>
      <c r="BN432" s="76" t="str">
        <f aca="false">IF(AN432="","",MAX(BK432,_xlfn.MAXIFS(AN$6:AN432,BJ$6:BJ432,BJ432)))</f>
        <v/>
      </c>
      <c r="BO432" s="83" t="str">
        <f aca="false">IF(AN432="","",(AN432-BN432)/BN432)</f>
        <v/>
      </c>
      <c r="BP432" s="66" t="n">
        <f aca="false">IF(OR(B432="",AL432=""),0,IF(OR(Settings!$C$28="All Accounts",BJ432=Settings!$C$28),1,0))</f>
        <v>0</v>
      </c>
      <c r="BQ432" s="66" t="str">
        <f aca="false">IF(BP432=1,SUM(BP$6:BP432),"")</f>
        <v/>
      </c>
      <c r="BR432" s="76" t="str">
        <f aca="false">IF(BP432=1,ROUND(Settings!$C$29+SUMIFS(AM$6:AM432,BP$6:BP432,1),2),"")</f>
        <v/>
      </c>
      <c r="BS432" s="76" t="str">
        <f aca="false">IF(BP432=1,MAX(Settings!$C$29,MAX(BR$6:BR432)),"")</f>
        <v/>
      </c>
      <c r="BT432" s="83" t="str">
        <f aca="false">IF(BP432=1,(BR432-BS432)/BS432,"")</f>
        <v/>
      </c>
      <c r="BU432" s="66" t="str">
        <f aca="false">IF(BP432=1,IF(AL432="Win",1+IF(BQ432=1,0,INDEX(BU$5:BU431,MATCH(BQ432-1,BQ$5:BQ431,0))),0),"")</f>
        <v/>
      </c>
      <c r="BV432" s="66" t="str">
        <f aca="false">IF(BP432=1,IF(AL432="Loss",1+IF(BQ432=1,0,INDEX(BV$5:BV431,MATCH(BQ432-1,BQ$5:BQ431,0))),0),"")</f>
        <v/>
      </c>
    </row>
    <row r="433" customFormat="false" ht="15" hidden="false" customHeight="false" outlineLevel="0" collapsed="false">
      <c r="A433" s="66" t="str">
        <f aca="false">IF(B433="","",ROW()-5)</f>
        <v/>
      </c>
      <c r="B433" s="67"/>
      <c r="C433" s="68" t="str">
        <f aca="false">IF(B433="","",CHOOSE(WEEKDAY(B433,2),"Mon","Tue","Wed","Thu","Fri","Sat","Sun"))</f>
        <v/>
      </c>
      <c r="D433" s="66" t="str">
        <f aca="false">IF(B433="","",WEEKNUM(B433,2))</f>
        <v/>
      </c>
      <c r="E433" s="69"/>
      <c r="F433" s="69"/>
      <c r="G433" s="70"/>
      <c r="H433" s="70"/>
      <c r="I433" s="69"/>
      <c r="J433" s="69"/>
      <c r="K433" s="69"/>
      <c r="L433" s="71"/>
      <c r="M433" s="69"/>
      <c r="N433" s="69"/>
      <c r="O433" s="69"/>
      <c r="P433" s="71"/>
      <c r="Q433" s="69"/>
      <c r="R433" s="69"/>
      <c r="S433" s="69"/>
      <c r="T433" s="69"/>
      <c r="U433" s="69"/>
      <c r="V433" s="69"/>
      <c r="W433" s="69"/>
      <c r="X433" s="66" t="str">
        <f aca="false">IF(B433="","",COUNTIF(Q433:W433,"Yes"))</f>
        <v/>
      </c>
      <c r="Y433" s="68" t="str">
        <f aca="false">IF(B433="","",IF(X433&gt;=Settings!$C$16,"A+",IF(X433&gt;=Settings!$C$17,"A",IF(X433&gt;=Settings!$C$18,"B","C"))))</f>
        <v/>
      </c>
      <c r="Z433" s="72"/>
      <c r="AA433" s="72"/>
      <c r="AB433" s="72"/>
      <c r="AC433" s="72"/>
      <c r="AD433" s="72"/>
      <c r="AE433" s="72"/>
      <c r="AF433" s="73"/>
      <c r="AG433" s="74"/>
      <c r="AH433" s="75"/>
      <c r="AI433" s="76" t="str">
        <f aca="false">IF(B433="","",ROUND(IF(AG433="",Settings!$C$5,AG433)*AW433,2))</f>
        <v/>
      </c>
      <c r="AJ433" s="77" t="str">
        <f aca="false">IF(OR(B433="",AB433="",AC433="",AD433=""),"",IFERROR(ROUND(ABS(AD433-AB433)/ABS(AB433-AC433),2),""))</f>
        <v/>
      </c>
      <c r="AK433" s="78" t="str">
        <f aca="false">IF(OR(B433="",AB433="",AC433="",AE433=""),"",IFERROR(ROUND(IF(J433="Short",AB433-AE433,AE433-AB433)/ABS(AB433-AC433),2),""))</f>
        <v/>
      </c>
      <c r="AL433" s="68" t="str">
        <f aca="false">IF(AK433="","",IF(ABS(AK433)&lt;=Settings!$C$6,"BE",IF(AK433&gt;0,"Win","Loss")))</f>
        <v/>
      </c>
      <c r="AM433" s="79" t="str">
        <f aca="false">IF(OR(AK433="",AI433=""),"",ROUND(AK433*AI433-N(AH433),2))</f>
        <v/>
      </c>
      <c r="AN433" s="76" t="str">
        <f aca="false">IF(AM433="","",ROUND(BK433+SUMIFS(AM$6:AM433,BJ$6:BJ433,BJ433),2))</f>
        <v/>
      </c>
      <c r="AO433" s="78" t="str">
        <f aca="false">IF(AK433="","",ROUND(SUMIFS(AK$6:AK433,BJ$6:BJ433,BJ433),2))</f>
        <v/>
      </c>
      <c r="AP433" s="80" t="str">
        <f aca="false">IF(OR(AK433="",BL433=""),"",IFERROR(ROUND(IF(J433="Short",AB433-AE433,AE433-AB433)/BL433,1),""))</f>
        <v/>
      </c>
      <c r="AQ433" s="66" t="str">
        <f aca="false">IF(OR(G433="",H433=""),"",ROUND(MOD(H433-G433,1)*1440,0))</f>
        <v/>
      </c>
      <c r="AR433" s="68" t="str">
        <f aca="false">IF(AQ433="","",IF(AQ433&lt;15,"Under 15m",IF(AQ433&lt;60,"15-60m",IF(AQ433&lt;240,"1-4 hours","4+ hours"))))</f>
        <v/>
      </c>
      <c r="AS433" s="66" t="str">
        <f aca="false">IF(G433="","",HOUR(G433))</f>
        <v/>
      </c>
      <c r="AT433" s="80" t="str">
        <f aca="false">IF(OR(Z433="",AB433="",BL433=""),"",IFERROR(ROUND(IF(J433="Short",Z433-AB433,AB433-Z433)/BL433,1),""))</f>
        <v/>
      </c>
      <c r="AU433" s="68" t="str">
        <f aca="false">IF(OR(AA433="",AC433=""),"",IF(AA433=AC433,"No","Yes"))</f>
        <v/>
      </c>
      <c r="AV433" s="81" t="str">
        <f aca="false">IF(OR(B433="",BL433="",BM433="",AB433="",AC433=""),"",IFERROR(ROUND(AI433/(ABS(AB433-AC433)/BL433*BM433),2),""))</f>
        <v/>
      </c>
      <c r="AW433" s="76" t="str">
        <f aca="false">IF(B433="","",ROUND(BK433+SUMIFS(AM$5:AM432,BJ$5:BJ432,BJ433),2))</f>
        <v/>
      </c>
      <c r="AX433" s="66" t="str">
        <f aca="false">IF(B433="","",COUNTIFS(B$6:B433,B433,BJ$6:BJ433,BJ433))</f>
        <v/>
      </c>
      <c r="AY433" s="79" t="str">
        <f aca="false">IF(B433="","",ROUND(SUMIFS(AM$5:AM432,B$5:B432,B433,BJ$5:BJ432,BJ433),2))</f>
        <v/>
      </c>
      <c r="AZ433" s="79" t="str">
        <f aca="false">IF(AM433="","",ROUND(AY433+AM433,2))</f>
        <v/>
      </c>
      <c r="BA433" s="79" t="str">
        <f aca="false">IF(B433="","",ROUND(SUMIFS(AM$5:AM432,B$5:B432,"&gt;="&amp;(B433-WEEKDAY(B433,2)+1),B$5:B432,"&lt;="&amp;B433,BJ$5:BJ432,BJ433),2))</f>
        <v/>
      </c>
      <c r="BB433" s="68" t="str">
        <f aca="false">IF(B433="","",IF(AND(AF433&lt;&gt;"",AV433&lt;&gt;"",N(AF433)&gt;N(AV433)*(1+Settings!$C$13)),"Oversized",IF(AX433&gt;Settings!$C$10,"Overtraded",IF(AY433&lt;=-Settings!$C$11*(AW433-AY433),"Daily loss hit",IF(BA433&lt;=-Settings!$C$12*(AW433-BA433),"Weekly loss hit","OK")))))</f>
        <v/>
      </c>
      <c r="BC433" s="69"/>
      <c r="BD433" s="69"/>
      <c r="BE433" s="69"/>
      <c r="BF433" s="73"/>
      <c r="BG433" s="73"/>
      <c r="BH433" s="71"/>
      <c r="BI433" s="71"/>
      <c r="BJ433" s="68" t="str">
        <f aca="false">IF(B433="","",IF(E433="",Settings!$F$5,E433))</f>
        <v/>
      </c>
      <c r="BK433" s="76" t="str">
        <f aca="false">IF(B433="","",IFERROR(INDEX(Settings!$G$5:$G$10,MATCH(BJ433,Settings!$F$5:$F$10,0)),Settings!$G$5))</f>
        <v/>
      </c>
      <c r="BL433" s="82" t="str">
        <f aca="false">IF(I433="","",IFERROR(1/(1/INDEX(Lists!$C$6:$C$17,MATCH(I433,Lists!$B$6:$B$17,0))),""))</f>
        <v/>
      </c>
      <c r="BM433" s="81" t="str">
        <f aca="false">IF(I433="","",IFERROR(1/(1/INDEX(Lists!$D$6:$D$17,MATCH(I433,Lists!$B$6:$B$17,0))),""))</f>
        <v/>
      </c>
      <c r="BN433" s="76" t="str">
        <f aca="false">IF(AN433="","",MAX(BK433,_xlfn.MAXIFS(AN$6:AN433,BJ$6:BJ433,BJ433)))</f>
        <v/>
      </c>
      <c r="BO433" s="83" t="str">
        <f aca="false">IF(AN433="","",(AN433-BN433)/BN433)</f>
        <v/>
      </c>
      <c r="BP433" s="66" t="n">
        <f aca="false">IF(OR(B433="",AL433=""),0,IF(OR(Settings!$C$28="All Accounts",BJ433=Settings!$C$28),1,0))</f>
        <v>0</v>
      </c>
      <c r="BQ433" s="66" t="str">
        <f aca="false">IF(BP433=1,SUM(BP$6:BP433),"")</f>
        <v/>
      </c>
      <c r="BR433" s="76" t="str">
        <f aca="false">IF(BP433=1,ROUND(Settings!$C$29+SUMIFS(AM$6:AM433,BP$6:BP433,1),2),"")</f>
        <v/>
      </c>
      <c r="BS433" s="76" t="str">
        <f aca="false">IF(BP433=1,MAX(Settings!$C$29,MAX(BR$6:BR433)),"")</f>
        <v/>
      </c>
      <c r="BT433" s="83" t="str">
        <f aca="false">IF(BP433=1,(BR433-BS433)/BS433,"")</f>
        <v/>
      </c>
      <c r="BU433" s="66" t="str">
        <f aca="false">IF(BP433=1,IF(AL433="Win",1+IF(BQ433=1,0,INDEX(BU$5:BU432,MATCH(BQ433-1,BQ$5:BQ432,0))),0),"")</f>
        <v/>
      </c>
      <c r="BV433" s="66" t="str">
        <f aca="false">IF(BP433=1,IF(AL433="Loss",1+IF(BQ433=1,0,INDEX(BV$5:BV432,MATCH(BQ433-1,BQ$5:BQ432,0))),0),"")</f>
        <v/>
      </c>
    </row>
    <row r="434" customFormat="false" ht="15" hidden="false" customHeight="false" outlineLevel="0" collapsed="false">
      <c r="A434" s="66" t="str">
        <f aca="false">IF(B434="","",ROW()-5)</f>
        <v/>
      </c>
      <c r="B434" s="67"/>
      <c r="C434" s="68" t="str">
        <f aca="false">IF(B434="","",CHOOSE(WEEKDAY(B434,2),"Mon","Tue","Wed","Thu","Fri","Sat","Sun"))</f>
        <v/>
      </c>
      <c r="D434" s="66" t="str">
        <f aca="false">IF(B434="","",WEEKNUM(B434,2))</f>
        <v/>
      </c>
      <c r="E434" s="69"/>
      <c r="F434" s="69"/>
      <c r="G434" s="70"/>
      <c r="H434" s="70"/>
      <c r="I434" s="69"/>
      <c r="J434" s="69"/>
      <c r="K434" s="69"/>
      <c r="L434" s="71"/>
      <c r="M434" s="69"/>
      <c r="N434" s="69"/>
      <c r="O434" s="69"/>
      <c r="P434" s="71"/>
      <c r="Q434" s="69"/>
      <c r="R434" s="69"/>
      <c r="S434" s="69"/>
      <c r="T434" s="69"/>
      <c r="U434" s="69"/>
      <c r="V434" s="69"/>
      <c r="W434" s="69"/>
      <c r="X434" s="66" t="str">
        <f aca="false">IF(B434="","",COUNTIF(Q434:W434,"Yes"))</f>
        <v/>
      </c>
      <c r="Y434" s="68" t="str">
        <f aca="false">IF(B434="","",IF(X434&gt;=Settings!$C$16,"A+",IF(X434&gt;=Settings!$C$17,"A",IF(X434&gt;=Settings!$C$18,"B","C"))))</f>
        <v/>
      </c>
      <c r="Z434" s="72"/>
      <c r="AA434" s="72"/>
      <c r="AB434" s="72"/>
      <c r="AC434" s="72"/>
      <c r="AD434" s="72"/>
      <c r="AE434" s="72"/>
      <c r="AF434" s="73"/>
      <c r="AG434" s="74"/>
      <c r="AH434" s="75"/>
      <c r="AI434" s="76" t="str">
        <f aca="false">IF(B434="","",ROUND(IF(AG434="",Settings!$C$5,AG434)*AW434,2))</f>
        <v/>
      </c>
      <c r="AJ434" s="77" t="str">
        <f aca="false">IF(OR(B434="",AB434="",AC434="",AD434=""),"",IFERROR(ROUND(ABS(AD434-AB434)/ABS(AB434-AC434),2),""))</f>
        <v/>
      </c>
      <c r="AK434" s="78" t="str">
        <f aca="false">IF(OR(B434="",AB434="",AC434="",AE434=""),"",IFERROR(ROUND(IF(J434="Short",AB434-AE434,AE434-AB434)/ABS(AB434-AC434),2),""))</f>
        <v/>
      </c>
      <c r="AL434" s="68" t="str">
        <f aca="false">IF(AK434="","",IF(ABS(AK434)&lt;=Settings!$C$6,"BE",IF(AK434&gt;0,"Win","Loss")))</f>
        <v/>
      </c>
      <c r="AM434" s="79" t="str">
        <f aca="false">IF(OR(AK434="",AI434=""),"",ROUND(AK434*AI434-N(AH434),2))</f>
        <v/>
      </c>
      <c r="AN434" s="76" t="str">
        <f aca="false">IF(AM434="","",ROUND(BK434+SUMIFS(AM$6:AM434,BJ$6:BJ434,BJ434),2))</f>
        <v/>
      </c>
      <c r="AO434" s="78" t="str">
        <f aca="false">IF(AK434="","",ROUND(SUMIFS(AK$6:AK434,BJ$6:BJ434,BJ434),2))</f>
        <v/>
      </c>
      <c r="AP434" s="80" t="str">
        <f aca="false">IF(OR(AK434="",BL434=""),"",IFERROR(ROUND(IF(J434="Short",AB434-AE434,AE434-AB434)/BL434,1),""))</f>
        <v/>
      </c>
      <c r="AQ434" s="66" t="str">
        <f aca="false">IF(OR(G434="",H434=""),"",ROUND(MOD(H434-G434,1)*1440,0))</f>
        <v/>
      </c>
      <c r="AR434" s="68" t="str">
        <f aca="false">IF(AQ434="","",IF(AQ434&lt;15,"Under 15m",IF(AQ434&lt;60,"15-60m",IF(AQ434&lt;240,"1-4 hours","4+ hours"))))</f>
        <v/>
      </c>
      <c r="AS434" s="66" t="str">
        <f aca="false">IF(G434="","",HOUR(G434))</f>
        <v/>
      </c>
      <c r="AT434" s="80" t="str">
        <f aca="false">IF(OR(Z434="",AB434="",BL434=""),"",IFERROR(ROUND(IF(J434="Short",Z434-AB434,AB434-Z434)/BL434,1),""))</f>
        <v/>
      </c>
      <c r="AU434" s="68" t="str">
        <f aca="false">IF(OR(AA434="",AC434=""),"",IF(AA434=AC434,"No","Yes"))</f>
        <v/>
      </c>
      <c r="AV434" s="81" t="str">
        <f aca="false">IF(OR(B434="",BL434="",BM434="",AB434="",AC434=""),"",IFERROR(ROUND(AI434/(ABS(AB434-AC434)/BL434*BM434),2),""))</f>
        <v/>
      </c>
      <c r="AW434" s="76" t="str">
        <f aca="false">IF(B434="","",ROUND(BK434+SUMIFS(AM$5:AM433,BJ$5:BJ433,BJ434),2))</f>
        <v/>
      </c>
      <c r="AX434" s="66" t="str">
        <f aca="false">IF(B434="","",COUNTIFS(B$6:B434,B434,BJ$6:BJ434,BJ434))</f>
        <v/>
      </c>
      <c r="AY434" s="79" t="str">
        <f aca="false">IF(B434="","",ROUND(SUMIFS(AM$5:AM433,B$5:B433,B434,BJ$5:BJ433,BJ434),2))</f>
        <v/>
      </c>
      <c r="AZ434" s="79" t="str">
        <f aca="false">IF(AM434="","",ROUND(AY434+AM434,2))</f>
        <v/>
      </c>
      <c r="BA434" s="79" t="str">
        <f aca="false">IF(B434="","",ROUND(SUMIFS(AM$5:AM433,B$5:B433,"&gt;="&amp;(B434-WEEKDAY(B434,2)+1),B$5:B433,"&lt;="&amp;B434,BJ$5:BJ433,BJ434),2))</f>
        <v/>
      </c>
      <c r="BB434" s="68" t="str">
        <f aca="false">IF(B434="","",IF(AND(AF434&lt;&gt;"",AV434&lt;&gt;"",N(AF434)&gt;N(AV434)*(1+Settings!$C$13)),"Oversized",IF(AX434&gt;Settings!$C$10,"Overtraded",IF(AY434&lt;=-Settings!$C$11*(AW434-AY434),"Daily loss hit",IF(BA434&lt;=-Settings!$C$12*(AW434-BA434),"Weekly loss hit","OK")))))</f>
        <v/>
      </c>
      <c r="BC434" s="69"/>
      <c r="BD434" s="69"/>
      <c r="BE434" s="69"/>
      <c r="BF434" s="73"/>
      <c r="BG434" s="73"/>
      <c r="BH434" s="71"/>
      <c r="BI434" s="71"/>
      <c r="BJ434" s="68" t="str">
        <f aca="false">IF(B434="","",IF(E434="",Settings!$F$5,E434))</f>
        <v/>
      </c>
      <c r="BK434" s="76" t="str">
        <f aca="false">IF(B434="","",IFERROR(INDEX(Settings!$G$5:$G$10,MATCH(BJ434,Settings!$F$5:$F$10,0)),Settings!$G$5))</f>
        <v/>
      </c>
      <c r="BL434" s="82" t="str">
        <f aca="false">IF(I434="","",IFERROR(1/(1/INDEX(Lists!$C$6:$C$17,MATCH(I434,Lists!$B$6:$B$17,0))),""))</f>
        <v/>
      </c>
      <c r="BM434" s="81" t="str">
        <f aca="false">IF(I434="","",IFERROR(1/(1/INDEX(Lists!$D$6:$D$17,MATCH(I434,Lists!$B$6:$B$17,0))),""))</f>
        <v/>
      </c>
      <c r="BN434" s="76" t="str">
        <f aca="false">IF(AN434="","",MAX(BK434,_xlfn.MAXIFS(AN$6:AN434,BJ$6:BJ434,BJ434)))</f>
        <v/>
      </c>
      <c r="BO434" s="83" t="str">
        <f aca="false">IF(AN434="","",(AN434-BN434)/BN434)</f>
        <v/>
      </c>
      <c r="BP434" s="66" t="n">
        <f aca="false">IF(OR(B434="",AL434=""),0,IF(OR(Settings!$C$28="All Accounts",BJ434=Settings!$C$28),1,0))</f>
        <v>0</v>
      </c>
      <c r="BQ434" s="66" t="str">
        <f aca="false">IF(BP434=1,SUM(BP$6:BP434),"")</f>
        <v/>
      </c>
      <c r="BR434" s="76" t="str">
        <f aca="false">IF(BP434=1,ROUND(Settings!$C$29+SUMIFS(AM$6:AM434,BP$6:BP434,1),2),"")</f>
        <v/>
      </c>
      <c r="BS434" s="76" t="str">
        <f aca="false">IF(BP434=1,MAX(Settings!$C$29,MAX(BR$6:BR434)),"")</f>
        <v/>
      </c>
      <c r="BT434" s="83" t="str">
        <f aca="false">IF(BP434=1,(BR434-BS434)/BS434,"")</f>
        <v/>
      </c>
      <c r="BU434" s="66" t="str">
        <f aca="false">IF(BP434=1,IF(AL434="Win",1+IF(BQ434=1,0,INDEX(BU$5:BU433,MATCH(BQ434-1,BQ$5:BQ433,0))),0),"")</f>
        <v/>
      </c>
      <c r="BV434" s="66" t="str">
        <f aca="false">IF(BP434=1,IF(AL434="Loss",1+IF(BQ434=1,0,INDEX(BV$5:BV433,MATCH(BQ434-1,BQ$5:BQ433,0))),0),"")</f>
        <v/>
      </c>
    </row>
    <row r="435" customFormat="false" ht="15" hidden="false" customHeight="false" outlineLevel="0" collapsed="false">
      <c r="A435" s="66" t="str">
        <f aca="false">IF(B435="","",ROW()-5)</f>
        <v/>
      </c>
      <c r="B435" s="67"/>
      <c r="C435" s="68" t="str">
        <f aca="false">IF(B435="","",CHOOSE(WEEKDAY(B435,2),"Mon","Tue","Wed","Thu","Fri","Sat","Sun"))</f>
        <v/>
      </c>
      <c r="D435" s="66" t="str">
        <f aca="false">IF(B435="","",WEEKNUM(B435,2))</f>
        <v/>
      </c>
      <c r="E435" s="69"/>
      <c r="F435" s="69"/>
      <c r="G435" s="70"/>
      <c r="H435" s="70"/>
      <c r="I435" s="69"/>
      <c r="J435" s="69"/>
      <c r="K435" s="69"/>
      <c r="L435" s="71"/>
      <c r="M435" s="69"/>
      <c r="N435" s="69"/>
      <c r="O435" s="69"/>
      <c r="P435" s="71"/>
      <c r="Q435" s="69"/>
      <c r="R435" s="69"/>
      <c r="S435" s="69"/>
      <c r="T435" s="69"/>
      <c r="U435" s="69"/>
      <c r="V435" s="69"/>
      <c r="W435" s="69"/>
      <c r="X435" s="66" t="str">
        <f aca="false">IF(B435="","",COUNTIF(Q435:W435,"Yes"))</f>
        <v/>
      </c>
      <c r="Y435" s="68" t="str">
        <f aca="false">IF(B435="","",IF(X435&gt;=Settings!$C$16,"A+",IF(X435&gt;=Settings!$C$17,"A",IF(X435&gt;=Settings!$C$18,"B","C"))))</f>
        <v/>
      </c>
      <c r="Z435" s="72"/>
      <c r="AA435" s="72"/>
      <c r="AB435" s="72"/>
      <c r="AC435" s="72"/>
      <c r="AD435" s="72"/>
      <c r="AE435" s="72"/>
      <c r="AF435" s="73"/>
      <c r="AG435" s="74"/>
      <c r="AH435" s="75"/>
      <c r="AI435" s="76" t="str">
        <f aca="false">IF(B435="","",ROUND(IF(AG435="",Settings!$C$5,AG435)*AW435,2))</f>
        <v/>
      </c>
      <c r="AJ435" s="77" t="str">
        <f aca="false">IF(OR(B435="",AB435="",AC435="",AD435=""),"",IFERROR(ROUND(ABS(AD435-AB435)/ABS(AB435-AC435),2),""))</f>
        <v/>
      </c>
      <c r="AK435" s="78" t="str">
        <f aca="false">IF(OR(B435="",AB435="",AC435="",AE435=""),"",IFERROR(ROUND(IF(J435="Short",AB435-AE435,AE435-AB435)/ABS(AB435-AC435),2),""))</f>
        <v/>
      </c>
      <c r="AL435" s="68" t="str">
        <f aca="false">IF(AK435="","",IF(ABS(AK435)&lt;=Settings!$C$6,"BE",IF(AK435&gt;0,"Win","Loss")))</f>
        <v/>
      </c>
      <c r="AM435" s="79" t="str">
        <f aca="false">IF(OR(AK435="",AI435=""),"",ROUND(AK435*AI435-N(AH435),2))</f>
        <v/>
      </c>
      <c r="AN435" s="76" t="str">
        <f aca="false">IF(AM435="","",ROUND(BK435+SUMIFS(AM$6:AM435,BJ$6:BJ435,BJ435),2))</f>
        <v/>
      </c>
      <c r="AO435" s="78" t="str">
        <f aca="false">IF(AK435="","",ROUND(SUMIFS(AK$6:AK435,BJ$6:BJ435,BJ435),2))</f>
        <v/>
      </c>
      <c r="AP435" s="80" t="str">
        <f aca="false">IF(OR(AK435="",BL435=""),"",IFERROR(ROUND(IF(J435="Short",AB435-AE435,AE435-AB435)/BL435,1),""))</f>
        <v/>
      </c>
      <c r="AQ435" s="66" t="str">
        <f aca="false">IF(OR(G435="",H435=""),"",ROUND(MOD(H435-G435,1)*1440,0))</f>
        <v/>
      </c>
      <c r="AR435" s="68" t="str">
        <f aca="false">IF(AQ435="","",IF(AQ435&lt;15,"Under 15m",IF(AQ435&lt;60,"15-60m",IF(AQ435&lt;240,"1-4 hours","4+ hours"))))</f>
        <v/>
      </c>
      <c r="AS435" s="66" t="str">
        <f aca="false">IF(G435="","",HOUR(G435))</f>
        <v/>
      </c>
      <c r="AT435" s="80" t="str">
        <f aca="false">IF(OR(Z435="",AB435="",BL435=""),"",IFERROR(ROUND(IF(J435="Short",Z435-AB435,AB435-Z435)/BL435,1),""))</f>
        <v/>
      </c>
      <c r="AU435" s="68" t="str">
        <f aca="false">IF(OR(AA435="",AC435=""),"",IF(AA435=AC435,"No","Yes"))</f>
        <v/>
      </c>
      <c r="AV435" s="81" t="str">
        <f aca="false">IF(OR(B435="",BL435="",BM435="",AB435="",AC435=""),"",IFERROR(ROUND(AI435/(ABS(AB435-AC435)/BL435*BM435),2),""))</f>
        <v/>
      </c>
      <c r="AW435" s="76" t="str">
        <f aca="false">IF(B435="","",ROUND(BK435+SUMIFS(AM$5:AM434,BJ$5:BJ434,BJ435),2))</f>
        <v/>
      </c>
      <c r="AX435" s="66" t="str">
        <f aca="false">IF(B435="","",COUNTIFS(B$6:B435,B435,BJ$6:BJ435,BJ435))</f>
        <v/>
      </c>
      <c r="AY435" s="79" t="str">
        <f aca="false">IF(B435="","",ROUND(SUMIFS(AM$5:AM434,B$5:B434,B435,BJ$5:BJ434,BJ435),2))</f>
        <v/>
      </c>
      <c r="AZ435" s="79" t="str">
        <f aca="false">IF(AM435="","",ROUND(AY435+AM435,2))</f>
        <v/>
      </c>
      <c r="BA435" s="79" t="str">
        <f aca="false">IF(B435="","",ROUND(SUMIFS(AM$5:AM434,B$5:B434,"&gt;="&amp;(B435-WEEKDAY(B435,2)+1),B$5:B434,"&lt;="&amp;B435,BJ$5:BJ434,BJ435),2))</f>
        <v/>
      </c>
      <c r="BB435" s="68" t="str">
        <f aca="false">IF(B435="","",IF(AND(AF435&lt;&gt;"",AV435&lt;&gt;"",N(AF435)&gt;N(AV435)*(1+Settings!$C$13)),"Oversized",IF(AX435&gt;Settings!$C$10,"Overtraded",IF(AY435&lt;=-Settings!$C$11*(AW435-AY435),"Daily loss hit",IF(BA435&lt;=-Settings!$C$12*(AW435-BA435),"Weekly loss hit","OK")))))</f>
        <v/>
      </c>
      <c r="BC435" s="69"/>
      <c r="BD435" s="69"/>
      <c r="BE435" s="69"/>
      <c r="BF435" s="73"/>
      <c r="BG435" s="73"/>
      <c r="BH435" s="71"/>
      <c r="BI435" s="71"/>
      <c r="BJ435" s="68" t="str">
        <f aca="false">IF(B435="","",IF(E435="",Settings!$F$5,E435))</f>
        <v/>
      </c>
      <c r="BK435" s="76" t="str">
        <f aca="false">IF(B435="","",IFERROR(INDEX(Settings!$G$5:$G$10,MATCH(BJ435,Settings!$F$5:$F$10,0)),Settings!$G$5))</f>
        <v/>
      </c>
      <c r="BL435" s="82" t="str">
        <f aca="false">IF(I435="","",IFERROR(1/(1/INDEX(Lists!$C$6:$C$17,MATCH(I435,Lists!$B$6:$B$17,0))),""))</f>
        <v/>
      </c>
      <c r="BM435" s="81" t="str">
        <f aca="false">IF(I435="","",IFERROR(1/(1/INDEX(Lists!$D$6:$D$17,MATCH(I435,Lists!$B$6:$B$17,0))),""))</f>
        <v/>
      </c>
      <c r="BN435" s="76" t="str">
        <f aca="false">IF(AN435="","",MAX(BK435,_xlfn.MAXIFS(AN$6:AN435,BJ$6:BJ435,BJ435)))</f>
        <v/>
      </c>
      <c r="BO435" s="83" t="str">
        <f aca="false">IF(AN435="","",(AN435-BN435)/BN435)</f>
        <v/>
      </c>
      <c r="BP435" s="66" t="n">
        <f aca="false">IF(OR(B435="",AL435=""),0,IF(OR(Settings!$C$28="All Accounts",BJ435=Settings!$C$28),1,0))</f>
        <v>0</v>
      </c>
      <c r="BQ435" s="66" t="str">
        <f aca="false">IF(BP435=1,SUM(BP$6:BP435),"")</f>
        <v/>
      </c>
      <c r="BR435" s="76" t="str">
        <f aca="false">IF(BP435=1,ROUND(Settings!$C$29+SUMIFS(AM$6:AM435,BP$6:BP435,1),2),"")</f>
        <v/>
      </c>
      <c r="BS435" s="76" t="str">
        <f aca="false">IF(BP435=1,MAX(Settings!$C$29,MAX(BR$6:BR435)),"")</f>
        <v/>
      </c>
      <c r="BT435" s="83" t="str">
        <f aca="false">IF(BP435=1,(BR435-BS435)/BS435,"")</f>
        <v/>
      </c>
      <c r="BU435" s="66" t="str">
        <f aca="false">IF(BP435=1,IF(AL435="Win",1+IF(BQ435=1,0,INDEX(BU$5:BU434,MATCH(BQ435-1,BQ$5:BQ434,0))),0),"")</f>
        <v/>
      </c>
      <c r="BV435" s="66" t="str">
        <f aca="false">IF(BP435=1,IF(AL435="Loss",1+IF(BQ435=1,0,INDEX(BV$5:BV434,MATCH(BQ435-1,BQ$5:BQ434,0))),0),"")</f>
        <v/>
      </c>
    </row>
    <row r="436" customFormat="false" ht="15" hidden="false" customHeight="false" outlineLevel="0" collapsed="false">
      <c r="A436" s="66" t="str">
        <f aca="false">IF(B436="","",ROW()-5)</f>
        <v/>
      </c>
      <c r="B436" s="67"/>
      <c r="C436" s="68" t="str">
        <f aca="false">IF(B436="","",CHOOSE(WEEKDAY(B436,2),"Mon","Tue","Wed","Thu","Fri","Sat","Sun"))</f>
        <v/>
      </c>
      <c r="D436" s="66" t="str">
        <f aca="false">IF(B436="","",WEEKNUM(B436,2))</f>
        <v/>
      </c>
      <c r="E436" s="69"/>
      <c r="F436" s="69"/>
      <c r="G436" s="70"/>
      <c r="H436" s="70"/>
      <c r="I436" s="69"/>
      <c r="J436" s="69"/>
      <c r="K436" s="69"/>
      <c r="L436" s="71"/>
      <c r="M436" s="69"/>
      <c r="N436" s="69"/>
      <c r="O436" s="69"/>
      <c r="P436" s="71"/>
      <c r="Q436" s="69"/>
      <c r="R436" s="69"/>
      <c r="S436" s="69"/>
      <c r="T436" s="69"/>
      <c r="U436" s="69"/>
      <c r="V436" s="69"/>
      <c r="W436" s="69"/>
      <c r="X436" s="66" t="str">
        <f aca="false">IF(B436="","",COUNTIF(Q436:W436,"Yes"))</f>
        <v/>
      </c>
      <c r="Y436" s="68" t="str">
        <f aca="false">IF(B436="","",IF(X436&gt;=Settings!$C$16,"A+",IF(X436&gt;=Settings!$C$17,"A",IF(X436&gt;=Settings!$C$18,"B","C"))))</f>
        <v/>
      </c>
      <c r="Z436" s="72"/>
      <c r="AA436" s="72"/>
      <c r="AB436" s="72"/>
      <c r="AC436" s="72"/>
      <c r="AD436" s="72"/>
      <c r="AE436" s="72"/>
      <c r="AF436" s="73"/>
      <c r="AG436" s="74"/>
      <c r="AH436" s="75"/>
      <c r="AI436" s="76" t="str">
        <f aca="false">IF(B436="","",ROUND(IF(AG436="",Settings!$C$5,AG436)*AW436,2))</f>
        <v/>
      </c>
      <c r="AJ436" s="77" t="str">
        <f aca="false">IF(OR(B436="",AB436="",AC436="",AD436=""),"",IFERROR(ROUND(ABS(AD436-AB436)/ABS(AB436-AC436),2),""))</f>
        <v/>
      </c>
      <c r="AK436" s="78" t="str">
        <f aca="false">IF(OR(B436="",AB436="",AC436="",AE436=""),"",IFERROR(ROUND(IF(J436="Short",AB436-AE436,AE436-AB436)/ABS(AB436-AC436),2),""))</f>
        <v/>
      </c>
      <c r="AL436" s="68" t="str">
        <f aca="false">IF(AK436="","",IF(ABS(AK436)&lt;=Settings!$C$6,"BE",IF(AK436&gt;0,"Win","Loss")))</f>
        <v/>
      </c>
      <c r="AM436" s="79" t="str">
        <f aca="false">IF(OR(AK436="",AI436=""),"",ROUND(AK436*AI436-N(AH436),2))</f>
        <v/>
      </c>
      <c r="AN436" s="76" t="str">
        <f aca="false">IF(AM436="","",ROUND(BK436+SUMIFS(AM$6:AM436,BJ$6:BJ436,BJ436),2))</f>
        <v/>
      </c>
      <c r="AO436" s="78" t="str">
        <f aca="false">IF(AK436="","",ROUND(SUMIFS(AK$6:AK436,BJ$6:BJ436,BJ436),2))</f>
        <v/>
      </c>
      <c r="AP436" s="80" t="str">
        <f aca="false">IF(OR(AK436="",BL436=""),"",IFERROR(ROUND(IF(J436="Short",AB436-AE436,AE436-AB436)/BL436,1),""))</f>
        <v/>
      </c>
      <c r="AQ436" s="66" t="str">
        <f aca="false">IF(OR(G436="",H436=""),"",ROUND(MOD(H436-G436,1)*1440,0))</f>
        <v/>
      </c>
      <c r="AR436" s="68" t="str">
        <f aca="false">IF(AQ436="","",IF(AQ436&lt;15,"Under 15m",IF(AQ436&lt;60,"15-60m",IF(AQ436&lt;240,"1-4 hours","4+ hours"))))</f>
        <v/>
      </c>
      <c r="AS436" s="66" t="str">
        <f aca="false">IF(G436="","",HOUR(G436))</f>
        <v/>
      </c>
      <c r="AT436" s="80" t="str">
        <f aca="false">IF(OR(Z436="",AB436="",BL436=""),"",IFERROR(ROUND(IF(J436="Short",Z436-AB436,AB436-Z436)/BL436,1),""))</f>
        <v/>
      </c>
      <c r="AU436" s="68" t="str">
        <f aca="false">IF(OR(AA436="",AC436=""),"",IF(AA436=AC436,"No","Yes"))</f>
        <v/>
      </c>
      <c r="AV436" s="81" t="str">
        <f aca="false">IF(OR(B436="",BL436="",BM436="",AB436="",AC436=""),"",IFERROR(ROUND(AI436/(ABS(AB436-AC436)/BL436*BM436),2),""))</f>
        <v/>
      </c>
      <c r="AW436" s="76" t="str">
        <f aca="false">IF(B436="","",ROUND(BK436+SUMIFS(AM$5:AM435,BJ$5:BJ435,BJ436),2))</f>
        <v/>
      </c>
      <c r="AX436" s="66" t="str">
        <f aca="false">IF(B436="","",COUNTIFS(B$6:B436,B436,BJ$6:BJ436,BJ436))</f>
        <v/>
      </c>
      <c r="AY436" s="79" t="str">
        <f aca="false">IF(B436="","",ROUND(SUMIFS(AM$5:AM435,B$5:B435,B436,BJ$5:BJ435,BJ436),2))</f>
        <v/>
      </c>
      <c r="AZ436" s="79" t="str">
        <f aca="false">IF(AM436="","",ROUND(AY436+AM436,2))</f>
        <v/>
      </c>
      <c r="BA436" s="79" t="str">
        <f aca="false">IF(B436="","",ROUND(SUMIFS(AM$5:AM435,B$5:B435,"&gt;="&amp;(B436-WEEKDAY(B436,2)+1),B$5:B435,"&lt;="&amp;B436,BJ$5:BJ435,BJ436),2))</f>
        <v/>
      </c>
      <c r="BB436" s="68" t="str">
        <f aca="false">IF(B436="","",IF(AND(AF436&lt;&gt;"",AV436&lt;&gt;"",N(AF436)&gt;N(AV436)*(1+Settings!$C$13)),"Oversized",IF(AX436&gt;Settings!$C$10,"Overtraded",IF(AY436&lt;=-Settings!$C$11*(AW436-AY436),"Daily loss hit",IF(BA436&lt;=-Settings!$C$12*(AW436-BA436),"Weekly loss hit","OK")))))</f>
        <v/>
      </c>
      <c r="BC436" s="69"/>
      <c r="BD436" s="69"/>
      <c r="BE436" s="69"/>
      <c r="BF436" s="73"/>
      <c r="BG436" s="73"/>
      <c r="BH436" s="71"/>
      <c r="BI436" s="71"/>
      <c r="BJ436" s="68" t="str">
        <f aca="false">IF(B436="","",IF(E436="",Settings!$F$5,E436))</f>
        <v/>
      </c>
      <c r="BK436" s="76" t="str">
        <f aca="false">IF(B436="","",IFERROR(INDEX(Settings!$G$5:$G$10,MATCH(BJ436,Settings!$F$5:$F$10,0)),Settings!$G$5))</f>
        <v/>
      </c>
      <c r="BL436" s="82" t="str">
        <f aca="false">IF(I436="","",IFERROR(1/(1/INDEX(Lists!$C$6:$C$17,MATCH(I436,Lists!$B$6:$B$17,0))),""))</f>
        <v/>
      </c>
      <c r="BM436" s="81" t="str">
        <f aca="false">IF(I436="","",IFERROR(1/(1/INDEX(Lists!$D$6:$D$17,MATCH(I436,Lists!$B$6:$B$17,0))),""))</f>
        <v/>
      </c>
      <c r="BN436" s="76" t="str">
        <f aca="false">IF(AN436="","",MAX(BK436,_xlfn.MAXIFS(AN$6:AN436,BJ$6:BJ436,BJ436)))</f>
        <v/>
      </c>
      <c r="BO436" s="83" t="str">
        <f aca="false">IF(AN436="","",(AN436-BN436)/BN436)</f>
        <v/>
      </c>
      <c r="BP436" s="66" t="n">
        <f aca="false">IF(OR(B436="",AL436=""),0,IF(OR(Settings!$C$28="All Accounts",BJ436=Settings!$C$28),1,0))</f>
        <v>0</v>
      </c>
      <c r="BQ436" s="66" t="str">
        <f aca="false">IF(BP436=1,SUM(BP$6:BP436),"")</f>
        <v/>
      </c>
      <c r="BR436" s="76" t="str">
        <f aca="false">IF(BP436=1,ROUND(Settings!$C$29+SUMIFS(AM$6:AM436,BP$6:BP436,1),2),"")</f>
        <v/>
      </c>
      <c r="BS436" s="76" t="str">
        <f aca="false">IF(BP436=1,MAX(Settings!$C$29,MAX(BR$6:BR436)),"")</f>
        <v/>
      </c>
      <c r="BT436" s="83" t="str">
        <f aca="false">IF(BP436=1,(BR436-BS436)/BS436,"")</f>
        <v/>
      </c>
      <c r="BU436" s="66" t="str">
        <f aca="false">IF(BP436=1,IF(AL436="Win",1+IF(BQ436=1,0,INDEX(BU$5:BU435,MATCH(BQ436-1,BQ$5:BQ435,0))),0),"")</f>
        <v/>
      </c>
      <c r="BV436" s="66" t="str">
        <f aca="false">IF(BP436=1,IF(AL436="Loss",1+IF(BQ436=1,0,INDEX(BV$5:BV435,MATCH(BQ436-1,BQ$5:BQ435,0))),0),"")</f>
        <v/>
      </c>
    </row>
    <row r="437" customFormat="false" ht="15" hidden="false" customHeight="false" outlineLevel="0" collapsed="false">
      <c r="A437" s="66" t="str">
        <f aca="false">IF(B437="","",ROW()-5)</f>
        <v/>
      </c>
      <c r="B437" s="67"/>
      <c r="C437" s="68" t="str">
        <f aca="false">IF(B437="","",CHOOSE(WEEKDAY(B437,2),"Mon","Tue","Wed","Thu","Fri","Sat","Sun"))</f>
        <v/>
      </c>
      <c r="D437" s="66" t="str">
        <f aca="false">IF(B437="","",WEEKNUM(B437,2))</f>
        <v/>
      </c>
      <c r="E437" s="69"/>
      <c r="F437" s="69"/>
      <c r="G437" s="70"/>
      <c r="H437" s="70"/>
      <c r="I437" s="69"/>
      <c r="J437" s="69"/>
      <c r="K437" s="69"/>
      <c r="L437" s="71"/>
      <c r="M437" s="69"/>
      <c r="N437" s="69"/>
      <c r="O437" s="69"/>
      <c r="P437" s="71"/>
      <c r="Q437" s="69"/>
      <c r="R437" s="69"/>
      <c r="S437" s="69"/>
      <c r="T437" s="69"/>
      <c r="U437" s="69"/>
      <c r="V437" s="69"/>
      <c r="W437" s="69"/>
      <c r="X437" s="66" t="str">
        <f aca="false">IF(B437="","",COUNTIF(Q437:W437,"Yes"))</f>
        <v/>
      </c>
      <c r="Y437" s="68" t="str">
        <f aca="false">IF(B437="","",IF(X437&gt;=Settings!$C$16,"A+",IF(X437&gt;=Settings!$C$17,"A",IF(X437&gt;=Settings!$C$18,"B","C"))))</f>
        <v/>
      </c>
      <c r="Z437" s="72"/>
      <c r="AA437" s="72"/>
      <c r="AB437" s="72"/>
      <c r="AC437" s="72"/>
      <c r="AD437" s="72"/>
      <c r="AE437" s="72"/>
      <c r="AF437" s="73"/>
      <c r="AG437" s="74"/>
      <c r="AH437" s="75"/>
      <c r="AI437" s="76" t="str">
        <f aca="false">IF(B437="","",ROUND(IF(AG437="",Settings!$C$5,AG437)*AW437,2))</f>
        <v/>
      </c>
      <c r="AJ437" s="77" t="str">
        <f aca="false">IF(OR(B437="",AB437="",AC437="",AD437=""),"",IFERROR(ROUND(ABS(AD437-AB437)/ABS(AB437-AC437),2),""))</f>
        <v/>
      </c>
      <c r="AK437" s="78" t="str">
        <f aca="false">IF(OR(B437="",AB437="",AC437="",AE437=""),"",IFERROR(ROUND(IF(J437="Short",AB437-AE437,AE437-AB437)/ABS(AB437-AC437),2),""))</f>
        <v/>
      </c>
      <c r="AL437" s="68" t="str">
        <f aca="false">IF(AK437="","",IF(ABS(AK437)&lt;=Settings!$C$6,"BE",IF(AK437&gt;0,"Win","Loss")))</f>
        <v/>
      </c>
      <c r="AM437" s="79" t="str">
        <f aca="false">IF(OR(AK437="",AI437=""),"",ROUND(AK437*AI437-N(AH437),2))</f>
        <v/>
      </c>
      <c r="AN437" s="76" t="str">
        <f aca="false">IF(AM437="","",ROUND(BK437+SUMIFS(AM$6:AM437,BJ$6:BJ437,BJ437),2))</f>
        <v/>
      </c>
      <c r="AO437" s="78" t="str">
        <f aca="false">IF(AK437="","",ROUND(SUMIFS(AK$6:AK437,BJ$6:BJ437,BJ437),2))</f>
        <v/>
      </c>
      <c r="AP437" s="80" t="str">
        <f aca="false">IF(OR(AK437="",BL437=""),"",IFERROR(ROUND(IF(J437="Short",AB437-AE437,AE437-AB437)/BL437,1),""))</f>
        <v/>
      </c>
      <c r="AQ437" s="66" t="str">
        <f aca="false">IF(OR(G437="",H437=""),"",ROUND(MOD(H437-G437,1)*1440,0))</f>
        <v/>
      </c>
      <c r="AR437" s="68" t="str">
        <f aca="false">IF(AQ437="","",IF(AQ437&lt;15,"Under 15m",IF(AQ437&lt;60,"15-60m",IF(AQ437&lt;240,"1-4 hours","4+ hours"))))</f>
        <v/>
      </c>
      <c r="AS437" s="66" t="str">
        <f aca="false">IF(G437="","",HOUR(G437))</f>
        <v/>
      </c>
      <c r="AT437" s="80" t="str">
        <f aca="false">IF(OR(Z437="",AB437="",BL437=""),"",IFERROR(ROUND(IF(J437="Short",Z437-AB437,AB437-Z437)/BL437,1),""))</f>
        <v/>
      </c>
      <c r="AU437" s="68" t="str">
        <f aca="false">IF(OR(AA437="",AC437=""),"",IF(AA437=AC437,"No","Yes"))</f>
        <v/>
      </c>
      <c r="AV437" s="81" t="str">
        <f aca="false">IF(OR(B437="",BL437="",BM437="",AB437="",AC437=""),"",IFERROR(ROUND(AI437/(ABS(AB437-AC437)/BL437*BM437),2),""))</f>
        <v/>
      </c>
      <c r="AW437" s="76" t="str">
        <f aca="false">IF(B437="","",ROUND(BK437+SUMIFS(AM$5:AM436,BJ$5:BJ436,BJ437),2))</f>
        <v/>
      </c>
      <c r="AX437" s="66" t="str">
        <f aca="false">IF(B437="","",COUNTIFS(B$6:B437,B437,BJ$6:BJ437,BJ437))</f>
        <v/>
      </c>
      <c r="AY437" s="79" t="str">
        <f aca="false">IF(B437="","",ROUND(SUMIFS(AM$5:AM436,B$5:B436,B437,BJ$5:BJ436,BJ437),2))</f>
        <v/>
      </c>
      <c r="AZ437" s="79" t="str">
        <f aca="false">IF(AM437="","",ROUND(AY437+AM437,2))</f>
        <v/>
      </c>
      <c r="BA437" s="79" t="str">
        <f aca="false">IF(B437="","",ROUND(SUMIFS(AM$5:AM436,B$5:B436,"&gt;="&amp;(B437-WEEKDAY(B437,2)+1),B$5:B436,"&lt;="&amp;B437,BJ$5:BJ436,BJ437),2))</f>
        <v/>
      </c>
      <c r="BB437" s="68" t="str">
        <f aca="false">IF(B437="","",IF(AND(AF437&lt;&gt;"",AV437&lt;&gt;"",N(AF437)&gt;N(AV437)*(1+Settings!$C$13)),"Oversized",IF(AX437&gt;Settings!$C$10,"Overtraded",IF(AY437&lt;=-Settings!$C$11*(AW437-AY437),"Daily loss hit",IF(BA437&lt;=-Settings!$C$12*(AW437-BA437),"Weekly loss hit","OK")))))</f>
        <v/>
      </c>
      <c r="BC437" s="69"/>
      <c r="BD437" s="69"/>
      <c r="BE437" s="69"/>
      <c r="BF437" s="73"/>
      <c r="BG437" s="73"/>
      <c r="BH437" s="71"/>
      <c r="BI437" s="71"/>
      <c r="BJ437" s="68" t="str">
        <f aca="false">IF(B437="","",IF(E437="",Settings!$F$5,E437))</f>
        <v/>
      </c>
      <c r="BK437" s="76" t="str">
        <f aca="false">IF(B437="","",IFERROR(INDEX(Settings!$G$5:$G$10,MATCH(BJ437,Settings!$F$5:$F$10,0)),Settings!$G$5))</f>
        <v/>
      </c>
      <c r="BL437" s="82" t="str">
        <f aca="false">IF(I437="","",IFERROR(1/(1/INDEX(Lists!$C$6:$C$17,MATCH(I437,Lists!$B$6:$B$17,0))),""))</f>
        <v/>
      </c>
      <c r="BM437" s="81" t="str">
        <f aca="false">IF(I437="","",IFERROR(1/(1/INDEX(Lists!$D$6:$D$17,MATCH(I437,Lists!$B$6:$B$17,0))),""))</f>
        <v/>
      </c>
      <c r="BN437" s="76" t="str">
        <f aca="false">IF(AN437="","",MAX(BK437,_xlfn.MAXIFS(AN$6:AN437,BJ$6:BJ437,BJ437)))</f>
        <v/>
      </c>
      <c r="BO437" s="83" t="str">
        <f aca="false">IF(AN437="","",(AN437-BN437)/BN437)</f>
        <v/>
      </c>
      <c r="BP437" s="66" t="n">
        <f aca="false">IF(OR(B437="",AL437=""),0,IF(OR(Settings!$C$28="All Accounts",BJ437=Settings!$C$28),1,0))</f>
        <v>0</v>
      </c>
      <c r="BQ437" s="66" t="str">
        <f aca="false">IF(BP437=1,SUM(BP$6:BP437),"")</f>
        <v/>
      </c>
      <c r="BR437" s="76" t="str">
        <f aca="false">IF(BP437=1,ROUND(Settings!$C$29+SUMIFS(AM$6:AM437,BP$6:BP437,1),2),"")</f>
        <v/>
      </c>
      <c r="BS437" s="76" t="str">
        <f aca="false">IF(BP437=1,MAX(Settings!$C$29,MAX(BR$6:BR437)),"")</f>
        <v/>
      </c>
      <c r="BT437" s="83" t="str">
        <f aca="false">IF(BP437=1,(BR437-BS437)/BS437,"")</f>
        <v/>
      </c>
      <c r="BU437" s="66" t="str">
        <f aca="false">IF(BP437=1,IF(AL437="Win",1+IF(BQ437=1,0,INDEX(BU$5:BU436,MATCH(BQ437-1,BQ$5:BQ436,0))),0),"")</f>
        <v/>
      </c>
      <c r="BV437" s="66" t="str">
        <f aca="false">IF(BP437=1,IF(AL437="Loss",1+IF(BQ437=1,0,INDEX(BV$5:BV436,MATCH(BQ437-1,BQ$5:BQ436,0))),0),"")</f>
        <v/>
      </c>
    </row>
    <row r="438" customFormat="false" ht="15" hidden="false" customHeight="false" outlineLevel="0" collapsed="false">
      <c r="A438" s="66" t="str">
        <f aca="false">IF(B438="","",ROW()-5)</f>
        <v/>
      </c>
      <c r="B438" s="67"/>
      <c r="C438" s="68" t="str">
        <f aca="false">IF(B438="","",CHOOSE(WEEKDAY(B438,2),"Mon","Tue","Wed","Thu","Fri","Sat","Sun"))</f>
        <v/>
      </c>
      <c r="D438" s="66" t="str">
        <f aca="false">IF(B438="","",WEEKNUM(B438,2))</f>
        <v/>
      </c>
      <c r="E438" s="69"/>
      <c r="F438" s="69"/>
      <c r="G438" s="70"/>
      <c r="H438" s="70"/>
      <c r="I438" s="69"/>
      <c r="J438" s="69"/>
      <c r="K438" s="69"/>
      <c r="L438" s="71"/>
      <c r="M438" s="69"/>
      <c r="N438" s="69"/>
      <c r="O438" s="69"/>
      <c r="P438" s="71"/>
      <c r="Q438" s="69"/>
      <c r="R438" s="69"/>
      <c r="S438" s="69"/>
      <c r="T438" s="69"/>
      <c r="U438" s="69"/>
      <c r="V438" s="69"/>
      <c r="W438" s="69"/>
      <c r="X438" s="66" t="str">
        <f aca="false">IF(B438="","",COUNTIF(Q438:W438,"Yes"))</f>
        <v/>
      </c>
      <c r="Y438" s="68" t="str">
        <f aca="false">IF(B438="","",IF(X438&gt;=Settings!$C$16,"A+",IF(X438&gt;=Settings!$C$17,"A",IF(X438&gt;=Settings!$C$18,"B","C"))))</f>
        <v/>
      </c>
      <c r="Z438" s="72"/>
      <c r="AA438" s="72"/>
      <c r="AB438" s="72"/>
      <c r="AC438" s="72"/>
      <c r="AD438" s="72"/>
      <c r="AE438" s="72"/>
      <c r="AF438" s="73"/>
      <c r="AG438" s="74"/>
      <c r="AH438" s="75"/>
      <c r="AI438" s="76" t="str">
        <f aca="false">IF(B438="","",ROUND(IF(AG438="",Settings!$C$5,AG438)*AW438,2))</f>
        <v/>
      </c>
      <c r="AJ438" s="77" t="str">
        <f aca="false">IF(OR(B438="",AB438="",AC438="",AD438=""),"",IFERROR(ROUND(ABS(AD438-AB438)/ABS(AB438-AC438),2),""))</f>
        <v/>
      </c>
      <c r="AK438" s="78" t="str">
        <f aca="false">IF(OR(B438="",AB438="",AC438="",AE438=""),"",IFERROR(ROUND(IF(J438="Short",AB438-AE438,AE438-AB438)/ABS(AB438-AC438),2),""))</f>
        <v/>
      </c>
      <c r="AL438" s="68" t="str">
        <f aca="false">IF(AK438="","",IF(ABS(AK438)&lt;=Settings!$C$6,"BE",IF(AK438&gt;0,"Win","Loss")))</f>
        <v/>
      </c>
      <c r="AM438" s="79" t="str">
        <f aca="false">IF(OR(AK438="",AI438=""),"",ROUND(AK438*AI438-N(AH438),2))</f>
        <v/>
      </c>
      <c r="AN438" s="76" t="str">
        <f aca="false">IF(AM438="","",ROUND(BK438+SUMIFS(AM$6:AM438,BJ$6:BJ438,BJ438),2))</f>
        <v/>
      </c>
      <c r="AO438" s="78" t="str">
        <f aca="false">IF(AK438="","",ROUND(SUMIFS(AK$6:AK438,BJ$6:BJ438,BJ438),2))</f>
        <v/>
      </c>
      <c r="AP438" s="80" t="str">
        <f aca="false">IF(OR(AK438="",BL438=""),"",IFERROR(ROUND(IF(J438="Short",AB438-AE438,AE438-AB438)/BL438,1),""))</f>
        <v/>
      </c>
      <c r="AQ438" s="66" t="str">
        <f aca="false">IF(OR(G438="",H438=""),"",ROUND(MOD(H438-G438,1)*1440,0))</f>
        <v/>
      </c>
      <c r="AR438" s="68" t="str">
        <f aca="false">IF(AQ438="","",IF(AQ438&lt;15,"Under 15m",IF(AQ438&lt;60,"15-60m",IF(AQ438&lt;240,"1-4 hours","4+ hours"))))</f>
        <v/>
      </c>
      <c r="AS438" s="66" t="str">
        <f aca="false">IF(G438="","",HOUR(G438))</f>
        <v/>
      </c>
      <c r="AT438" s="80" t="str">
        <f aca="false">IF(OR(Z438="",AB438="",BL438=""),"",IFERROR(ROUND(IF(J438="Short",Z438-AB438,AB438-Z438)/BL438,1),""))</f>
        <v/>
      </c>
      <c r="AU438" s="68" t="str">
        <f aca="false">IF(OR(AA438="",AC438=""),"",IF(AA438=AC438,"No","Yes"))</f>
        <v/>
      </c>
      <c r="AV438" s="81" t="str">
        <f aca="false">IF(OR(B438="",BL438="",BM438="",AB438="",AC438=""),"",IFERROR(ROUND(AI438/(ABS(AB438-AC438)/BL438*BM438),2),""))</f>
        <v/>
      </c>
      <c r="AW438" s="76" t="str">
        <f aca="false">IF(B438="","",ROUND(BK438+SUMIFS(AM$5:AM437,BJ$5:BJ437,BJ438),2))</f>
        <v/>
      </c>
      <c r="AX438" s="66" t="str">
        <f aca="false">IF(B438="","",COUNTIFS(B$6:B438,B438,BJ$6:BJ438,BJ438))</f>
        <v/>
      </c>
      <c r="AY438" s="79" t="str">
        <f aca="false">IF(B438="","",ROUND(SUMIFS(AM$5:AM437,B$5:B437,B438,BJ$5:BJ437,BJ438),2))</f>
        <v/>
      </c>
      <c r="AZ438" s="79" t="str">
        <f aca="false">IF(AM438="","",ROUND(AY438+AM438,2))</f>
        <v/>
      </c>
      <c r="BA438" s="79" t="str">
        <f aca="false">IF(B438="","",ROUND(SUMIFS(AM$5:AM437,B$5:B437,"&gt;="&amp;(B438-WEEKDAY(B438,2)+1),B$5:B437,"&lt;="&amp;B438,BJ$5:BJ437,BJ438),2))</f>
        <v/>
      </c>
      <c r="BB438" s="68" t="str">
        <f aca="false">IF(B438="","",IF(AND(AF438&lt;&gt;"",AV438&lt;&gt;"",N(AF438)&gt;N(AV438)*(1+Settings!$C$13)),"Oversized",IF(AX438&gt;Settings!$C$10,"Overtraded",IF(AY438&lt;=-Settings!$C$11*(AW438-AY438),"Daily loss hit",IF(BA438&lt;=-Settings!$C$12*(AW438-BA438),"Weekly loss hit","OK")))))</f>
        <v/>
      </c>
      <c r="BC438" s="69"/>
      <c r="BD438" s="69"/>
      <c r="BE438" s="69"/>
      <c r="BF438" s="73"/>
      <c r="BG438" s="73"/>
      <c r="BH438" s="71"/>
      <c r="BI438" s="71"/>
      <c r="BJ438" s="68" t="str">
        <f aca="false">IF(B438="","",IF(E438="",Settings!$F$5,E438))</f>
        <v/>
      </c>
      <c r="BK438" s="76" t="str">
        <f aca="false">IF(B438="","",IFERROR(INDEX(Settings!$G$5:$G$10,MATCH(BJ438,Settings!$F$5:$F$10,0)),Settings!$G$5))</f>
        <v/>
      </c>
      <c r="BL438" s="82" t="str">
        <f aca="false">IF(I438="","",IFERROR(1/(1/INDEX(Lists!$C$6:$C$17,MATCH(I438,Lists!$B$6:$B$17,0))),""))</f>
        <v/>
      </c>
      <c r="BM438" s="81" t="str">
        <f aca="false">IF(I438="","",IFERROR(1/(1/INDEX(Lists!$D$6:$D$17,MATCH(I438,Lists!$B$6:$B$17,0))),""))</f>
        <v/>
      </c>
      <c r="BN438" s="76" t="str">
        <f aca="false">IF(AN438="","",MAX(BK438,_xlfn.MAXIFS(AN$6:AN438,BJ$6:BJ438,BJ438)))</f>
        <v/>
      </c>
      <c r="BO438" s="83" t="str">
        <f aca="false">IF(AN438="","",(AN438-BN438)/BN438)</f>
        <v/>
      </c>
      <c r="BP438" s="66" t="n">
        <f aca="false">IF(OR(B438="",AL438=""),0,IF(OR(Settings!$C$28="All Accounts",BJ438=Settings!$C$28),1,0))</f>
        <v>0</v>
      </c>
      <c r="BQ438" s="66" t="str">
        <f aca="false">IF(BP438=1,SUM(BP$6:BP438),"")</f>
        <v/>
      </c>
      <c r="BR438" s="76" t="str">
        <f aca="false">IF(BP438=1,ROUND(Settings!$C$29+SUMIFS(AM$6:AM438,BP$6:BP438,1),2),"")</f>
        <v/>
      </c>
      <c r="BS438" s="76" t="str">
        <f aca="false">IF(BP438=1,MAX(Settings!$C$29,MAX(BR$6:BR438)),"")</f>
        <v/>
      </c>
      <c r="BT438" s="83" t="str">
        <f aca="false">IF(BP438=1,(BR438-BS438)/BS438,"")</f>
        <v/>
      </c>
      <c r="BU438" s="66" t="str">
        <f aca="false">IF(BP438=1,IF(AL438="Win",1+IF(BQ438=1,0,INDEX(BU$5:BU437,MATCH(BQ438-1,BQ$5:BQ437,0))),0),"")</f>
        <v/>
      </c>
      <c r="BV438" s="66" t="str">
        <f aca="false">IF(BP438=1,IF(AL438="Loss",1+IF(BQ438=1,0,INDEX(BV$5:BV437,MATCH(BQ438-1,BQ$5:BQ437,0))),0),"")</f>
        <v/>
      </c>
    </row>
    <row r="439" customFormat="false" ht="15" hidden="false" customHeight="false" outlineLevel="0" collapsed="false">
      <c r="A439" s="66" t="str">
        <f aca="false">IF(B439="","",ROW()-5)</f>
        <v/>
      </c>
      <c r="B439" s="67"/>
      <c r="C439" s="68" t="str">
        <f aca="false">IF(B439="","",CHOOSE(WEEKDAY(B439,2),"Mon","Tue","Wed","Thu","Fri","Sat","Sun"))</f>
        <v/>
      </c>
      <c r="D439" s="66" t="str">
        <f aca="false">IF(B439="","",WEEKNUM(B439,2))</f>
        <v/>
      </c>
      <c r="E439" s="69"/>
      <c r="F439" s="69"/>
      <c r="G439" s="70"/>
      <c r="H439" s="70"/>
      <c r="I439" s="69"/>
      <c r="J439" s="69"/>
      <c r="K439" s="69"/>
      <c r="L439" s="71"/>
      <c r="M439" s="69"/>
      <c r="N439" s="69"/>
      <c r="O439" s="69"/>
      <c r="P439" s="71"/>
      <c r="Q439" s="69"/>
      <c r="R439" s="69"/>
      <c r="S439" s="69"/>
      <c r="T439" s="69"/>
      <c r="U439" s="69"/>
      <c r="V439" s="69"/>
      <c r="W439" s="69"/>
      <c r="X439" s="66" t="str">
        <f aca="false">IF(B439="","",COUNTIF(Q439:W439,"Yes"))</f>
        <v/>
      </c>
      <c r="Y439" s="68" t="str">
        <f aca="false">IF(B439="","",IF(X439&gt;=Settings!$C$16,"A+",IF(X439&gt;=Settings!$C$17,"A",IF(X439&gt;=Settings!$C$18,"B","C"))))</f>
        <v/>
      </c>
      <c r="Z439" s="72"/>
      <c r="AA439" s="72"/>
      <c r="AB439" s="72"/>
      <c r="AC439" s="72"/>
      <c r="AD439" s="72"/>
      <c r="AE439" s="72"/>
      <c r="AF439" s="73"/>
      <c r="AG439" s="74"/>
      <c r="AH439" s="75"/>
      <c r="AI439" s="76" t="str">
        <f aca="false">IF(B439="","",ROUND(IF(AG439="",Settings!$C$5,AG439)*AW439,2))</f>
        <v/>
      </c>
      <c r="AJ439" s="77" t="str">
        <f aca="false">IF(OR(B439="",AB439="",AC439="",AD439=""),"",IFERROR(ROUND(ABS(AD439-AB439)/ABS(AB439-AC439),2),""))</f>
        <v/>
      </c>
      <c r="AK439" s="78" t="str">
        <f aca="false">IF(OR(B439="",AB439="",AC439="",AE439=""),"",IFERROR(ROUND(IF(J439="Short",AB439-AE439,AE439-AB439)/ABS(AB439-AC439),2),""))</f>
        <v/>
      </c>
      <c r="AL439" s="68" t="str">
        <f aca="false">IF(AK439="","",IF(ABS(AK439)&lt;=Settings!$C$6,"BE",IF(AK439&gt;0,"Win","Loss")))</f>
        <v/>
      </c>
      <c r="AM439" s="79" t="str">
        <f aca="false">IF(OR(AK439="",AI439=""),"",ROUND(AK439*AI439-N(AH439),2))</f>
        <v/>
      </c>
      <c r="AN439" s="76" t="str">
        <f aca="false">IF(AM439="","",ROUND(BK439+SUMIFS(AM$6:AM439,BJ$6:BJ439,BJ439),2))</f>
        <v/>
      </c>
      <c r="AO439" s="78" t="str">
        <f aca="false">IF(AK439="","",ROUND(SUMIFS(AK$6:AK439,BJ$6:BJ439,BJ439),2))</f>
        <v/>
      </c>
      <c r="AP439" s="80" t="str">
        <f aca="false">IF(OR(AK439="",BL439=""),"",IFERROR(ROUND(IF(J439="Short",AB439-AE439,AE439-AB439)/BL439,1),""))</f>
        <v/>
      </c>
      <c r="AQ439" s="66" t="str">
        <f aca="false">IF(OR(G439="",H439=""),"",ROUND(MOD(H439-G439,1)*1440,0))</f>
        <v/>
      </c>
      <c r="AR439" s="68" t="str">
        <f aca="false">IF(AQ439="","",IF(AQ439&lt;15,"Under 15m",IF(AQ439&lt;60,"15-60m",IF(AQ439&lt;240,"1-4 hours","4+ hours"))))</f>
        <v/>
      </c>
      <c r="AS439" s="66" t="str">
        <f aca="false">IF(G439="","",HOUR(G439))</f>
        <v/>
      </c>
      <c r="AT439" s="80" t="str">
        <f aca="false">IF(OR(Z439="",AB439="",BL439=""),"",IFERROR(ROUND(IF(J439="Short",Z439-AB439,AB439-Z439)/BL439,1),""))</f>
        <v/>
      </c>
      <c r="AU439" s="68" t="str">
        <f aca="false">IF(OR(AA439="",AC439=""),"",IF(AA439=AC439,"No","Yes"))</f>
        <v/>
      </c>
      <c r="AV439" s="81" t="str">
        <f aca="false">IF(OR(B439="",BL439="",BM439="",AB439="",AC439=""),"",IFERROR(ROUND(AI439/(ABS(AB439-AC439)/BL439*BM439),2),""))</f>
        <v/>
      </c>
      <c r="AW439" s="76" t="str">
        <f aca="false">IF(B439="","",ROUND(BK439+SUMIFS(AM$5:AM438,BJ$5:BJ438,BJ439),2))</f>
        <v/>
      </c>
      <c r="AX439" s="66" t="str">
        <f aca="false">IF(B439="","",COUNTIFS(B$6:B439,B439,BJ$6:BJ439,BJ439))</f>
        <v/>
      </c>
      <c r="AY439" s="79" t="str">
        <f aca="false">IF(B439="","",ROUND(SUMIFS(AM$5:AM438,B$5:B438,B439,BJ$5:BJ438,BJ439),2))</f>
        <v/>
      </c>
      <c r="AZ439" s="79" t="str">
        <f aca="false">IF(AM439="","",ROUND(AY439+AM439,2))</f>
        <v/>
      </c>
      <c r="BA439" s="79" t="str">
        <f aca="false">IF(B439="","",ROUND(SUMIFS(AM$5:AM438,B$5:B438,"&gt;="&amp;(B439-WEEKDAY(B439,2)+1),B$5:B438,"&lt;="&amp;B439,BJ$5:BJ438,BJ439),2))</f>
        <v/>
      </c>
      <c r="BB439" s="68" t="str">
        <f aca="false">IF(B439="","",IF(AND(AF439&lt;&gt;"",AV439&lt;&gt;"",N(AF439)&gt;N(AV439)*(1+Settings!$C$13)),"Oversized",IF(AX439&gt;Settings!$C$10,"Overtraded",IF(AY439&lt;=-Settings!$C$11*(AW439-AY439),"Daily loss hit",IF(BA439&lt;=-Settings!$C$12*(AW439-BA439),"Weekly loss hit","OK")))))</f>
        <v/>
      </c>
      <c r="BC439" s="69"/>
      <c r="BD439" s="69"/>
      <c r="BE439" s="69"/>
      <c r="BF439" s="73"/>
      <c r="BG439" s="73"/>
      <c r="BH439" s="71"/>
      <c r="BI439" s="71"/>
      <c r="BJ439" s="68" t="str">
        <f aca="false">IF(B439="","",IF(E439="",Settings!$F$5,E439))</f>
        <v/>
      </c>
      <c r="BK439" s="76" t="str">
        <f aca="false">IF(B439="","",IFERROR(INDEX(Settings!$G$5:$G$10,MATCH(BJ439,Settings!$F$5:$F$10,0)),Settings!$G$5))</f>
        <v/>
      </c>
      <c r="BL439" s="82" t="str">
        <f aca="false">IF(I439="","",IFERROR(1/(1/INDEX(Lists!$C$6:$C$17,MATCH(I439,Lists!$B$6:$B$17,0))),""))</f>
        <v/>
      </c>
      <c r="BM439" s="81" t="str">
        <f aca="false">IF(I439="","",IFERROR(1/(1/INDEX(Lists!$D$6:$D$17,MATCH(I439,Lists!$B$6:$B$17,0))),""))</f>
        <v/>
      </c>
      <c r="BN439" s="76" t="str">
        <f aca="false">IF(AN439="","",MAX(BK439,_xlfn.MAXIFS(AN$6:AN439,BJ$6:BJ439,BJ439)))</f>
        <v/>
      </c>
      <c r="BO439" s="83" t="str">
        <f aca="false">IF(AN439="","",(AN439-BN439)/BN439)</f>
        <v/>
      </c>
      <c r="BP439" s="66" t="n">
        <f aca="false">IF(OR(B439="",AL439=""),0,IF(OR(Settings!$C$28="All Accounts",BJ439=Settings!$C$28),1,0))</f>
        <v>0</v>
      </c>
      <c r="BQ439" s="66" t="str">
        <f aca="false">IF(BP439=1,SUM(BP$6:BP439),"")</f>
        <v/>
      </c>
      <c r="BR439" s="76" t="str">
        <f aca="false">IF(BP439=1,ROUND(Settings!$C$29+SUMIFS(AM$6:AM439,BP$6:BP439,1),2),"")</f>
        <v/>
      </c>
      <c r="BS439" s="76" t="str">
        <f aca="false">IF(BP439=1,MAX(Settings!$C$29,MAX(BR$6:BR439)),"")</f>
        <v/>
      </c>
      <c r="BT439" s="83" t="str">
        <f aca="false">IF(BP439=1,(BR439-BS439)/BS439,"")</f>
        <v/>
      </c>
      <c r="BU439" s="66" t="str">
        <f aca="false">IF(BP439=1,IF(AL439="Win",1+IF(BQ439=1,0,INDEX(BU$5:BU438,MATCH(BQ439-1,BQ$5:BQ438,0))),0),"")</f>
        <v/>
      </c>
      <c r="BV439" s="66" t="str">
        <f aca="false">IF(BP439=1,IF(AL439="Loss",1+IF(BQ439=1,0,INDEX(BV$5:BV438,MATCH(BQ439-1,BQ$5:BQ438,0))),0),"")</f>
        <v/>
      </c>
    </row>
    <row r="440" customFormat="false" ht="15" hidden="false" customHeight="false" outlineLevel="0" collapsed="false">
      <c r="A440" s="66" t="str">
        <f aca="false">IF(B440="","",ROW()-5)</f>
        <v/>
      </c>
      <c r="B440" s="67"/>
      <c r="C440" s="68" t="str">
        <f aca="false">IF(B440="","",CHOOSE(WEEKDAY(B440,2),"Mon","Tue","Wed","Thu","Fri","Sat","Sun"))</f>
        <v/>
      </c>
      <c r="D440" s="66" t="str">
        <f aca="false">IF(B440="","",WEEKNUM(B440,2))</f>
        <v/>
      </c>
      <c r="E440" s="69"/>
      <c r="F440" s="69"/>
      <c r="G440" s="70"/>
      <c r="H440" s="70"/>
      <c r="I440" s="69"/>
      <c r="J440" s="69"/>
      <c r="K440" s="69"/>
      <c r="L440" s="71"/>
      <c r="M440" s="69"/>
      <c r="N440" s="69"/>
      <c r="O440" s="69"/>
      <c r="P440" s="71"/>
      <c r="Q440" s="69"/>
      <c r="R440" s="69"/>
      <c r="S440" s="69"/>
      <c r="T440" s="69"/>
      <c r="U440" s="69"/>
      <c r="V440" s="69"/>
      <c r="W440" s="69"/>
      <c r="X440" s="66" t="str">
        <f aca="false">IF(B440="","",COUNTIF(Q440:W440,"Yes"))</f>
        <v/>
      </c>
      <c r="Y440" s="68" t="str">
        <f aca="false">IF(B440="","",IF(X440&gt;=Settings!$C$16,"A+",IF(X440&gt;=Settings!$C$17,"A",IF(X440&gt;=Settings!$C$18,"B","C"))))</f>
        <v/>
      </c>
      <c r="Z440" s="72"/>
      <c r="AA440" s="72"/>
      <c r="AB440" s="72"/>
      <c r="AC440" s="72"/>
      <c r="AD440" s="72"/>
      <c r="AE440" s="72"/>
      <c r="AF440" s="73"/>
      <c r="AG440" s="74"/>
      <c r="AH440" s="75"/>
      <c r="AI440" s="76" t="str">
        <f aca="false">IF(B440="","",ROUND(IF(AG440="",Settings!$C$5,AG440)*AW440,2))</f>
        <v/>
      </c>
      <c r="AJ440" s="77" t="str">
        <f aca="false">IF(OR(B440="",AB440="",AC440="",AD440=""),"",IFERROR(ROUND(ABS(AD440-AB440)/ABS(AB440-AC440),2),""))</f>
        <v/>
      </c>
      <c r="AK440" s="78" t="str">
        <f aca="false">IF(OR(B440="",AB440="",AC440="",AE440=""),"",IFERROR(ROUND(IF(J440="Short",AB440-AE440,AE440-AB440)/ABS(AB440-AC440),2),""))</f>
        <v/>
      </c>
      <c r="AL440" s="68" t="str">
        <f aca="false">IF(AK440="","",IF(ABS(AK440)&lt;=Settings!$C$6,"BE",IF(AK440&gt;0,"Win","Loss")))</f>
        <v/>
      </c>
      <c r="AM440" s="79" t="str">
        <f aca="false">IF(OR(AK440="",AI440=""),"",ROUND(AK440*AI440-N(AH440),2))</f>
        <v/>
      </c>
      <c r="AN440" s="76" t="str">
        <f aca="false">IF(AM440="","",ROUND(BK440+SUMIFS(AM$6:AM440,BJ$6:BJ440,BJ440),2))</f>
        <v/>
      </c>
      <c r="AO440" s="78" t="str">
        <f aca="false">IF(AK440="","",ROUND(SUMIFS(AK$6:AK440,BJ$6:BJ440,BJ440),2))</f>
        <v/>
      </c>
      <c r="AP440" s="80" t="str">
        <f aca="false">IF(OR(AK440="",BL440=""),"",IFERROR(ROUND(IF(J440="Short",AB440-AE440,AE440-AB440)/BL440,1),""))</f>
        <v/>
      </c>
      <c r="AQ440" s="66" t="str">
        <f aca="false">IF(OR(G440="",H440=""),"",ROUND(MOD(H440-G440,1)*1440,0))</f>
        <v/>
      </c>
      <c r="AR440" s="68" t="str">
        <f aca="false">IF(AQ440="","",IF(AQ440&lt;15,"Under 15m",IF(AQ440&lt;60,"15-60m",IF(AQ440&lt;240,"1-4 hours","4+ hours"))))</f>
        <v/>
      </c>
      <c r="AS440" s="66" t="str">
        <f aca="false">IF(G440="","",HOUR(G440))</f>
        <v/>
      </c>
      <c r="AT440" s="80" t="str">
        <f aca="false">IF(OR(Z440="",AB440="",BL440=""),"",IFERROR(ROUND(IF(J440="Short",Z440-AB440,AB440-Z440)/BL440,1),""))</f>
        <v/>
      </c>
      <c r="AU440" s="68" t="str">
        <f aca="false">IF(OR(AA440="",AC440=""),"",IF(AA440=AC440,"No","Yes"))</f>
        <v/>
      </c>
      <c r="AV440" s="81" t="str">
        <f aca="false">IF(OR(B440="",BL440="",BM440="",AB440="",AC440=""),"",IFERROR(ROUND(AI440/(ABS(AB440-AC440)/BL440*BM440),2),""))</f>
        <v/>
      </c>
      <c r="AW440" s="76" t="str">
        <f aca="false">IF(B440="","",ROUND(BK440+SUMIFS(AM$5:AM439,BJ$5:BJ439,BJ440),2))</f>
        <v/>
      </c>
      <c r="AX440" s="66" t="str">
        <f aca="false">IF(B440="","",COUNTIFS(B$6:B440,B440,BJ$6:BJ440,BJ440))</f>
        <v/>
      </c>
      <c r="AY440" s="79" t="str">
        <f aca="false">IF(B440="","",ROUND(SUMIFS(AM$5:AM439,B$5:B439,B440,BJ$5:BJ439,BJ440),2))</f>
        <v/>
      </c>
      <c r="AZ440" s="79" t="str">
        <f aca="false">IF(AM440="","",ROUND(AY440+AM440,2))</f>
        <v/>
      </c>
      <c r="BA440" s="79" t="str">
        <f aca="false">IF(B440="","",ROUND(SUMIFS(AM$5:AM439,B$5:B439,"&gt;="&amp;(B440-WEEKDAY(B440,2)+1),B$5:B439,"&lt;="&amp;B440,BJ$5:BJ439,BJ440),2))</f>
        <v/>
      </c>
      <c r="BB440" s="68" t="str">
        <f aca="false">IF(B440="","",IF(AND(AF440&lt;&gt;"",AV440&lt;&gt;"",N(AF440)&gt;N(AV440)*(1+Settings!$C$13)),"Oversized",IF(AX440&gt;Settings!$C$10,"Overtraded",IF(AY440&lt;=-Settings!$C$11*(AW440-AY440),"Daily loss hit",IF(BA440&lt;=-Settings!$C$12*(AW440-BA440),"Weekly loss hit","OK")))))</f>
        <v/>
      </c>
      <c r="BC440" s="69"/>
      <c r="BD440" s="69"/>
      <c r="BE440" s="69"/>
      <c r="BF440" s="73"/>
      <c r="BG440" s="73"/>
      <c r="BH440" s="71"/>
      <c r="BI440" s="71"/>
      <c r="BJ440" s="68" t="str">
        <f aca="false">IF(B440="","",IF(E440="",Settings!$F$5,E440))</f>
        <v/>
      </c>
      <c r="BK440" s="76" t="str">
        <f aca="false">IF(B440="","",IFERROR(INDEX(Settings!$G$5:$G$10,MATCH(BJ440,Settings!$F$5:$F$10,0)),Settings!$G$5))</f>
        <v/>
      </c>
      <c r="BL440" s="82" t="str">
        <f aca="false">IF(I440="","",IFERROR(1/(1/INDEX(Lists!$C$6:$C$17,MATCH(I440,Lists!$B$6:$B$17,0))),""))</f>
        <v/>
      </c>
      <c r="BM440" s="81" t="str">
        <f aca="false">IF(I440="","",IFERROR(1/(1/INDEX(Lists!$D$6:$D$17,MATCH(I440,Lists!$B$6:$B$17,0))),""))</f>
        <v/>
      </c>
      <c r="BN440" s="76" t="str">
        <f aca="false">IF(AN440="","",MAX(BK440,_xlfn.MAXIFS(AN$6:AN440,BJ$6:BJ440,BJ440)))</f>
        <v/>
      </c>
      <c r="BO440" s="83" t="str">
        <f aca="false">IF(AN440="","",(AN440-BN440)/BN440)</f>
        <v/>
      </c>
      <c r="BP440" s="66" t="n">
        <f aca="false">IF(OR(B440="",AL440=""),0,IF(OR(Settings!$C$28="All Accounts",BJ440=Settings!$C$28),1,0))</f>
        <v>0</v>
      </c>
      <c r="BQ440" s="66" t="str">
        <f aca="false">IF(BP440=1,SUM(BP$6:BP440),"")</f>
        <v/>
      </c>
      <c r="BR440" s="76" t="str">
        <f aca="false">IF(BP440=1,ROUND(Settings!$C$29+SUMIFS(AM$6:AM440,BP$6:BP440,1),2),"")</f>
        <v/>
      </c>
      <c r="BS440" s="76" t="str">
        <f aca="false">IF(BP440=1,MAX(Settings!$C$29,MAX(BR$6:BR440)),"")</f>
        <v/>
      </c>
      <c r="BT440" s="83" t="str">
        <f aca="false">IF(BP440=1,(BR440-BS440)/BS440,"")</f>
        <v/>
      </c>
      <c r="BU440" s="66" t="str">
        <f aca="false">IF(BP440=1,IF(AL440="Win",1+IF(BQ440=1,0,INDEX(BU$5:BU439,MATCH(BQ440-1,BQ$5:BQ439,0))),0),"")</f>
        <v/>
      </c>
      <c r="BV440" s="66" t="str">
        <f aca="false">IF(BP440=1,IF(AL440="Loss",1+IF(BQ440=1,0,INDEX(BV$5:BV439,MATCH(BQ440-1,BQ$5:BQ439,0))),0),"")</f>
        <v/>
      </c>
    </row>
    <row r="441" customFormat="false" ht="15" hidden="false" customHeight="false" outlineLevel="0" collapsed="false">
      <c r="A441" s="66" t="str">
        <f aca="false">IF(B441="","",ROW()-5)</f>
        <v/>
      </c>
      <c r="B441" s="67"/>
      <c r="C441" s="68" t="str">
        <f aca="false">IF(B441="","",CHOOSE(WEEKDAY(B441,2),"Mon","Tue","Wed","Thu","Fri","Sat","Sun"))</f>
        <v/>
      </c>
      <c r="D441" s="66" t="str">
        <f aca="false">IF(B441="","",WEEKNUM(B441,2))</f>
        <v/>
      </c>
      <c r="E441" s="69"/>
      <c r="F441" s="69"/>
      <c r="G441" s="70"/>
      <c r="H441" s="70"/>
      <c r="I441" s="69"/>
      <c r="J441" s="69"/>
      <c r="K441" s="69"/>
      <c r="L441" s="71"/>
      <c r="M441" s="69"/>
      <c r="N441" s="69"/>
      <c r="O441" s="69"/>
      <c r="P441" s="71"/>
      <c r="Q441" s="69"/>
      <c r="R441" s="69"/>
      <c r="S441" s="69"/>
      <c r="T441" s="69"/>
      <c r="U441" s="69"/>
      <c r="V441" s="69"/>
      <c r="W441" s="69"/>
      <c r="X441" s="66" t="str">
        <f aca="false">IF(B441="","",COUNTIF(Q441:W441,"Yes"))</f>
        <v/>
      </c>
      <c r="Y441" s="68" t="str">
        <f aca="false">IF(B441="","",IF(X441&gt;=Settings!$C$16,"A+",IF(X441&gt;=Settings!$C$17,"A",IF(X441&gt;=Settings!$C$18,"B","C"))))</f>
        <v/>
      </c>
      <c r="Z441" s="72"/>
      <c r="AA441" s="72"/>
      <c r="AB441" s="72"/>
      <c r="AC441" s="72"/>
      <c r="AD441" s="72"/>
      <c r="AE441" s="72"/>
      <c r="AF441" s="73"/>
      <c r="AG441" s="74"/>
      <c r="AH441" s="75"/>
      <c r="AI441" s="76" t="str">
        <f aca="false">IF(B441="","",ROUND(IF(AG441="",Settings!$C$5,AG441)*AW441,2))</f>
        <v/>
      </c>
      <c r="AJ441" s="77" t="str">
        <f aca="false">IF(OR(B441="",AB441="",AC441="",AD441=""),"",IFERROR(ROUND(ABS(AD441-AB441)/ABS(AB441-AC441),2),""))</f>
        <v/>
      </c>
      <c r="AK441" s="78" t="str">
        <f aca="false">IF(OR(B441="",AB441="",AC441="",AE441=""),"",IFERROR(ROUND(IF(J441="Short",AB441-AE441,AE441-AB441)/ABS(AB441-AC441),2),""))</f>
        <v/>
      </c>
      <c r="AL441" s="68" t="str">
        <f aca="false">IF(AK441="","",IF(ABS(AK441)&lt;=Settings!$C$6,"BE",IF(AK441&gt;0,"Win","Loss")))</f>
        <v/>
      </c>
      <c r="AM441" s="79" t="str">
        <f aca="false">IF(OR(AK441="",AI441=""),"",ROUND(AK441*AI441-N(AH441),2))</f>
        <v/>
      </c>
      <c r="AN441" s="76" t="str">
        <f aca="false">IF(AM441="","",ROUND(BK441+SUMIFS(AM$6:AM441,BJ$6:BJ441,BJ441),2))</f>
        <v/>
      </c>
      <c r="AO441" s="78" t="str">
        <f aca="false">IF(AK441="","",ROUND(SUMIFS(AK$6:AK441,BJ$6:BJ441,BJ441),2))</f>
        <v/>
      </c>
      <c r="AP441" s="80" t="str">
        <f aca="false">IF(OR(AK441="",BL441=""),"",IFERROR(ROUND(IF(J441="Short",AB441-AE441,AE441-AB441)/BL441,1),""))</f>
        <v/>
      </c>
      <c r="AQ441" s="66" t="str">
        <f aca="false">IF(OR(G441="",H441=""),"",ROUND(MOD(H441-G441,1)*1440,0))</f>
        <v/>
      </c>
      <c r="AR441" s="68" t="str">
        <f aca="false">IF(AQ441="","",IF(AQ441&lt;15,"Under 15m",IF(AQ441&lt;60,"15-60m",IF(AQ441&lt;240,"1-4 hours","4+ hours"))))</f>
        <v/>
      </c>
      <c r="AS441" s="66" t="str">
        <f aca="false">IF(G441="","",HOUR(G441))</f>
        <v/>
      </c>
      <c r="AT441" s="80" t="str">
        <f aca="false">IF(OR(Z441="",AB441="",BL441=""),"",IFERROR(ROUND(IF(J441="Short",Z441-AB441,AB441-Z441)/BL441,1),""))</f>
        <v/>
      </c>
      <c r="AU441" s="68" t="str">
        <f aca="false">IF(OR(AA441="",AC441=""),"",IF(AA441=AC441,"No","Yes"))</f>
        <v/>
      </c>
      <c r="AV441" s="81" t="str">
        <f aca="false">IF(OR(B441="",BL441="",BM441="",AB441="",AC441=""),"",IFERROR(ROUND(AI441/(ABS(AB441-AC441)/BL441*BM441),2),""))</f>
        <v/>
      </c>
      <c r="AW441" s="76" t="str">
        <f aca="false">IF(B441="","",ROUND(BK441+SUMIFS(AM$5:AM440,BJ$5:BJ440,BJ441),2))</f>
        <v/>
      </c>
      <c r="AX441" s="66" t="str">
        <f aca="false">IF(B441="","",COUNTIFS(B$6:B441,B441,BJ$6:BJ441,BJ441))</f>
        <v/>
      </c>
      <c r="AY441" s="79" t="str">
        <f aca="false">IF(B441="","",ROUND(SUMIFS(AM$5:AM440,B$5:B440,B441,BJ$5:BJ440,BJ441),2))</f>
        <v/>
      </c>
      <c r="AZ441" s="79" t="str">
        <f aca="false">IF(AM441="","",ROUND(AY441+AM441,2))</f>
        <v/>
      </c>
      <c r="BA441" s="79" t="str">
        <f aca="false">IF(B441="","",ROUND(SUMIFS(AM$5:AM440,B$5:B440,"&gt;="&amp;(B441-WEEKDAY(B441,2)+1),B$5:B440,"&lt;="&amp;B441,BJ$5:BJ440,BJ441),2))</f>
        <v/>
      </c>
      <c r="BB441" s="68" t="str">
        <f aca="false">IF(B441="","",IF(AND(AF441&lt;&gt;"",AV441&lt;&gt;"",N(AF441)&gt;N(AV441)*(1+Settings!$C$13)),"Oversized",IF(AX441&gt;Settings!$C$10,"Overtraded",IF(AY441&lt;=-Settings!$C$11*(AW441-AY441),"Daily loss hit",IF(BA441&lt;=-Settings!$C$12*(AW441-BA441),"Weekly loss hit","OK")))))</f>
        <v/>
      </c>
      <c r="BC441" s="69"/>
      <c r="BD441" s="69"/>
      <c r="BE441" s="69"/>
      <c r="BF441" s="73"/>
      <c r="BG441" s="73"/>
      <c r="BH441" s="71"/>
      <c r="BI441" s="71"/>
      <c r="BJ441" s="68" t="str">
        <f aca="false">IF(B441="","",IF(E441="",Settings!$F$5,E441))</f>
        <v/>
      </c>
      <c r="BK441" s="76" t="str">
        <f aca="false">IF(B441="","",IFERROR(INDEX(Settings!$G$5:$G$10,MATCH(BJ441,Settings!$F$5:$F$10,0)),Settings!$G$5))</f>
        <v/>
      </c>
      <c r="BL441" s="82" t="str">
        <f aca="false">IF(I441="","",IFERROR(1/(1/INDEX(Lists!$C$6:$C$17,MATCH(I441,Lists!$B$6:$B$17,0))),""))</f>
        <v/>
      </c>
      <c r="BM441" s="81" t="str">
        <f aca="false">IF(I441="","",IFERROR(1/(1/INDEX(Lists!$D$6:$D$17,MATCH(I441,Lists!$B$6:$B$17,0))),""))</f>
        <v/>
      </c>
      <c r="BN441" s="76" t="str">
        <f aca="false">IF(AN441="","",MAX(BK441,_xlfn.MAXIFS(AN$6:AN441,BJ$6:BJ441,BJ441)))</f>
        <v/>
      </c>
      <c r="BO441" s="83" t="str">
        <f aca="false">IF(AN441="","",(AN441-BN441)/BN441)</f>
        <v/>
      </c>
      <c r="BP441" s="66" t="n">
        <f aca="false">IF(OR(B441="",AL441=""),0,IF(OR(Settings!$C$28="All Accounts",BJ441=Settings!$C$28),1,0))</f>
        <v>0</v>
      </c>
      <c r="BQ441" s="66" t="str">
        <f aca="false">IF(BP441=1,SUM(BP$6:BP441),"")</f>
        <v/>
      </c>
      <c r="BR441" s="76" t="str">
        <f aca="false">IF(BP441=1,ROUND(Settings!$C$29+SUMIFS(AM$6:AM441,BP$6:BP441,1),2),"")</f>
        <v/>
      </c>
      <c r="BS441" s="76" t="str">
        <f aca="false">IF(BP441=1,MAX(Settings!$C$29,MAX(BR$6:BR441)),"")</f>
        <v/>
      </c>
      <c r="BT441" s="83" t="str">
        <f aca="false">IF(BP441=1,(BR441-BS441)/BS441,"")</f>
        <v/>
      </c>
      <c r="BU441" s="66" t="str">
        <f aca="false">IF(BP441=1,IF(AL441="Win",1+IF(BQ441=1,0,INDEX(BU$5:BU440,MATCH(BQ441-1,BQ$5:BQ440,0))),0),"")</f>
        <v/>
      </c>
      <c r="BV441" s="66" t="str">
        <f aca="false">IF(BP441=1,IF(AL441="Loss",1+IF(BQ441=1,0,INDEX(BV$5:BV440,MATCH(BQ441-1,BQ$5:BQ440,0))),0),"")</f>
        <v/>
      </c>
    </row>
    <row r="442" customFormat="false" ht="15" hidden="false" customHeight="false" outlineLevel="0" collapsed="false">
      <c r="A442" s="66" t="str">
        <f aca="false">IF(B442="","",ROW()-5)</f>
        <v/>
      </c>
      <c r="B442" s="67"/>
      <c r="C442" s="68" t="str">
        <f aca="false">IF(B442="","",CHOOSE(WEEKDAY(B442,2),"Mon","Tue","Wed","Thu","Fri","Sat","Sun"))</f>
        <v/>
      </c>
      <c r="D442" s="66" t="str">
        <f aca="false">IF(B442="","",WEEKNUM(B442,2))</f>
        <v/>
      </c>
      <c r="E442" s="69"/>
      <c r="F442" s="69"/>
      <c r="G442" s="70"/>
      <c r="H442" s="70"/>
      <c r="I442" s="69"/>
      <c r="J442" s="69"/>
      <c r="K442" s="69"/>
      <c r="L442" s="71"/>
      <c r="M442" s="69"/>
      <c r="N442" s="69"/>
      <c r="O442" s="69"/>
      <c r="P442" s="71"/>
      <c r="Q442" s="69"/>
      <c r="R442" s="69"/>
      <c r="S442" s="69"/>
      <c r="T442" s="69"/>
      <c r="U442" s="69"/>
      <c r="V442" s="69"/>
      <c r="W442" s="69"/>
      <c r="X442" s="66" t="str">
        <f aca="false">IF(B442="","",COUNTIF(Q442:W442,"Yes"))</f>
        <v/>
      </c>
      <c r="Y442" s="68" t="str">
        <f aca="false">IF(B442="","",IF(X442&gt;=Settings!$C$16,"A+",IF(X442&gt;=Settings!$C$17,"A",IF(X442&gt;=Settings!$C$18,"B","C"))))</f>
        <v/>
      </c>
      <c r="Z442" s="72"/>
      <c r="AA442" s="72"/>
      <c r="AB442" s="72"/>
      <c r="AC442" s="72"/>
      <c r="AD442" s="72"/>
      <c r="AE442" s="72"/>
      <c r="AF442" s="73"/>
      <c r="AG442" s="74"/>
      <c r="AH442" s="75"/>
      <c r="AI442" s="76" t="str">
        <f aca="false">IF(B442="","",ROUND(IF(AG442="",Settings!$C$5,AG442)*AW442,2))</f>
        <v/>
      </c>
      <c r="AJ442" s="77" t="str">
        <f aca="false">IF(OR(B442="",AB442="",AC442="",AD442=""),"",IFERROR(ROUND(ABS(AD442-AB442)/ABS(AB442-AC442),2),""))</f>
        <v/>
      </c>
      <c r="AK442" s="78" t="str">
        <f aca="false">IF(OR(B442="",AB442="",AC442="",AE442=""),"",IFERROR(ROUND(IF(J442="Short",AB442-AE442,AE442-AB442)/ABS(AB442-AC442),2),""))</f>
        <v/>
      </c>
      <c r="AL442" s="68" t="str">
        <f aca="false">IF(AK442="","",IF(ABS(AK442)&lt;=Settings!$C$6,"BE",IF(AK442&gt;0,"Win","Loss")))</f>
        <v/>
      </c>
      <c r="AM442" s="79" t="str">
        <f aca="false">IF(OR(AK442="",AI442=""),"",ROUND(AK442*AI442-N(AH442),2))</f>
        <v/>
      </c>
      <c r="AN442" s="76" t="str">
        <f aca="false">IF(AM442="","",ROUND(BK442+SUMIFS(AM$6:AM442,BJ$6:BJ442,BJ442),2))</f>
        <v/>
      </c>
      <c r="AO442" s="78" t="str">
        <f aca="false">IF(AK442="","",ROUND(SUMIFS(AK$6:AK442,BJ$6:BJ442,BJ442),2))</f>
        <v/>
      </c>
      <c r="AP442" s="80" t="str">
        <f aca="false">IF(OR(AK442="",BL442=""),"",IFERROR(ROUND(IF(J442="Short",AB442-AE442,AE442-AB442)/BL442,1),""))</f>
        <v/>
      </c>
      <c r="AQ442" s="66" t="str">
        <f aca="false">IF(OR(G442="",H442=""),"",ROUND(MOD(H442-G442,1)*1440,0))</f>
        <v/>
      </c>
      <c r="AR442" s="68" t="str">
        <f aca="false">IF(AQ442="","",IF(AQ442&lt;15,"Under 15m",IF(AQ442&lt;60,"15-60m",IF(AQ442&lt;240,"1-4 hours","4+ hours"))))</f>
        <v/>
      </c>
      <c r="AS442" s="66" t="str">
        <f aca="false">IF(G442="","",HOUR(G442))</f>
        <v/>
      </c>
      <c r="AT442" s="80" t="str">
        <f aca="false">IF(OR(Z442="",AB442="",BL442=""),"",IFERROR(ROUND(IF(J442="Short",Z442-AB442,AB442-Z442)/BL442,1),""))</f>
        <v/>
      </c>
      <c r="AU442" s="68" t="str">
        <f aca="false">IF(OR(AA442="",AC442=""),"",IF(AA442=AC442,"No","Yes"))</f>
        <v/>
      </c>
      <c r="AV442" s="81" t="str">
        <f aca="false">IF(OR(B442="",BL442="",BM442="",AB442="",AC442=""),"",IFERROR(ROUND(AI442/(ABS(AB442-AC442)/BL442*BM442),2),""))</f>
        <v/>
      </c>
      <c r="AW442" s="76" t="str">
        <f aca="false">IF(B442="","",ROUND(BK442+SUMIFS(AM$5:AM441,BJ$5:BJ441,BJ442),2))</f>
        <v/>
      </c>
      <c r="AX442" s="66" t="str">
        <f aca="false">IF(B442="","",COUNTIFS(B$6:B442,B442,BJ$6:BJ442,BJ442))</f>
        <v/>
      </c>
      <c r="AY442" s="79" t="str">
        <f aca="false">IF(B442="","",ROUND(SUMIFS(AM$5:AM441,B$5:B441,B442,BJ$5:BJ441,BJ442),2))</f>
        <v/>
      </c>
      <c r="AZ442" s="79" t="str">
        <f aca="false">IF(AM442="","",ROUND(AY442+AM442,2))</f>
        <v/>
      </c>
      <c r="BA442" s="79" t="str">
        <f aca="false">IF(B442="","",ROUND(SUMIFS(AM$5:AM441,B$5:B441,"&gt;="&amp;(B442-WEEKDAY(B442,2)+1),B$5:B441,"&lt;="&amp;B442,BJ$5:BJ441,BJ442),2))</f>
        <v/>
      </c>
      <c r="BB442" s="68" t="str">
        <f aca="false">IF(B442="","",IF(AND(AF442&lt;&gt;"",AV442&lt;&gt;"",N(AF442)&gt;N(AV442)*(1+Settings!$C$13)),"Oversized",IF(AX442&gt;Settings!$C$10,"Overtraded",IF(AY442&lt;=-Settings!$C$11*(AW442-AY442),"Daily loss hit",IF(BA442&lt;=-Settings!$C$12*(AW442-BA442),"Weekly loss hit","OK")))))</f>
        <v/>
      </c>
      <c r="BC442" s="69"/>
      <c r="BD442" s="69"/>
      <c r="BE442" s="69"/>
      <c r="BF442" s="73"/>
      <c r="BG442" s="73"/>
      <c r="BH442" s="71"/>
      <c r="BI442" s="71"/>
      <c r="BJ442" s="68" t="str">
        <f aca="false">IF(B442="","",IF(E442="",Settings!$F$5,E442))</f>
        <v/>
      </c>
      <c r="BK442" s="76" t="str">
        <f aca="false">IF(B442="","",IFERROR(INDEX(Settings!$G$5:$G$10,MATCH(BJ442,Settings!$F$5:$F$10,0)),Settings!$G$5))</f>
        <v/>
      </c>
      <c r="BL442" s="82" t="str">
        <f aca="false">IF(I442="","",IFERROR(1/(1/INDEX(Lists!$C$6:$C$17,MATCH(I442,Lists!$B$6:$B$17,0))),""))</f>
        <v/>
      </c>
      <c r="BM442" s="81" t="str">
        <f aca="false">IF(I442="","",IFERROR(1/(1/INDEX(Lists!$D$6:$D$17,MATCH(I442,Lists!$B$6:$B$17,0))),""))</f>
        <v/>
      </c>
      <c r="BN442" s="76" t="str">
        <f aca="false">IF(AN442="","",MAX(BK442,_xlfn.MAXIFS(AN$6:AN442,BJ$6:BJ442,BJ442)))</f>
        <v/>
      </c>
      <c r="BO442" s="83" t="str">
        <f aca="false">IF(AN442="","",(AN442-BN442)/BN442)</f>
        <v/>
      </c>
      <c r="BP442" s="66" t="n">
        <f aca="false">IF(OR(B442="",AL442=""),0,IF(OR(Settings!$C$28="All Accounts",BJ442=Settings!$C$28),1,0))</f>
        <v>0</v>
      </c>
      <c r="BQ442" s="66" t="str">
        <f aca="false">IF(BP442=1,SUM(BP$6:BP442),"")</f>
        <v/>
      </c>
      <c r="BR442" s="76" t="str">
        <f aca="false">IF(BP442=1,ROUND(Settings!$C$29+SUMIFS(AM$6:AM442,BP$6:BP442,1),2),"")</f>
        <v/>
      </c>
      <c r="BS442" s="76" t="str">
        <f aca="false">IF(BP442=1,MAX(Settings!$C$29,MAX(BR$6:BR442)),"")</f>
        <v/>
      </c>
      <c r="BT442" s="83" t="str">
        <f aca="false">IF(BP442=1,(BR442-BS442)/BS442,"")</f>
        <v/>
      </c>
      <c r="BU442" s="66" t="str">
        <f aca="false">IF(BP442=1,IF(AL442="Win",1+IF(BQ442=1,0,INDEX(BU$5:BU441,MATCH(BQ442-1,BQ$5:BQ441,0))),0),"")</f>
        <v/>
      </c>
      <c r="BV442" s="66" t="str">
        <f aca="false">IF(BP442=1,IF(AL442="Loss",1+IF(BQ442=1,0,INDEX(BV$5:BV441,MATCH(BQ442-1,BQ$5:BQ441,0))),0),"")</f>
        <v/>
      </c>
    </row>
    <row r="443" customFormat="false" ht="15" hidden="false" customHeight="false" outlineLevel="0" collapsed="false">
      <c r="A443" s="66" t="str">
        <f aca="false">IF(B443="","",ROW()-5)</f>
        <v/>
      </c>
      <c r="B443" s="67"/>
      <c r="C443" s="68" t="str">
        <f aca="false">IF(B443="","",CHOOSE(WEEKDAY(B443,2),"Mon","Tue","Wed","Thu","Fri","Sat","Sun"))</f>
        <v/>
      </c>
      <c r="D443" s="66" t="str">
        <f aca="false">IF(B443="","",WEEKNUM(B443,2))</f>
        <v/>
      </c>
      <c r="E443" s="69"/>
      <c r="F443" s="69"/>
      <c r="G443" s="70"/>
      <c r="H443" s="70"/>
      <c r="I443" s="69"/>
      <c r="J443" s="69"/>
      <c r="K443" s="69"/>
      <c r="L443" s="71"/>
      <c r="M443" s="69"/>
      <c r="N443" s="69"/>
      <c r="O443" s="69"/>
      <c r="P443" s="71"/>
      <c r="Q443" s="69"/>
      <c r="R443" s="69"/>
      <c r="S443" s="69"/>
      <c r="T443" s="69"/>
      <c r="U443" s="69"/>
      <c r="V443" s="69"/>
      <c r="W443" s="69"/>
      <c r="X443" s="66" t="str">
        <f aca="false">IF(B443="","",COUNTIF(Q443:W443,"Yes"))</f>
        <v/>
      </c>
      <c r="Y443" s="68" t="str">
        <f aca="false">IF(B443="","",IF(X443&gt;=Settings!$C$16,"A+",IF(X443&gt;=Settings!$C$17,"A",IF(X443&gt;=Settings!$C$18,"B","C"))))</f>
        <v/>
      </c>
      <c r="Z443" s="72"/>
      <c r="AA443" s="72"/>
      <c r="AB443" s="72"/>
      <c r="AC443" s="72"/>
      <c r="AD443" s="72"/>
      <c r="AE443" s="72"/>
      <c r="AF443" s="73"/>
      <c r="AG443" s="74"/>
      <c r="AH443" s="75"/>
      <c r="AI443" s="76" t="str">
        <f aca="false">IF(B443="","",ROUND(IF(AG443="",Settings!$C$5,AG443)*AW443,2))</f>
        <v/>
      </c>
      <c r="AJ443" s="77" t="str">
        <f aca="false">IF(OR(B443="",AB443="",AC443="",AD443=""),"",IFERROR(ROUND(ABS(AD443-AB443)/ABS(AB443-AC443),2),""))</f>
        <v/>
      </c>
      <c r="AK443" s="78" t="str">
        <f aca="false">IF(OR(B443="",AB443="",AC443="",AE443=""),"",IFERROR(ROUND(IF(J443="Short",AB443-AE443,AE443-AB443)/ABS(AB443-AC443),2),""))</f>
        <v/>
      </c>
      <c r="AL443" s="68" t="str">
        <f aca="false">IF(AK443="","",IF(ABS(AK443)&lt;=Settings!$C$6,"BE",IF(AK443&gt;0,"Win","Loss")))</f>
        <v/>
      </c>
      <c r="AM443" s="79" t="str">
        <f aca="false">IF(OR(AK443="",AI443=""),"",ROUND(AK443*AI443-N(AH443),2))</f>
        <v/>
      </c>
      <c r="AN443" s="76" t="str">
        <f aca="false">IF(AM443="","",ROUND(BK443+SUMIFS(AM$6:AM443,BJ$6:BJ443,BJ443),2))</f>
        <v/>
      </c>
      <c r="AO443" s="78" t="str">
        <f aca="false">IF(AK443="","",ROUND(SUMIFS(AK$6:AK443,BJ$6:BJ443,BJ443),2))</f>
        <v/>
      </c>
      <c r="AP443" s="80" t="str">
        <f aca="false">IF(OR(AK443="",BL443=""),"",IFERROR(ROUND(IF(J443="Short",AB443-AE443,AE443-AB443)/BL443,1),""))</f>
        <v/>
      </c>
      <c r="AQ443" s="66" t="str">
        <f aca="false">IF(OR(G443="",H443=""),"",ROUND(MOD(H443-G443,1)*1440,0))</f>
        <v/>
      </c>
      <c r="AR443" s="68" t="str">
        <f aca="false">IF(AQ443="","",IF(AQ443&lt;15,"Under 15m",IF(AQ443&lt;60,"15-60m",IF(AQ443&lt;240,"1-4 hours","4+ hours"))))</f>
        <v/>
      </c>
      <c r="AS443" s="66" t="str">
        <f aca="false">IF(G443="","",HOUR(G443))</f>
        <v/>
      </c>
      <c r="AT443" s="80" t="str">
        <f aca="false">IF(OR(Z443="",AB443="",BL443=""),"",IFERROR(ROUND(IF(J443="Short",Z443-AB443,AB443-Z443)/BL443,1),""))</f>
        <v/>
      </c>
      <c r="AU443" s="68" t="str">
        <f aca="false">IF(OR(AA443="",AC443=""),"",IF(AA443=AC443,"No","Yes"))</f>
        <v/>
      </c>
      <c r="AV443" s="81" t="str">
        <f aca="false">IF(OR(B443="",BL443="",BM443="",AB443="",AC443=""),"",IFERROR(ROUND(AI443/(ABS(AB443-AC443)/BL443*BM443),2),""))</f>
        <v/>
      </c>
      <c r="AW443" s="76" t="str">
        <f aca="false">IF(B443="","",ROUND(BK443+SUMIFS(AM$5:AM442,BJ$5:BJ442,BJ443),2))</f>
        <v/>
      </c>
      <c r="AX443" s="66" t="str">
        <f aca="false">IF(B443="","",COUNTIFS(B$6:B443,B443,BJ$6:BJ443,BJ443))</f>
        <v/>
      </c>
      <c r="AY443" s="79" t="str">
        <f aca="false">IF(B443="","",ROUND(SUMIFS(AM$5:AM442,B$5:B442,B443,BJ$5:BJ442,BJ443),2))</f>
        <v/>
      </c>
      <c r="AZ443" s="79" t="str">
        <f aca="false">IF(AM443="","",ROUND(AY443+AM443,2))</f>
        <v/>
      </c>
      <c r="BA443" s="79" t="str">
        <f aca="false">IF(B443="","",ROUND(SUMIFS(AM$5:AM442,B$5:B442,"&gt;="&amp;(B443-WEEKDAY(B443,2)+1),B$5:B442,"&lt;="&amp;B443,BJ$5:BJ442,BJ443),2))</f>
        <v/>
      </c>
      <c r="BB443" s="68" t="str">
        <f aca="false">IF(B443="","",IF(AND(AF443&lt;&gt;"",AV443&lt;&gt;"",N(AF443)&gt;N(AV443)*(1+Settings!$C$13)),"Oversized",IF(AX443&gt;Settings!$C$10,"Overtraded",IF(AY443&lt;=-Settings!$C$11*(AW443-AY443),"Daily loss hit",IF(BA443&lt;=-Settings!$C$12*(AW443-BA443),"Weekly loss hit","OK")))))</f>
        <v/>
      </c>
      <c r="BC443" s="69"/>
      <c r="BD443" s="69"/>
      <c r="BE443" s="69"/>
      <c r="BF443" s="73"/>
      <c r="BG443" s="73"/>
      <c r="BH443" s="71"/>
      <c r="BI443" s="71"/>
      <c r="BJ443" s="68" t="str">
        <f aca="false">IF(B443="","",IF(E443="",Settings!$F$5,E443))</f>
        <v/>
      </c>
      <c r="BK443" s="76" t="str">
        <f aca="false">IF(B443="","",IFERROR(INDEX(Settings!$G$5:$G$10,MATCH(BJ443,Settings!$F$5:$F$10,0)),Settings!$G$5))</f>
        <v/>
      </c>
      <c r="BL443" s="82" t="str">
        <f aca="false">IF(I443="","",IFERROR(1/(1/INDEX(Lists!$C$6:$C$17,MATCH(I443,Lists!$B$6:$B$17,0))),""))</f>
        <v/>
      </c>
      <c r="BM443" s="81" t="str">
        <f aca="false">IF(I443="","",IFERROR(1/(1/INDEX(Lists!$D$6:$D$17,MATCH(I443,Lists!$B$6:$B$17,0))),""))</f>
        <v/>
      </c>
      <c r="BN443" s="76" t="str">
        <f aca="false">IF(AN443="","",MAX(BK443,_xlfn.MAXIFS(AN$6:AN443,BJ$6:BJ443,BJ443)))</f>
        <v/>
      </c>
      <c r="BO443" s="83" t="str">
        <f aca="false">IF(AN443="","",(AN443-BN443)/BN443)</f>
        <v/>
      </c>
      <c r="BP443" s="66" t="n">
        <f aca="false">IF(OR(B443="",AL443=""),0,IF(OR(Settings!$C$28="All Accounts",BJ443=Settings!$C$28),1,0))</f>
        <v>0</v>
      </c>
      <c r="BQ443" s="66" t="str">
        <f aca="false">IF(BP443=1,SUM(BP$6:BP443),"")</f>
        <v/>
      </c>
      <c r="BR443" s="76" t="str">
        <f aca="false">IF(BP443=1,ROUND(Settings!$C$29+SUMIFS(AM$6:AM443,BP$6:BP443,1),2),"")</f>
        <v/>
      </c>
      <c r="BS443" s="76" t="str">
        <f aca="false">IF(BP443=1,MAX(Settings!$C$29,MAX(BR$6:BR443)),"")</f>
        <v/>
      </c>
      <c r="BT443" s="83" t="str">
        <f aca="false">IF(BP443=1,(BR443-BS443)/BS443,"")</f>
        <v/>
      </c>
      <c r="BU443" s="66" t="str">
        <f aca="false">IF(BP443=1,IF(AL443="Win",1+IF(BQ443=1,0,INDEX(BU$5:BU442,MATCH(BQ443-1,BQ$5:BQ442,0))),0),"")</f>
        <v/>
      </c>
      <c r="BV443" s="66" t="str">
        <f aca="false">IF(BP443=1,IF(AL443="Loss",1+IF(BQ443=1,0,INDEX(BV$5:BV442,MATCH(BQ443-1,BQ$5:BQ442,0))),0),"")</f>
        <v/>
      </c>
    </row>
    <row r="444" customFormat="false" ht="15" hidden="false" customHeight="false" outlineLevel="0" collapsed="false">
      <c r="A444" s="66" t="str">
        <f aca="false">IF(B444="","",ROW()-5)</f>
        <v/>
      </c>
      <c r="B444" s="67"/>
      <c r="C444" s="68" t="str">
        <f aca="false">IF(B444="","",CHOOSE(WEEKDAY(B444,2),"Mon","Tue","Wed","Thu","Fri","Sat","Sun"))</f>
        <v/>
      </c>
      <c r="D444" s="66" t="str">
        <f aca="false">IF(B444="","",WEEKNUM(B444,2))</f>
        <v/>
      </c>
      <c r="E444" s="69"/>
      <c r="F444" s="69"/>
      <c r="G444" s="70"/>
      <c r="H444" s="70"/>
      <c r="I444" s="69"/>
      <c r="J444" s="69"/>
      <c r="K444" s="69"/>
      <c r="L444" s="71"/>
      <c r="M444" s="69"/>
      <c r="N444" s="69"/>
      <c r="O444" s="69"/>
      <c r="P444" s="71"/>
      <c r="Q444" s="69"/>
      <c r="R444" s="69"/>
      <c r="S444" s="69"/>
      <c r="T444" s="69"/>
      <c r="U444" s="69"/>
      <c r="V444" s="69"/>
      <c r="W444" s="69"/>
      <c r="X444" s="66" t="str">
        <f aca="false">IF(B444="","",COUNTIF(Q444:W444,"Yes"))</f>
        <v/>
      </c>
      <c r="Y444" s="68" t="str">
        <f aca="false">IF(B444="","",IF(X444&gt;=Settings!$C$16,"A+",IF(X444&gt;=Settings!$C$17,"A",IF(X444&gt;=Settings!$C$18,"B","C"))))</f>
        <v/>
      </c>
      <c r="Z444" s="72"/>
      <c r="AA444" s="72"/>
      <c r="AB444" s="72"/>
      <c r="AC444" s="72"/>
      <c r="AD444" s="72"/>
      <c r="AE444" s="72"/>
      <c r="AF444" s="73"/>
      <c r="AG444" s="74"/>
      <c r="AH444" s="75"/>
      <c r="AI444" s="76" t="str">
        <f aca="false">IF(B444="","",ROUND(IF(AG444="",Settings!$C$5,AG444)*AW444,2))</f>
        <v/>
      </c>
      <c r="AJ444" s="77" t="str">
        <f aca="false">IF(OR(B444="",AB444="",AC444="",AD444=""),"",IFERROR(ROUND(ABS(AD444-AB444)/ABS(AB444-AC444),2),""))</f>
        <v/>
      </c>
      <c r="AK444" s="78" t="str">
        <f aca="false">IF(OR(B444="",AB444="",AC444="",AE444=""),"",IFERROR(ROUND(IF(J444="Short",AB444-AE444,AE444-AB444)/ABS(AB444-AC444),2),""))</f>
        <v/>
      </c>
      <c r="AL444" s="68" t="str">
        <f aca="false">IF(AK444="","",IF(ABS(AK444)&lt;=Settings!$C$6,"BE",IF(AK444&gt;0,"Win","Loss")))</f>
        <v/>
      </c>
      <c r="AM444" s="79" t="str">
        <f aca="false">IF(OR(AK444="",AI444=""),"",ROUND(AK444*AI444-N(AH444),2))</f>
        <v/>
      </c>
      <c r="AN444" s="76" t="str">
        <f aca="false">IF(AM444="","",ROUND(BK444+SUMIFS(AM$6:AM444,BJ$6:BJ444,BJ444),2))</f>
        <v/>
      </c>
      <c r="AO444" s="78" t="str">
        <f aca="false">IF(AK444="","",ROUND(SUMIFS(AK$6:AK444,BJ$6:BJ444,BJ444),2))</f>
        <v/>
      </c>
      <c r="AP444" s="80" t="str">
        <f aca="false">IF(OR(AK444="",BL444=""),"",IFERROR(ROUND(IF(J444="Short",AB444-AE444,AE444-AB444)/BL444,1),""))</f>
        <v/>
      </c>
      <c r="AQ444" s="66" t="str">
        <f aca="false">IF(OR(G444="",H444=""),"",ROUND(MOD(H444-G444,1)*1440,0))</f>
        <v/>
      </c>
      <c r="AR444" s="68" t="str">
        <f aca="false">IF(AQ444="","",IF(AQ444&lt;15,"Under 15m",IF(AQ444&lt;60,"15-60m",IF(AQ444&lt;240,"1-4 hours","4+ hours"))))</f>
        <v/>
      </c>
      <c r="AS444" s="66" t="str">
        <f aca="false">IF(G444="","",HOUR(G444))</f>
        <v/>
      </c>
      <c r="AT444" s="80" t="str">
        <f aca="false">IF(OR(Z444="",AB444="",BL444=""),"",IFERROR(ROUND(IF(J444="Short",Z444-AB444,AB444-Z444)/BL444,1),""))</f>
        <v/>
      </c>
      <c r="AU444" s="68" t="str">
        <f aca="false">IF(OR(AA444="",AC444=""),"",IF(AA444=AC444,"No","Yes"))</f>
        <v/>
      </c>
      <c r="AV444" s="81" t="str">
        <f aca="false">IF(OR(B444="",BL444="",BM444="",AB444="",AC444=""),"",IFERROR(ROUND(AI444/(ABS(AB444-AC444)/BL444*BM444),2),""))</f>
        <v/>
      </c>
      <c r="AW444" s="76" t="str">
        <f aca="false">IF(B444="","",ROUND(BK444+SUMIFS(AM$5:AM443,BJ$5:BJ443,BJ444),2))</f>
        <v/>
      </c>
      <c r="AX444" s="66" t="str">
        <f aca="false">IF(B444="","",COUNTIFS(B$6:B444,B444,BJ$6:BJ444,BJ444))</f>
        <v/>
      </c>
      <c r="AY444" s="79" t="str">
        <f aca="false">IF(B444="","",ROUND(SUMIFS(AM$5:AM443,B$5:B443,B444,BJ$5:BJ443,BJ444),2))</f>
        <v/>
      </c>
      <c r="AZ444" s="79" t="str">
        <f aca="false">IF(AM444="","",ROUND(AY444+AM444,2))</f>
        <v/>
      </c>
      <c r="BA444" s="79" t="str">
        <f aca="false">IF(B444="","",ROUND(SUMIFS(AM$5:AM443,B$5:B443,"&gt;="&amp;(B444-WEEKDAY(B444,2)+1),B$5:B443,"&lt;="&amp;B444,BJ$5:BJ443,BJ444),2))</f>
        <v/>
      </c>
      <c r="BB444" s="68" t="str">
        <f aca="false">IF(B444="","",IF(AND(AF444&lt;&gt;"",AV444&lt;&gt;"",N(AF444)&gt;N(AV444)*(1+Settings!$C$13)),"Oversized",IF(AX444&gt;Settings!$C$10,"Overtraded",IF(AY444&lt;=-Settings!$C$11*(AW444-AY444),"Daily loss hit",IF(BA444&lt;=-Settings!$C$12*(AW444-BA444),"Weekly loss hit","OK")))))</f>
        <v/>
      </c>
      <c r="BC444" s="69"/>
      <c r="BD444" s="69"/>
      <c r="BE444" s="69"/>
      <c r="BF444" s="73"/>
      <c r="BG444" s="73"/>
      <c r="BH444" s="71"/>
      <c r="BI444" s="71"/>
      <c r="BJ444" s="68" t="str">
        <f aca="false">IF(B444="","",IF(E444="",Settings!$F$5,E444))</f>
        <v/>
      </c>
      <c r="BK444" s="76" t="str">
        <f aca="false">IF(B444="","",IFERROR(INDEX(Settings!$G$5:$G$10,MATCH(BJ444,Settings!$F$5:$F$10,0)),Settings!$G$5))</f>
        <v/>
      </c>
      <c r="BL444" s="82" t="str">
        <f aca="false">IF(I444="","",IFERROR(1/(1/INDEX(Lists!$C$6:$C$17,MATCH(I444,Lists!$B$6:$B$17,0))),""))</f>
        <v/>
      </c>
      <c r="BM444" s="81" t="str">
        <f aca="false">IF(I444="","",IFERROR(1/(1/INDEX(Lists!$D$6:$D$17,MATCH(I444,Lists!$B$6:$B$17,0))),""))</f>
        <v/>
      </c>
      <c r="BN444" s="76" t="str">
        <f aca="false">IF(AN444="","",MAX(BK444,_xlfn.MAXIFS(AN$6:AN444,BJ$6:BJ444,BJ444)))</f>
        <v/>
      </c>
      <c r="BO444" s="83" t="str">
        <f aca="false">IF(AN444="","",(AN444-BN444)/BN444)</f>
        <v/>
      </c>
      <c r="BP444" s="66" t="n">
        <f aca="false">IF(OR(B444="",AL444=""),0,IF(OR(Settings!$C$28="All Accounts",BJ444=Settings!$C$28),1,0))</f>
        <v>0</v>
      </c>
      <c r="BQ444" s="66" t="str">
        <f aca="false">IF(BP444=1,SUM(BP$6:BP444),"")</f>
        <v/>
      </c>
      <c r="BR444" s="76" t="str">
        <f aca="false">IF(BP444=1,ROUND(Settings!$C$29+SUMIFS(AM$6:AM444,BP$6:BP444,1),2),"")</f>
        <v/>
      </c>
      <c r="BS444" s="76" t="str">
        <f aca="false">IF(BP444=1,MAX(Settings!$C$29,MAX(BR$6:BR444)),"")</f>
        <v/>
      </c>
      <c r="BT444" s="83" t="str">
        <f aca="false">IF(BP444=1,(BR444-BS444)/BS444,"")</f>
        <v/>
      </c>
      <c r="BU444" s="66" t="str">
        <f aca="false">IF(BP444=1,IF(AL444="Win",1+IF(BQ444=1,0,INDEX(BU$5:BU443,MATCH(BQ444-1,BQ$5:BQ443,0))),0),"")</f>
        <v/>
      </c>
      <c r="BV444" s="66" t="str">
        <f aca="false">IF(BP444=1,IF(AL444="Loss",1+IF(BQ444=1,0,INDEX(BV$5:BV443,MATCH(BQ444-1,BQ$5:BQ443,0))),0),"")</f>
        <v/>
      </c>
    </row>
    <row r="445" customFormat="false" ht="15" hidden="false" customHeight="false" outlineLevel="0" collapsed="false">
      <c r="A445" s="66" t="str">
        <f aca="false">IF(B445="","",ROW()-5)</f>
        <v/>
      </c>
      <c r="B445" s="67"/>
      <c r="C445" s="68" t="str">
        <f aca="false">IF(B445="","",CHOOSE(WEEKDAY(B445,2),"Mon","Tue","Wed","Thu","Fri","Sat","Sun"))</f>
        <v/>
      </c>
      <c r="D445" s="66" t="str">
        <f aca="false">IF(B445="","",WEEKNUM(B445,2))</f>
        <v/>
      </c>
      <c r="E445" s="69"/>
      <c r="F445" s="69"/>
      <c r="G445" s="70"/>
      <c r="H445" s="70"/>
      <c r="I445" s="69"/>
      <c r="J445" s="69"/>
      <c r="K445" s="69"/>
      <c r="L445" s="71"/>
      <c r="M445" s="69"/>
      <c r="N445" s="69"/>
      <c r="O445" s="69"/>
      <c r="P445" s="71"/>
      <c r="Q445" s="69"/>
      <c r="R445" s="69"/>
      <c r="S445" s="69"/>
      <c r="T445" s="69"/>
      <c r="U445" s="69"/>
      <c r="V445" s="69"/>
      <c r="W445" s="69"/>
      <c r="X445" s="66" t="str">
        <f aca="false">IF(B445="","",COUNTIF(Q445:W445,"Yes"))</f>
        <v/>
      </c>
      <c r="Y445" s="68" t="str">
        <f aca="false">IF(B445="","",IF(X445&gt;=Settings!$C$16,"A+",IF(X445&gt;=Settings!$C$17,"A",IF(X445&gt;=Settings!$C$18,"B","C"))))</f>
        <v/>
      </c>
      <c r="Z445" s="72"/>
      <c r="AA445" s="72"/>
      <c r="AB445" s="72"/>
      <c r="AC445" s="72"/>
      <c r="AD445" s="72"/>
      <c r="AE445" s="72"/>
      <c r="AF445" s="73"/>
      <c r="AG445" s="74"/>
      <c r="AH445" s="75"/>
      <c r="AI445" s="76" t="str">
        <f aca="false">IF(B445="","",ROUND(IF(AG445="",Settings!$C$5,AG445)*AW445,2))</f>
        <v/>
      </c>
      <c r="AJ445" s="77" t="str">
        <f aca="false">IF(OR(B445="",AB445="",AC445="",AD445=""),"",IFERROR(ROUND(ABS(AD445-AB445)/ABS(AB445-AC445),2),""))</f>
        <v/>
      </c>
      <c r="AK445" s="78" t="str">
        <f aca="false">IF(OR(B445="",AB445="",AC445="",AE445=""),"",IFERROR(ROUND(IF(J445="Short",AB445-AE445,AE445-AB445)/ABS(AB445-AC445),2),""))</f>
        <v/>
      </c>
      <c r="AL445" s="68" t="str">
        <f aca="false">IF(AK445="","",IF(ABS(AK445)&lt;=Settings!$C$6,"BE",IF(AK445&gt;0,"Win","Loss")))</f>
        <v/>
      </c>
      <c r="AM445" s="79" t="str">
        <f aca="false">IF(OR(AK445="",AI445=""),"",ROUND(AK445*AI445-N(AH445),2))</f>
        <v/>
      </c>
      <c r="AN445" s="76" t="str">
        <f aca="false">IF(AM445="","",ROUND(BK445+SUMIFS(AM$6:AM445,BJ$6:BJ445,BJ445),2))</f>
        <v/>
      </c>
      <c r="AO445" s="78" t="str">
        <f aca="false">IF(AK445="","",ROUND(SUMIFS(AK$6:AK445,BJ$6:BJ445,BJ445),2))</f>
        <v/>
      </c>
      <c r="AP445" s="80" t="str">
        <f aca="false">IF(OR(AK445="",BL445=""),"",IFERROR(ROUND(IF(J445="Short",AB445-AE445,AE445-AB445)/BL445,1),""))</f>
        <v/>
      </c>
      <c r="AQ445" s="66" t="str">
        <f aca="false">IF(OR(G445="",H445=""),"",ROUND(MOD(H445-G445,1)*1440,0))</f>
        <v/>
      </c>
      <c r="AR445" s="68" t="str">
        <f aca="false">IF(AQ445="","",IF(AQ445&lt;15,"Under 15m",IF(AQ445&lt;60,"15-60m",IF(AQ445&lt;240,"1-4 hours","4+ hours"))))</f>
        <v/>
      </c>
      <c r="AS445" s="66" t="str">
        <f aca="false">IF(G445="","",HOUR(G445))</f>
        <v/>
      </c>
      <c r="AT445" s="80" t="str">
        <f aca="false">IF(OR(Z445="",AB445="",BL445=""),"",IFERROR(ROUND(IF(J445="Short",Z445-AB445,AB445-Z445)/BL445,1),""))</f>
        <v/>
      </c>
      <c r="AU445" s="68" t="str">
        <f aca="false">IF(OR(AA445="",AC445=""),"",IF(AA445=AC445,"No","Yes"))</f>
        <v/>
      </c>
      <c r="AV445" s="81" t="str">
        <f aca="false">IF(OR(B445="",BL445="",BM445="",AB445="",AC445=""),"",IFERROR(ROUND(AI445/(ABS(AB445-AC445)/BL445*BM445),2),""))</f>
        <v/>
      </c>
      <c r="AW445" s="76" t="str">
        <f aca="false">IF(B445="","",ROUND(BK445+SUMIFS(AM$5:AM444,BJ$5:BJ444,BJ445),2))</f>
        <v/>
      </c>
      <c r="AX445" s="66" t="str">
        <f aca="false">IF(B445="","",COUNTIFS(B$6:B445,B445,BJ$6:BJ445,BJ445))</f>
        <v/>
      </c>
      <c r="AY445" s="79" t="str">
        <f aca="false">IF(B445="","",ROUND(SUMIFS(AM$5:AM444,B$5:B444,B445,BJ$5:BJ444,BJ445),2))</f>
        <v/>
      </c>
      <c r="AZ445" s="79" t="str">
        <f aca="false">IF(AM445="","",ROUND(AY445+AM445,2))</f>
        <v/>
      </c>
      <c r="BA445" s="79" t="str">
        <f aca="false">IF(B445="","",ROUND(SUMIFS(AM$5:AM444,B$5:B444,"&gt;="&amp;(B445-WEEKDAY(B445,2)+1),B$5:B444,"&lt;="&amp;B445,BJ$5:BJ444,BJ445),2))</f>
        <v/>
      </c>
      <c r="BB445" s="68" t="str">
        <f aca="false">IF(B445="","",IF(AND(AF445&lt;&gt;"",AV445&lt;&gt;"",N(AF445)&gt;N(AV445)*(1+Settings!$C$13)),"Oversized",IF(AX445&gt;Settings!$C$10,"Overtraded",IF(AY445&lt;=-Settings!$C$11*(AW445-AY445),"Daily loss hit",IF(BA445&lt;=-Settings!$C$12*(AW445-BA445),"Weekly loss hit","OK")))))</f>
        <v/>
      </c>
      <c r="BC445" s="69"/>
      <c r="BD445" s="69"/>
      <c r="BE445" s="69"/>
      <c r="BF445" s="73"/>
      <c r="BG445" s="73"/>
      <c r="BH445" s="71"/>
      <c r="BI445" s="71"/>
      <c r="BJ445" s="68" t="str">
        <f aca="false">IF(B445="","",IF(E445="",Settings!$F$5,E445))</f>
        <v/>
      </c>
      <c r="BK445" s="76" t="str">
        <f aca="false">IF(B445="","",IFERROR(INDEX(Settings!$G$5:$G$10,MATCH(BJ445,Settings!$F$5:$F$10,0)),Settings!$G$5))</f>
        <v/>
      </c>
      <c r="BL445" s="82" t="str">
        <f aca="false">IF(I445="","",IFERROR(1/(1/INDEX(Lists!$C$6:$C$17,MATCH(I445,Lists!$B$6:$B$17,0))),""))</f>
        <v/>
      </c>
      <c r="BM445" s="81" t="str">
        <f aca="false">IF(I445="","",IFERROR(1/(1/INDEX(Lists!$D$6:$D$17,MATCH(I445,Lists!$B$6:$B$17,0))),""))</f>
        <v/>
      </c>
      <c r="BN445" s="76" t="str">
        <f aca="false">IF(AN445="","",MAX(BK445,_xlfn.MAXIFS(AN$6:AN445,BJ$6:BJ445,BJ445)))</f>
        <v/>
      </c>
      <c r="BO445" s="83" t="str">
        <f aca="false">IF(AN445="","",(AN445-BN445)/BN445)</f>
        <v/>
      </c>
      <c r="BP445" s="66" t="n">
        <f aca="false">IF(OR(B445="",AL445=""),0,IF(OR(Settings!$C$28="All Accounts",BJ445=Settings!$C$28),1,0))</f>
        <v>0</v>
      </c>
      <c r="BQ445" s="66" t="str">
        <f aca="false">IF(BP445=1,SUM(BP$6:BP445),"")</f>
        <v/>
      </c>
      <c r="BR445" s="76" t="str">
        <f aca="false">IF(BP445=1,ROUND(Settings!$C$29+SUMIFS(AM$6:AM445,BP$6:BP445,1),2),"")</f>
        <v/>
      </c>
      <c r="BS445" s="76" t="str">
        <f aca="false">IF(BP445=1,MAX(Settings!$C$29,MAX(BR$6:BR445)),"")</f>
        <v/>
      </c>
      <c r="BT445" s="83" t="str">
        <f aca="false">IF(BP445=1,(BR445-BS445)/BS445,"")</f>
        <v/>
      </c>
      <c r="BU445" s="66" t="str">
        <f aca="false">IF(BP445=1,IF(AL445="Win",1+IF(BQ445=1,0,INDEX(BU$5:BU444,MATCH(BQ445-1,BQ$5:BQ444,0))),0),"")</f>
        <v/>
      </c>
      <c r="BV445" s="66" t="str">
        <f aca="false">IF(BP445=1,IF(AL445="Loss",1+IF(BQ445=1,0,INDEX(BV$5:BV444,MATCH(BQ445-1,BQ$5:BQ444,0))),0),"")</f>
        <v/>
      </c>
    </row>
    <row r="446" customFormat="false" ht="15" hidden="false" customHeight="false" outlineLevel="0" collapsed="false">
      <c r="A446" s="66" t="str">
        <f aca="false">IF(B446="","",ROW()-5)</f>
        <v/>
      </c>
      <c r="B446" s="67"/>
      <c r="C446" s="68" t="str">
        <f aca="false">IF(B446="","",CHOOSE(WEEKDAY(B446,2),"Mon","Tue","Wed","Thu","Fri","Sat","Sun"))</f>
        <v/>
      </c>
      <c r="D446" s="66" t="str">
        <f aca="false">IF(B446="","",WEEKNUM(B446,2))</f>
        <v/>
      </c>
      <c r="E446" s="69"/>
      <c r="F446" s="69"/>
      <c r="G446" s="70"/>
      <c r="H446" s="70"/>
      <c r="I446" s="69"/>
      <c r="J446" s="69"/>
      <c r="K446" s="69"/>
      <c r="L446" s="71"/>
      <c r="M446" s="69"/>
      <c r="N446" s="69"/>
      <c r="O446" s="69"/>
      <c r="P446" s="71"/>
      <c r="Q446" s="69"/>
      <c r="R446" s="69"/>
      <c r="S446" s="69"/>
      <c r="T446" s="69"/>
      <c r="U446" s="69"/>
      <c r="V446" s="69"/>
      <c r="W446" s="69"/>
      <c r="X446" s="66" t="str">
        <f aca="false">IF(B446="","",COUNTIF(Q446:W446,"Yes"))</f>
        <v/>
      </c>
      <c r="Y446" s="68" t="str">
        <f aca="false">IF(B446="","",IF(X446&gt;=Settings!$C$16,"A+",IF(X446&gt;=Settings!$C$17,"A",IF(X446&gt;=Settings!$C$18,"B","C"))))</f>
        <v/>
      </c>
      <c r="Z446" s="72"/>
      <c r="AA446" s="72"/>
      <c r="AB446" s="72"/>
      <c r="AC446" s="72"/>
      <c r="AD446" s="72"/>
      <c r="AE446" s="72"/>
      <c r="AF446" s="73"/>
      <c r="AG446" s="74"/>
      <c r="AH446" s="75"/>
      <c r="AI446" s="76" t="str">
        <f aca="false">IF(B446="","",ROUND(IF(AG446="",Settings!$C$5,AG446)*AW446,2))</f>
        <v/>
      </c>
      <c r="AJ446" s="77" t="str">
        <f aca="false">IF(OR(B446="",AB446="",AC446="",AD446=""),"",IFERROR(ROUND(ABS(AD446-AB446)/ABS(AB446-AC446),2),""))</f>
        <v/>
      </c>
      <c r="AK446" s="78" t="str">
        <f aca="false">IF(OR(B446="",AB446="",AC446="",AE446=""),"",IFERROR(ROUND(IF(J446="Short",AB446-AE446,AE446-AB446)/ABS(AB446-AC446),2),""))</f>
        <v/>
      </c>
      <c r="AL446" s="68" t="str">
        <f aca="false">IF(AK446="","",IF(ABS(AK446)&lt;=Settings!$C$6,"BE",IF(AK446&gt;0,"Win","Loss")))</f>
        <v/>
      </c>
      <c r="AM446" s="79" t="str">
        <f aca="false">IF(OR(AK446="",AI446=""),"",ROUND(AK446*AI446-N(AH446),2))</f>
        <v/>
      </c>
      <c r="AN446" s="76" t="str">
        <f aca="false">IF(AM446="","",ROUND(BK446+SUMIFS(AM$6:AM446,BJ$6:BJ446,BJ446),2))</f>
        <v/>
      </c>
      <c r="AO446" s="78" t="str">
        <f aca="false">IF(AK446="","",ROUND(SUMIFS(AK$6:AK446,BJ$6:BJ446,BJ446),2))</f>
        <v/>
      </c>
      <c r="AP446" s="80" t="str">
        <f aca="false">IF(OR(AK446="",BL446=""),"",IFERROR(ROUND(IF(J446="Short",AB446-AE446,AE446-AB446)/BL446,1),""))</f>
        <v/>
      </c>
      <c r="AQ446" s="66" t="str">
        <f aca="false">IF(OR(G446="",H446=""),"",ROUND(MOD(H446-G446,1)*1440,0))</f>
        <v/>
      </c>
      <c r="AR446" s="68" t="str">
        <f aca="false">IF(AQ446="","",IF(AQ446&lt;15,"Under 15m",IF(AQ446&lt;60,"15-60m",IF(AQ446&lt;240,"1-4 hours","4+ hours"))))</f>
        <v/>
      </c>
      <c r="AS446" s="66" t="str">
        <f aca="false">IF(G446="","",HOUR(G446))</f>
        <v/>
      </c>
      <c r="AT446" s="80" t="str">
        <f aca="false">IF(OR(Z446="",AB446="",BL446=""),"",IFERROR(ROUND(IF(J446="Short",Z446-AB446,AB446-Z446)/BL446,1),""))</f>
        <v/>
      </c>
      <c r="AU446" s="68" t="str">
        <f aca="false">IF(OR(AA446="",AC446=""),"",IF(AA446=AC446,"No","Yes"))</f>
        <v/>
      </c>
      <c r="AV446" s="81" t="str">
        <f aca="false">IF(OR(B446="",BL446="",BM446="",AB446="",AC446=""),"",IFERROR(ROUND(AI446/(ABS(AB446-AC446)/BL446*BM446),2),""))</f>
        <v/>
      </c>
      <c r="AW446" s="76" t="str">
        <f aca="false">IF(B446="","",ROUND(BK446+SUMIFS(AM$5:AM445,BJ$5:BJ445,BJ446),2))</f>
        <v/>
      </c>
      <c r="AX446" s="66" t="str">
        <f aca="false">IF(B446="","",COUNTIFS(B$6:B446,B446,BJ$6:BJ446,BJ446))</f>
        <v/>
      </c>
      <c r="AY446" s="79" t="str">
        <f aca="false">IF(B446="","",ROUND(SUMIFS(AM$5:AM445,B$5:B445,B446,BJ$5:BJ445,BJ446),2))</f>
        <v/>
      </c>
      <c r="AZ446" s="79" t="str">
        <f aca="false">IF(AM446="","",ROUND(AY446+AM446,2))</f>
        <v/>
      </c>
      <c r="BA446" s="79" t="str">
        <f aca="false">IF(B446="","",ROUND(SUMIFS(AM$5:AM445,B$5:B445,"&gt;="&amp;(B446-WEEKDAY(B446,2)+1),B$5:B445,"&lt;="&amp;B446,BJ$5:BJ445,BJ446),2))</f>
        <v/>
      </c>
      <c r="BB446" s="68" t="str">
        <f aca="false">IF(B446="","",IF(AND(AF446&lt;&gt;"",AV446&lt;&gt;"",N(AF446)&gt;N(AV446)*(1+Settings!$C$13)),"Oversized",IF(AX446&gt;Settings!$C$10,"Overtraded",IF(AY446&lt;=-Settings!$C$11*(AW446-AY446),"Daily loss hit",IF(BA446&lt;=-Settings!$C$12*(AW446-BA446),"Weekly loss hit","OK")))))</f>
        <v/>
      </c>
      <c r="BC446" s="69"/>
      <c r="BD446" s="69"/>
      <c r="BE446" s="69"/>
      <c r="BF446" s="73"/>
      <c r="BG446" s="73"/>
      <c r="BH446" s="71"/>
      <c r="BI446" s="71"/>
      <c r="BJ446" s="68" t="str">
        <f aca="false">IF(B446="","",IF(E446="",Settings!$F$5,E446))</f>
        <v/>
      </c>
      <c r="BK446" s="76" t="str">
        <f aca="false">IF(B446="","",IFERROR(INDEX(Settings!$G$5:$G$10,MATCH(BJ446,Settings!$F$5:$F$10,0)),Settings!$G$5))</f>
        <v/>
      </c>
      <c r="BL446" s="82" t="str">
        <f aca="false">IF(I446="","",IFERROR(1/(1/INDEX(Lists!$C$6:$C$17,MATCH(I446,Lists!$B$6:$B$17,0))),""))</f>
        <v/>
      </c>
      <c r="BM446" s="81" t="str">
        <f aca="false">IF(I446="","",IFERROR(1/(1/INDEX(Lists!$D$6:$D$17,MATCH(I446,Lists!$B$6:$B$17,0))),""))</f>
        <v/>
      </c>
      <c r="BN446" s="76" t="str">
        <f aca="false">IF(AN446="","",MAX(BK446,_xlfn.MAXIFS(AN$6:AN446,BJ$6:BJ446,BJ446)))</f>
        <v/>
      </c>
      <c r="BO446" s="83" t="str">
        <f aca="false">IF(AN446="","",(AN446-BN446)/BN446)</f>
        <v/>
      </c>
      <c r="BP446" s="66" t="n">
        <f aca="false">IF(OR(B446="",AL446=""),0,IF(OR(Settings!$C$28="All Accounts",BJ446=Settings!$C$28),1,0))</f>
        <v>0</v>
      </c>
      <c r="BQ446" s="66" t="str">
        <f aca="false">IF(BP446=1,SUM(BP$6:BP446),"")</f>
        <v/>
      </c>
      <c r="BR446" s="76" t="str">
        <f aca="false">IF(BP446=1,ROUND(Settings!$C$29+SUMIFS(AM$6:AM446,BP$6:BP446,1),2),"")</f>
        <v/>
      </c>
      <c r="BS446" s="76" t="str">
        <f aca="false">IF(BP446=1,MAX(Settings!$C$29,MAX(BR$6:BR446)),"")</f>
        <v/>
      </c>
      <c r="BT446" s="83" t="str">
        <f aca="false">IF(BP446=1,(BR446-BS446)/BS446,"")</f>
        <v/>
      </c>
      <c r="BU446" s="66" t="str">
        <f aca="false">IF(BP446=1,IF(AL446="Win",1+IF(BQ446=1,0,INDEX(BU$5:BU445,MATCH(BQ446-1,BQ$5:BQ445,0))),0),"")</f>
        <v/>
      </c>
      <c r="BV446" s="66" t="str">
        <f aca="false">IF(BP446=1,IF(AL446="Loss",1+IF(BQ446=1,0,INDEX(BV$5:BV445,MATCH(BQ446-1,BQ$5:BQ445,0))),0),"")</f>
        <v/>
      </c>
    </row>
    <row r="447" customFormat="false" ht="15" hidden="false" customHeight="false" outlineLevel="0" collapsed="false">
      <c r="A447" s="66" t="str">
        <f aca="false">IF(B447="","",ROW()-5)</f>
        <v/>
      </c>
      <c r="B447" s="67"/>
      <c r="C447" s="68" t="str">
        <f aca="false">IF(B447="","",CHOOSE(WEEKDAY(B447,2),"Mon","Tue","Wed","Thu","Fri","Sat","Sun"))</f>
        <v/>
      </c>
      <c r="D447" s="66" t="str">
        <f aca="false">IF(B447="","",WEEKNUM(B447,2))</f>
        <v/>
      </c>
      <c r="E447" s="69"/>
      <c r="F447" s="69"/>
      <c r="G447" s="70"/>
      <c r="H447" s="70"/>
      <c r="I447" s="69"/>
      <c r="J447" s="69"/>
      <c r="K447" s="69"/>
      <c r="L447" s="71"/>
      <c r="M447" s="69"/>
      <c r="N447" s="69"/>
      <c r="O447" s="69"/>
      <c r="P447" s="71"/>
      <c r="Q447" s="69"/>
      <c r="R447" s="69"/>
      <c r="S447" s="69"/>
      <c r="T447" s="69"/>
      <c r="U447" s="69"/>
      <c r="V447" s="69"/>
      <c r="W447" s="69"/>
      <c r="X447" s="66" t="str">
        <f aca="false">IF(B447="","",COUNTIF(Q447:W447,"Yes"))</f>
        <v/>
      </c>
      <c r="Y447" s="68" t="str">
        <f aca="false">IF(B447="","",IF(X447&gt;=Settings!$C$16,"A+",IF(X447&gt;=Settings!$C$17,"A",IF(X447&gt;=Settings!$C$18,"B","C"))))</f>
        <v/>
      </c>
      <c r="Z447" s="72"/>
      <c r="AA447" s="72"/>
      <c r="AB447" s="72"/>
      <c r="AC447" s="72"/>
      <c r="AD447" s="72"/>
      <c r="AE447" s="72"/>
      <c r="AF447" s="73"/>
      <c r="AG447" s="74"/>
      <c r="AH447" s="75"/>
      <c r="AI447" s="76" t="str">
        <f aca="false">IF(B447="","",ROUND(IF(AG447="",Settings!$C$5,AG447)*AW447,2))</f>
        <v/>
      </c>
      <c r="AJ447" s="77" t="str">
        <f aca="false">IF(OR(B447="",AB447="",AC447="",AD447=""),"",IFERROR(ROUND(ABS(AD447-AB447)/ABS(AB447-AC447),2),""))</f>
        <v/>
      </c>
      <c r="AK447" s="78" t="str">
        <f aca="false">IF(OR(B447="",AB447="",AC447="",AE447=""),"",IFERROR(ROUND(IF(J447="Short",AB447-AE447,AE447-AB447)/ABS(AB447-AC447),2),""))</f>
        <v/>
      </c>
      <c r="AL447" s="68" t="str">
        <f aca="false">IF(AK447="","",IF(ABS(AK447)&lt;=Settings!$C$6,"BE",IF(AK447&gt;0,"Win","Loss")))</f>
        <v/>
      </c>
      <c r="AM447" s="79" t="str">
        <f aca="false">IF(OR(AK447="",AI447=""),"",ROUND(AK447*AI447-N(AH447),2))</f>
        <v/>
      </c>
      <c r="AN447" s="76" t="str">
        <f aca="false">IF(AM447="","",ROUND(BK447+SUMIFS(AM$6:AM447,BJ$6:BJ447,BJ447),2))</f>
        <v/>
      </c>
      <c r="AO447" s="78" t="str">
        <f aca="false">IF(AK447="","",ROUND(SUMIFS(AK$6:AK447,BJ$6:BJ447,BJ447),2))</f>
        <v/>
      </c>
      <c r="AP447" s="80" t="str">
        <f aca="false">IF(OR(AK447="",BL447=""),"",IFERROR(ROUND(IF(J447="Short",AB447-AE447,AE447-AB447)/BL447,1),""))</f>
        <v/>
      </c>
      <c r="AQ447" s="66" t="str">
        <f aca="false">IF(OR(G447="",H447=""),"",ROUND(MOD(H447-G447,1)*1440,0))</f>
        <v/>
      </c>
      <c r="AR447" s="68" t="str">
        <f aca="false">IF(AQ447="","",IF(AQ447&lt;15,"Under 15m",IF(AQ447&lt;60,"15-60m",IF(AQ447&lt;240,"1-4 hours","4+ hours"))))</f>
        <v/>
      </c>
      <c r="AS447" s="66" t="str">
        <f aca="false">IF(G447="","",HOUR(G447))</f>
        <v/>
      </c>
      <c r="AT447" s="80" t="str">
        <f aca="false">IF(OR(Z447="",AB447="",BL447=""),"",IFERROR(ROUND(IF(J447="Short",Z447-AB447,AB447-Z447)/BL447,1),""))</f>
        <v/>
      </c>
      <c r="AU447" s="68" t="str">
        <f aca="false">IF(OR(AA447="",AC447=""),"",IF(AA447=AC447,"No","Yes"))</f>
        <v/>
      </c>
      <c r="AV447" s="81" t="str">
        <f aca="false">IF(OR(B447="",BL447="",BM447="",AB447="",AC447=""),"",IFERROR(ROUND(AI447/(ABS(AB447-AC447)/BL447*BM447),2),""))</f>
        <v/>
      </c>
      <c r="AW447" s="76" t="str">
        <f aca="false">IF(B447="","",ROUND(BK447+SUMIFS(AM$5:AM446,BJ$5:BJ446,BJ447),2))</f>
        <v/>
      </c>
      <c r="AX447" s="66" t="str">
        <f aca="false">IF(B447="","",COUNTIFS(B$6:B447,B447,BJ$6:BJ447,BJ447))</f>
        <v/>
      </c>
      <c r="AY447" s="79" t="str">
        <f aca="false">IF(B447="","",ROUND(SUMIFS(AM$5:AM446,B$5:B446,B447,BJ$5:BJ446,BJ447),2))</f>
        <v/>
      </c>
      <c r="AZ447" s="79" t="str">
        <f aca="false">IF(AM447="","",ROUND(AY447+AM447,2))</f>
        <v/>
      </c>
      <c r="BA447" s="79" t="str">
        <f aca="false">IF(B447="","",ROUND(SUMIFS(AM$5:AM446,B$5:B446,"&gt;="&amp;(B447-WEEKDAY(B447,2)+1),B$5:B446,"&lt;="&amp;B447,BJ$5:BJ446,BJ447),2))</f>
        <v/>
      </c>
      <c r="BB447" s="68" t="str">
        <f aca="false">IF(B447="","",IF(AND(AF447&lt;&gt;"",AV447&lt;&gt;"",N(AF447)&gt;N(AV447)*(1+Settings!$C$13)),"Oversized",IF(AX447&gt;Settings!$C$10,"Overtraded",IF(AY447&lt;=-Settings!$C$11*(AW447-AY447),"Daily loss hit",IF(BA447&lt;=-Settings!$C$12*(AW447-BA447),"Weekly loss hit","OK")))))</f>
        <v/>
      </c>
      <c r="BC447" s="69"/>
      <c r="BD447" s="69"/>
      <c r="BE447" s="69"/>
      <c r="BF447" s="73"/>
      <c r="BG447" s="73"/>
      <c r="BH447" s="71"/>
      <c r="BI447" s="71"/>
      <c r="BJ447" s="68" t="str">
        <f aca="false">IF(B447="","",IF(E447="",Settings!$F$5,E447))</f>
        <v/>
      </c>
      <c r="BK447" s="76" t="str">
        <f aca="false">IF(B447="","",IFERROR(INDEX(Settings!$G$5:$G$10,MATCH(BJ447,Settings!$F$5:$F$10,0)),Settings!$G$5))</f>
        <v/>
      </c>
      <c r="BL447" s="82" t="str">
        <f aca="false">IF(I447="","",IFERROR(1/(1/INDEX(Lists!$C$6:$C$17,MATCH(I447,Lists!$B$6:$B$17,0))),""))</f>
        <v/>
      </c>
      <c r="BM447" s="81" t="str">
        <f aca="false">IF(I447="","",IFERROR(1/(1/INDEX(Lists!$D$6:$D$17,MATCH(I447,Lists!$B$6:$B$17,0))),""))</f>
        <v/>
      </c>
      <c r="BN447" s="76" t="str">
        <f aca="false">IF(AN447="","",MAX(BK447,_xlfn.MAXIFS(AN$6:AN447,BJ$6:BJ447,BJ447)))</f>
        <v/>
      </c>
      <c r="BO447" s="83" t="str">
        <f aca="false">IF(AN447="","",(AN447-BN447)/BN447)</f>
        <v/>
      </c>
      <c r="BP447" s="66" t="n">
        <f aca="false">IF(OR(B447="",AL447=""),0,IF(OR(Settings!$C$28="All Accounts",BJ447=Settings!$C$28),1,0))</f>
        <v>0</v>
      </c>
      <c r="BQ447" s="66" t="str">
        <f aca="false">IF(BP447=1,SUM(BP$6:BP447),"")</f>
        <v/>
      </c>
      <c r="BR447" s="76" t="str">
        <f aca="false">IF(BP447=1,ROUND(Settings!$C$29+SUMIFS(AM$6:AM447,BP$6:BP447,1),2),"")</f>
        <v/>
      </c>
      <c r="BS447" s="76" t="str">
        <f aca="false">IF(BP447=1,MAX(Settings!$C$29,MAX(BR$6:BR447)),"")</f>
        <v/>
      </c>
      <c r="BT447" s="83" t="str">
        <f aca="false">IF(BP447=1,(BR447-BS447)/BS447,"")</f>
        <v/>
      </c>
      <c r="BU447" s="66" t="str">
        <f aca="false">IF(BP447=1,IF(AL447="Win",1+IF(BQ447=1,0,INDEX(BU$5:BU446,MATCH(BQ447-1,BQ$5:BQ446,0))),0),"")</f>
        <v/>
      </c>
      <c r="BV447" s="66" t="str">
        <f aca="false">IF(BP447=1,IF(AL447="Loss",1+IF(BQ447=1,0,INDEX(BV$5:BV446,MATCH(BQ447-1,BQ$5:BQ446,0))),0),"")</f>
        <v/>
      </c>
    </row>
    <row r="448" customFormat="false" ht="15" hidden="false" customHeight="false" outlineLevel="0" collapsed="false">
      <c r="A448" s="66" t="str">
        <f aca="false">IF(B448="","",ROW()-5)</f>
        <v/>
      </c>
      <c r="B448" s="67"/>
      <c r="C448" s="68" t="str">
        <f aca="false">IF(B448="","",CHOOSE(WEEKDAY(B448,2),"Mon","Tue","Wed","Thu","Fri","Sat","Sun"))</f>
        <v/>
      </c>
      <c r="D448" s="66" t="str">
        <f aca="false">IF(B448="","",WEEKNUM(B448,2))</f>
        <v/>
      </c>
      <c r="E448" s="69"/>
      <c r="F448" s="69"/>
      <c r="G448" s="70"/>
      <c r="H448" s="70"/>
      <c r="I448" s="69"/>
      <c r="J448" s="69"/>
      <c r="K448" s="69"/>
      <c r="L448" s="71"/>
      <c r="M448" s="69"/>
      <c r="N448" s="69"/>
      <c r="O448" s="69"/>
      <c r="P448" s="71"/>
      <c r="Q448" s="69"/>
      <c r="R448" s="69"/>
      <c r="S448" s="69"/>
      <c r="T448" s="69"/>
      <c r="U448" s="69"/>
      <c r="V448" s="69"/>
      <c r="W448" s="69"/>
      <c r="X448" s="66" t="str">
        <f aca="false">IF(B448="","",COUNTIF(Q448:W448,"Yes"))</f>
        <v/>
      </c>
      <c r="Y448" s="68" t="str">
        <f aca="false">IF(B448="","",IF(X448&gt;=Settings!$C$16,"A+",IF(X448&gt;=Settings!$C$17,"A",IF(X448&gt;=Settings!$C$18,"B","C"))))</f>
        <v/>
      </c>
      <c r="Z448" s="72"/>
      <c r="AA448" s="72"/>
      <c r="AB448" s="72"/>
      <c r="AC448" s="72"/>
      <c r="AD448" s="72"/>
      <c r="AE448" s="72"/>
      <c r="AF448" s="73"/>
      <c r="AG448" s="74"/>
      <c r="AH448" s="75"/>
      <c r="AI448" s="76" t="str">
        <f aca="false">IF(B448="","",ROUND(IF(AG448="",Settings!$C$5,AG448)*AW448,2))</f>
        <v/>
      </c>
      <c r="AJ448" s="77" t="str">
        <f aca="false">IF(OR(B448="",AB448="",AC448="",AD448=""),"",IFERROR(ROUND(ABS(AD448-AB448)/ABS(AB448-AC448),2),""))</f>
        <v/>
      </c>
      <c r="AK448" s="78" t="str">
        <f aca="false">IF(OR(B448="",AB448="",AC448="",AE448=""),"",IFERROR(ROUND(IF(J448="Short",AB448-AE448,AE448-AB448)/ABS(AB448-AC448),2),""))</f>
        <v/>
      </c>
      <c r="AL448" s="68" t="str">
        <f aca="false">IF(AK448="","",IF(ABS(AK448)&lt;=Settings!$C$6,"BE",IF(AK448&gt;0,"Win","Loss")))</f>
        <v/>
      </c>
      <c r="AM448" s="79" t="str">
        <f aca="false">IF(OR(AK448="",AI448=""),"",ROUND(AK448*AI448-N(AH448),2))</f>
        <v/>
      </c>
      <c r="AN448" s="76" t="str">
        <f aca="false">IF(AM448="","",ROUND(BK448+SUMIFS(AM$6:AM448,BJ$6:BJ448,BJ448),2))</f>
        <v/>
      </c>
      <c r="AO448" s="78" t="str">
        <f aca="false">IF(AK448="","",ROUND(SUMIFS(AK$6:AK448,BJ$6:BJ448,BJ448),2))</f>
        <v/>
      </c>
      <c r="AP448" s="80" t="str">
        <f aca="false">IF(OR(AK448="",BL448=""),"",IFERROR(ROUND(IF(J448="Short",AB448-AE448,AE448-AB448)/BL448,1),""))</f>
        <v/>
      </c>
      <c r="AQ448" s="66" t="str">
        <f aca="false">IF(OR(G448="",H448=""),"",ROUND(MOD(H448-G448,1)*1440,0))</f>
        <v/>
      </c>
      <c r="AR448" s="68" t="str">
        <f aca="false">IF(AQ448="","",IF(AQ448&lt;15,"Under 15m",IF(AQ448&lt;60,"15-60m",IF(AQ448&lt;240,"1-4 hours","4+ hours"))))</f>
        <v/>
      </c>
      <c r="AS448" s="66" t="str">
        <f aca="false">IF(G448="","",HOUR(G448))</f>
        <v/>
      </c>
      <c r="AT448" s="80" t="str">
        <f aca="false">IF(OR(Z448="",AB448="",BL448=""),"",IFERROR(ROUND(IF(J448="Short",Z448-AB448,AB448-Z448)/BL448,1),""))</f>
        <v/>
      </c>
      <c r="AU448" s="68" t="str">
        <f aca="false">IF(OR(AA448="",AC448=""),"",IF(AA448=AC448,"No","Yes"))</f>
        <v/>
      </c>
      <c r="AV448" s="81" t="str">
        <f aca="false">IF(OR(B448="",BL448="",BM448="",AB448="",AC448=""),"",IFERROR(ROUND(AI448/(ABS(AB448-AC448)/BL448*BM448),2),""))</f>
        <v/>
      </c>
      <c r="AW448" s="76" t="str">
        <f aca="false">IF(B448="","",ROUND(BK448+SUMIFS(AM$5:AM447,BJ$5:BJ447,BJ448),2))</f>
        <v/>
      </c>
      <c r="AX448" s="66" t="str">
        <f aca="false">IF(B448="","",COUNTIFS(B$6:B448,B448,BJ$6:BJ448,BJ448))</f>
        <v/>
      </c>
      <c r="AY448" s="79" t="str">
        <f aca="false">IF(B448="","",ROUND(SUMIFS(AM$5:AM447,B$5:B447,B448,BJ$5:BJ447,BJ448),2))</f>
        <v/>
      </c>
      <c r="AZ448" s="79" t="str">
        <f aca="false">IF(AM448="","",ROUND(AY448+AM448,2))</f>
        <v/>
      </c>
      <c r="BA448" s="79" t="str">
        <f aca="false">IF(B448="","",ROUND(SUMIFS(AM$5:AM447,B$5:B447,"&gt;="&amp;(B448-WEEKDAY(B448,2)+1),B$5:B447,"&lt;="&amp;B448,BJ$5:BJ447,BJ448),2))</f>
        <v/>
      </c>
      <c r="BB448" s="68" t="str">
        <f aca="false">IF(B448="","",IF(AND(AF448&lt;&gt;"",AV448&lt;&gt;"",N(AF448)&gt;N(AV448)*(1+Settings!$C$13)),"Oversized",IF(AX448&gt;Settings!$C$10,"Overtraded",IF(AY448&lt;=-Settings!$C$11*(AW448-AY448),"Daily loss hit",IF(BA448&lt;=-Settings!$C$12*(AW448-BA448),"Weekly loss hit","OK")))))</f>
        <v/>
      </c>
      <c r="BC448" s="69"/>
      <c r="BD448" s="69"/>
      <c r="BE448" s="69"/>
      <c r="BF448" s="73"/>
      <c r="BG448" s="73"/>
      <c r="BH448" s="71"/>
      <c r="BI448" s="71"/>
      <c r="BJ448" s="68" t="str">
        <f aca="false">IF(B448="","",IF(E448="",Settings!$F$5,E448))</f>
        <v/>
      </c>
      <c r="BK448" s="76" t="str">
        <f aca="false">IF(B448="","",IFERROR(INDEX(Settings!$G$5:$G$10,MATCH(BJ448,Settings!$F$5:$F$10,0)),Settings!$G$5))</f>
        <v/>
      </c>
      <c r="BL448" s="82" t="str">
        <f aca="false">IF(I448="","",IFERROR(1/(1/INDEX(Lists!$C$6:$C$17,MATCH(I448,Lists!$B$6:$B$17,0))),""))</f>
        <v/>
      </c>
      <c r="BM448" s="81" t="str">
        <f aca="false">IF(I448="","",IFERROR(1/(1/INDEX(Lists!$D$6:$D$17,MATCH(I448,Lists!$B$6:$B$17,0))),""))</f>
        <v/>
      </c>
      <c r="BN448" s="76" t="str">
        <f aca="false">IF(AN448="","",MAX(BK448,_xlfn.MAXIFS(AN$6:AN448,BJ$6:BJ448,BJ448)))</f>
        <v/>
      </c>
      <c r="BO448" s="83" t="str">
        <f aca="false">IF(AN448="","",(AN448-BN448)/BN448)</f>
        <v/>
      </c>
      <c r="BP448" s="66" t="n">
        <f aca="false">IF(OR(B448="",AL448=""),0,IF(OR(Settings!$C$28="All Accounts",BJ448=Settings!$C$28),1,0))</f>
        <v>0</v>
      </c>
      <c r="BQ448" s="66" t="str">
        <f aca="false">IF(BP448=1,SUM(BP$6:BP448),"")</f>
        <v/>
      </c>
      <c r="BR448" s="76" t="str">
        <f aca="false">IF(BP448=1,ROUND(Settings!$C$29+SUMIFS(AM$6:AM448,BP$6:BP448,1),2),"")</f>
        <v/>
      </c>
      <c r="BS448" s="76" t="str">
        <f aca="false">IF(BP448=1,MAX(Settings!$C$29,MAX(BR$6:BR448)),"")</f>
        <v/>
      </c>
      <c r="BT448" s="83" t="str">
        <f aca="false">IF(BP448=1,(BR448-BS448)/BS448,"")</f>
        <v/>
      </c>
      <c r="BU448" s="66" t="str">
        <f aca="false">IF(BP448=1,IF(AL448="Win",1+IF(BQ448=1,0,INDEX(BU$5:BU447,MATCH(BQ448-1,BQ$5:BQ447,0))),0),"")</f>
        <v/>
      </c>
      <c r="BV448" s="66" t="str">
        <f aca="false">IF(BP448=1,IF(AL448="Loss",1+IF(BQ448=1,0,INDEX(BV$5:BV447,MATCH(BQ448-1,BQ$5:BQ447,0))),0),"")</f>
        <v/>
      </c>
    </row>
    <row r="449" customFormat="false" ht="15" hidden="false" customHeight="false" outlineLevel="0" collapsed="false">
      <c r="A449" s="66" t="str">
        <f aca="false">IF(B449="","",ROW()-5)</f>
        <v/>
      </c>
      <c r="B449" s="67"/>
      <c r="C449" s="68" t="str">
        <f aca="false">IF(B449="","",CHOOSE(WEEKDAY(B449,2),"Mon","Tue","Wed","Thu","Fri","Sat","Sun"))</f>
        <v/>
      </c>
      <c r="D449" s="66" t="str">
        <f aca="false">IF(B449="","",WEEKNUM(B449,2))</f>
        <v/>
      </c>
      <c r="E449" s="69"/>
      <c r="F449" s="69"/>
      <c r="G449" s="70"/>
      <c r="H449" s="70"/>
      <c r="I449" s="69"/>
      <c r="J449" s="69"/>
      <c r="K449" s="69"/>
      <c r="L449" s="71"/>
      <c r="M449" s="69"/>
      <c r="N449" s="69"/>
      <c r="O449" s="69"/>
      <c r="P449" s="71"/>
      <c r="Q449" s="69"/>
      <c r="R449" s="69"/>
      <c r="S449" s="69"/>
      <c r="T449" s="69"/>
      <c r="U449" s="69"/>
      <c r="V449" s="69"/>
      <c r="W449" s="69"/>
      <c r="X449" s="66" t="str">
        <f aca="false">IF(B449="","",COUNTIF(Q449:W449,"Yes"))</f>
        <v/>
      </c>
      <c r="Y449" s="68" t="str">
        <f aca="false">IF(B449="","",IF(X449&gt;=Settings!$C$16,"A+",IF(X449&gt;=Settings!$C$17,"A",IF(X449&gt;=Settings!$C$18,"B","C"))))</f>
        <v/>
      </c>
      <c r="Z449" s="72"/>
      <c r="AA449" s="72"/>
      <c r="AB449" s="72"/>
      <c r="AC449" s="72"/>
      <c r="AD449" s="72"/>
      <c r="AE449" s="72"/>
      <c r="AF449" s="73"/>
      <c r="AG449" s="74"/>
      <c r="AH449" s="75"/>
      <c r="AI449" s="76" t="str">
        <f aca="false">IF(B449="","",ROUND(IF(AG449="",Settings!$C$5,AG449)*AW449,2))</f>
        <v/>
      </c>
      <c r="AJ449" s="77" t="str">
        <f aca="false">IF(OR(B449="",AB449="",AC449="",AD449=""),"",IFERROR(ROUND(ABS(AD449-AB449)/ABS(AB449-AC449),2),""))</f>
        <v/>
      </c>
      <c r="AK449" s="78" t="str">
        <f aca="false">IF(OR(B449="",AB449="",AC449="",AE449=""),"",IFERROR(ROUND(IF(J449="Short",AB449-AE449,AE449-AB449)/ABS(AB449-AC449),2),""))</f>
        <v/>
      </c>
      <c r="AL449" s="68" t="str">
        <f aca="false">IF(AK449="","",IF(ABS(AK449)&lt;=Settings!$C$6,"BE",IF(AK449&gt;0,"Win","Loss")))</f>
        <v/>
      </c>
      <c r="AM449" s="79" t="str">
        <f aca="false">IF(OR(AK449="",AI449=""),"",ROUND(AK449*AI449-N(AH449),2))</f>
        <v/>
      </c>
      <c r="AN449" s="76" t="str">
        <f aca="false">IF(AM449="","",ROUND(BK449+SUMIFS(AM$6:AM449,BJ$6:BJ449,BJ449),2))</f>
        <v/>
      </c>
      <c r="AO449" s="78" t="str">
        <f aca="false">IF(AK449="","",ROUND(SUMIFS(AK$6:AK449,BJ$6:BJ449,BJ449),2))</f>
        <v/>
      </c>
      <c r="AP449" s="80" t="str">
        <f aca="false">IF(OR(AK449="",BL449=""),"",IFERROR(ROUND(IF(J449="Short",AB449-AE449,AE449-AB449)/BL449,1),""))</f>
        <v/>
      </c>
      <c r="AQ449" s="66" t="str">
        <f aca="false">IF(OR(G449="",H449=""),"",ROUND(MOD(H449-G449,1)*1440,0))</f>
        <v/>
      </c>
      <c r="AR449" s="68" t="str">
        <f aca="false">IF(AQ449="","",IF(AQ449&lt;15,"Under 15m",IF(AQ449&lt;60,"15-60m",IF(AQ449&lt;240,"1-4 hours","4+ hours"))))</f>
        <v/>
      </c>
      <c r="AS449" s="66" t="str">
        <f aca="false">IF(G449="","",HOUR(G449))</f>
        <v/>
      </c>
      <c r="AT449" s="80" t="str">
        <f aca="false">IF(OR(Z449="",AB449="",BL449=""),"",IFERROR(ROUND(IF(J449="Short",Z449-AB449,AB449-Z449)/BL449,1),""))</f>
        <v/>
      </c>
      <c r="AU449" s="68" t="str">
        <f aca="false">IF(OR(AA449="",AC449=""),"",IF(AA449=AC449,"No","Yes"))</f>
        <v/>
      </c>
      <c r="AV449" s="81" t="str">
        <f aca="false">IF(OR(B449="",BL449="",BM449="",AB449="",AC449=""),"",IFERROR(ROUND(AI449/(ABS(AB449-AC449)/BL449*BM449),2),""))</f>
        <v/>
      </c>
      <c r="AW449" s="76" t="str">
        <f aca="false">IF(B449="","",ROUND(BK449+SUMIFS(AM$5:AM448,BJ$5:BJ448,BJ449),2))</f>
        <v/>
      </c>
      <c r="AX449" s="66" t="str">
        <f aca="false">IF(B449="","",COUNTIFS(B$6:B449,B449,BJ$6:BJ449,BJ449))</f>
        <v/>
      </c>
      <c r="AY449" s="79" t="str">
        <f aca="false">IF(B449="","",ROUND(SUMIFS(AM$5:AM448,B$5:B448,B449,BJ$5:BJ448,BJ449),2))</f>
        <v/>
      </c>
      <c r="AZ449" s="79" t="str">
        <f aca="false">IF(AM449="","",ROUND(AY449+AM449,2))</f>
        <v/>
      </c>
      <c r="BA449" s="79" t="str">
        <f aca="false">IF(B449="","",ROUND(SUMIFS(AM$5:AM448,B$5:B448,"&gt;="&amp;(B449-WEEKDAY(B449,2)+1),B$5:B448,"&lt;="&amp;B449,BJ$5:BJ448,BJ449),2))</f>
        <v/>
      </c>
      <c r="BB449" s="68" t="str">
        <f aca="false">IF(B449="","",IF(AND(AF449&lt;&gt;"",AV449&lt;&gt;"",N(AF449)&gt;N(AV449)*(1+Settings!$C$13)),"Oversized",IF(AX449&gt;Settings!$C$10,"Overtraded",IF(AY449&lt;=-Settings!$C$11*(AW449-AY449),"Daily loss hit",IF(BA449&lt;=-Settings!$C$12*(AW449-BA449),"Weekly loss hit","OK")))))</f>
        <v/>
      </c>
      <c r="BC449" s="69"/>
      <c r="BD449" s="69"/>
      <c r="BE449" s="69"/>
      <c r="BF449" s="73"/>
      <c r="BG449" s="73"/>
      <c r="BH449" s="71"/>
      <c r="BI449" s="71"/>
      <c r="BJ449" s="68" t="str">
        <f aca="false">IF(B449="","",IF(E449="",Settings!$F$5,E449))</f>
        <v/>
      </c>
      <c r="BK449" s="76" t="str">
        <f aca="false">IF(B449="","",IFERROR(INDEX(Settings!$G$5:$G$10,MATCH(BJ449,Settings!$F$5:$F$10,0)),Settings!$G$5))</f>
        <v/>
      </c>
      <c r="BL449" s="82" t="str">
        <f aca="false">IF(I449="","",IFERROR(1/(1/INDEX(Lists!$C$6:$C$17,MATCH(I449,Lists!$B$6:$B$17,0))),""))</f>
        <v/>
      </c>
      <c r="BM449" s="81" t="str">
        <f aca="false">IF(I449="","",IFERROR(1/(1/INDEX(Lists!$D$6:$D$17,MATCH(I449,Lists!$B$6:$B$17,0))),""))</f>
        <v/>
      </c>
      <c r="BN449" s="76" t="str">
        <f aca="false">IF(AN449="","",MAX(BK449,_xlfn.MAXIFS(AN$6:AN449,BJ$6:BJ449,BJ449)))</f>
        <v/>
      </c>
      <c r="BO449" s="83" t="str">
        <f aca="false">IF(AN449="","",(AN449-BN449)/BN449)</f>
        <v/>
      </c>
      <c r="BP449" s="66" t="n">
        <f aca="false">IF(OR(B449="",AL449=""),0,IF(OR(Settings!$C$28="All Accounts",BJ449=Settings!$C$28),1,0))</f>
        <v>0</v>
      </c>
      <c r="BQ449" s="66" t="str">
        <f aca="false">IF(BP449=1,SUM(BP$6:BP449),"")</f>
        <v/>
      </c>
      <c r="BR449" s="76" t="str">
        <f aca="false">IF(BP449=1,ROUND(Settings!$C$29+SUMIFS(AM$6:AM449,BP$6:BP449,1),2),"")</f>
        <v/>
      </c>
      <c r="BS449" s="76" t="str">
        <f aca="false">IF(BP449=1,MAX(Settings!$C$29,MAX(BR$6:BR449)),"")</f>
        <v/>
      </c>
      <c r="BT449" s="83" t="str">
        <f aca="false">IF(BP449=1,(BR449-BS449)/BS449,"")</f>
        <v/>
      </c>
      <c r="BU449" s="66" t="str">
        <f aca="false">IF(BP449=1,IF(AL449="Win",1+IF(BQ449=1,0,INDEX(BU$5:BU448,MATCH(BQ449-1,BQ$5:BQ448,0))),0),"")</f>
        <v/>
      </c>
      <c r="BV449" s="66" t="str">
        <f aca="false">IF(BP449=1,IF(AL449="Loss",1+IF(BQ449=1,0,INDEX(BV$5:BV448,MATCH(BQ449-1,BQ$5:BQ448,0))),0),"")</f>
        <v/>
      </c>
    </row>
    <row r="450" customFormat="false" ht="15" hidden="false" customHeight="false" outlineLevel="0" collapsed="false">
      <c r="A450" s="66" t="str">
        <f aca="false">IF(B450="","",ROW()-5)</f>
        <v/>
      </c>
      <c r="B450" s="67"/>
      <c r="C450" s="68" t="str">
        <f aca="false">IF(B450="","",CHOOSE(WEEKDAY(B450,2),"Mon","Tue","Wed","Thu","Fri","Sat","Sun"))</f>
        <v/>
      </c>
      <c r="D450" s="66" t="str">
        <f aca="false">IF(B450="","",WEEKNUM(B450,2))</f>
        <v/>
      </c>
      <c r="E450" s="69"/>
      <c r="F450" s="69"/>
      <c r="G450" s="70"/>
      <c r="H450" s="70"/>
      <c r="I450" s="69"/>
      <c r="J450" s="69"/>
      <c r="K450" s="69"/>
      <c r="L450" s="71"/>
      <c r="M450" s="69"/>
      <c r="N450" s="69"/>
      <c r="O450" s="69"/>
      <c r="P450" s="71"/>
      <c r="Q450" s="69"/>
      <c r="R450" s="69"/>
      <c r="S450" s="69"/>
      <c r="T450" s="69"/>
      <c r="U450" s="69"/>
      <c r="V450" s="69"/>
      <c r="W450" s="69"/>
      <c r="X450" s="66" t="str">
        <f aca="false">IF(B450="","",COUNTIF(Q450:W450,"Yes"))</f>
        <v/>
      </c>
      <c r="Y450" s="68" t="str">
        <f aca="false">IF(B450="","",IF(X450&gt;=Settings!$C$16,"A+",IF(X450&gt;=Settings!$C$17,"A",IF(X450&gt;=Settings!$C$18,"B","C"))))</f>
        <v/>
      </c>
      <c r="Z450" s="72"/>
      <c r="AA450" s="72"/>
      <c r="AB450" s="72"/>
      <c r="AC450" s="72"/>
      <c r="AD450" s="72"/>
      <c r="AE450" s="72"/>
      <c r="AF450" s="73"/>
      <c r="AG450" s="74"/>
      <c r="AH450" s="75"/>
      <c r="AI450" s="76" t="str">
        <f aca="false">IF(B450="","",ROUND(IF(AG450="",Settings!$C$5,AG450)*AW450,2))</f>
        <v/>
      </c>
      <c r="AJ450" s="77" t="str">
        <f aca="false">IF(OR(B450="",AB450="",AC450="",AD450=""),"",IFERROR(ROUND(ABS(AD450-AB450)/ABS(AB450-AC450),2),""))</f>
        <v/>
      </c>
      <c r="AK450" s="78" t="str">
        <f aca="false">IF(OR(B450="",AB450="",AC450="",AE450=""),"",IFERROR(ROUND(IF(J450="Short",AB450-AE450,AE450-AB450)/ABS(AB450-AC450),2),""))</f>
        <v/>
      </c>
      <c r="AL450" s="68" t="str">
        <f aca="false">IF(AK450="","",IF(ABS(AK450)&lt;=Settings!$C$6,"BE",IF(AK450&gt;0,"Win","Loss")))</f>
        <v/>
      </c>
      <c r="AM450" s="79" t="str">
        <f aca="false">IF(OR(AK450="",AI450=""),"",ROUND(AK450*AI450-N(AH450),2))</f>
        <v/>
      </c>
      <c r="AN450" s="76" t="str">
        <f aca="false">IF(AM450="","",ROUND(BK450+SUMIFS(AM$6:AM450,BJ$6:BJ450,BJ450),2))</f>
        <v/>
      </c>
      <c r="AO450" s="78" t="str">
        <f aca="false">IF(AK450="","",ROUND(SUMIFS(AK$6:AK450,BJ$6:BJ450,BJ450),2))</f>
        <v/>
      </c>
      <c r="AP450" s="80" t="str">
        <f aca="false">IF(OR(AK450="",BL450=""),"",IFERROR(ROUND(IF(J450="Short",AB450-AE450,AE450-AB450)/BL450,1),""))</f>
        <v/>
      </c>
      <c r="AQ450" s="66" t="str">
        <f aca="false">IF(OR(G450="",H450=""),"",ROUND(MOD(H450-G450,1)*1440,0))</f>
        <v/>
      </c>
      <c r="AR450" s="68" t="str">
        <f aca="false">IF(AQ450="","",IF(AQ450&lt;15,"Under 15m",IF(AQ450&lt;60,"15-60m",IF(AQ450&lt;240,"1-4 hours","4+ hours"))))</f>
        <v/>
      </c>
      <c r="AS450" s="66" t="str">
        <f aca="false">IF(G450="","",HOUR(G450))</f>
        <v/>
      </c>
      <c r="AT450" s="80" t="str">
        <f aca="false">IF(OR(Z450="",AB450="",BL450=""),"",IFERROR(ROUND(IF(J450="Short",Z450-AB450,AB450-Z450)/BL450,1),""))</f>
        <v/>
      </c>
      <c r="AU450" s="68" t="str">
        <f aca="false">IF(OR(AA450="",AC450=""),"",IF(AA450=AC450,"No","Yes"))</f>
        <v/>
      </c>
      <c r="AV450" s="81" t="str">
        <f aca="false">IF(OR(B450="",BL450="",BM450="",AB450="",AC450=""),"",IFERROR(ROUND(AI450/(ABS(AB450-AC450)/BL450*BM450),2),""))</f>
        <v/>
      </c>
      <c r="AW450" s="76" t="str">
        <f aca="false">IF(B450="","",ROUND(BK450+SUMIFS(AM$5:AM449,BJ$5:BJ449,BJ450),2))</f>
        <v/>
      </c>
      <c r="AX450" s="66" t="str">
        <f aca="false">IF(B450="","",COUNTIFS(B$6:B450,B450,BJ$6:BJ450,BJ450))</f>
        <v/>
      </c>
      <c r="AY450" s="79" t="str">
        <f aca="false">IF(B450="","",ROUND(SUMIFS(AM$5:AM449,B$5:B449,B450,BJ$5:BJ449,BJ450),2))</f>
        <v/>
      </c>
      <c r="AZ450" s="79" t="str">
        <f aca="false">IF(AM450="","",ROUND(AY450+AM450,2))</f>
        <v/>
      </c>
      <c r="BA450" s="79" t="str">
        <f aca="false">IF(B450="","",ROUND(SUMIFS(AM$5:AM449,B$5:B449,"&gt;="&amp;(B450-WEEKDAY(B450,2)+1),B$5:B449,"&lt;="&amp;B450,BJ$5:BJ449,BJ450),2))</f>
        <v/>
      </c>
      <c r="BB450" s="68" t="str">
        <f aca="false">IF(B450="","",IF(AND(AF450&lt;&gt;"",AV450&lt;&gt;"",N(AF450)&gt;N(AV450)*(1+Settings!$C$13)),"Oversized",IF(AX450&gt;Settings!$C$10,"Overtraded",IF(AY450&lt;=-Settings!$C$11*(AW450-AY450),"Daily loss hit",IF(BA450&lt;=-Settings!$C$12*(AW450-BA450),"Weekly loss hit","OK")))))</f>
        <v/>
      </c>
      <c r="BC450" s="69"/>
      <c r="BD450" s="69"/>
      <c r="BE450" s="69"/>
      <c r="BF450" s="73"/>
      <c r="BG450" s="73"/>
      <c r="BH450" s="71"/>
      <c r="BI450" s="71"/>
      <c r="BJ450" s="68" t="str">
        <f aca="false">IF(B450="","",IF(E450="",Settings!$F$5,E450))</f>
        <v/>
      </c>
      <c r="BK450" s="76" t="str">
        <f aca="false">IF(B450="","",IFERROR(INDEX(Settings!$G$5:$G$10,MATCH(BJ450,Settings!$F$5:$F$10,0)),Settings!$G$5))</f>
        <v/>
      </c>
      <c r="BL450" s="82" t="str">
        <f aca="false">IF(I450="","",IFERROR(1/(1/INDEX(Lists!$C$6:$C$17,MATCH(I450,Lists!$B$6:$B$17,0))),""))</f>
        <v/>
      </c>
      <c r="BM450" s="81" t="str">
        <f aca="false">IF(I450="","",IFERROR(1/(1/INDEX(Lists!$D$6:$D$17,MATCH(I450,Lists!$B$6:$B$17,0))),""))</f>
        <v/>
      </c>
      <c r="BN450" s="76" t="str">
        <f aca="false">IF(AN450="","",MAX(BK450,_xlfn.MAXIFS(AN$6:AN450,BJ$6:BJ450,BJ450)))</f>
        <v/>
      </c>
      <c r="BO450" s="83" t="str">
        <f aca="false">IF(AN450="","",(AN450-BN450)/BN450)</f>
        <v/>
      </c>
      <c r="BP450" s="66" t="n">
        <f aca="false">IF(OR(B450="",AL450=""),0,IF(OR(Settings!$C$28="All Accounts",BJ450=Settings!$C$28),1,0))</f>
        <v>0</v>
      </c>
      <c r="BQ450" s="66" t="str">
        <f aca="false">IF(BP450=1,SUM(BP$6:BP450),"")</f>
        <v/>
      </c>
      <c r="BR450" s="76" t="str">
        <f aca="false">IF(BP450=1,ROUND(Settings!$C$29+SUMIFS(AM$6:AM450,BP$6:BP450,1),2),"")</f>
        <v/>
      </c>
      <c r="BS450" s="76" t="str">
        <f aca="false">IF(BP450=1,MAX(Settings!$C$29,MAX(BR$6:BR450)),"")</f>
        <v/>
      </c>
      <c r="BT450" s="83" t="str">
        <f aca="false">IF(BP450=1,(BR450-BS450)/BS450,"")</f>
        <v/>
      </c>
      <c r="BU450" s="66" t="str">
        <f aca="false">IF(BP450=1,IF(AL450="Win",1+IF(BQ450=1,0,INDEX(BU$5:BU449,MATCH(BQ450-1,BQ$5:BQ449,0))),0),"")</f>
        <v/>
      </c>
      <c r="BV450" s="66" t="str">
        <f aca="false">IF(BP450=1,IF(AL450="Loss",1+IF(BQ450=1,0,INDEX(BV$5:BV449,MATCH(BQ450-1,BQ$5:BQ449,0))),0),"")</f>
        <v/>
      </c>
    </row>
    <row r="451" customFormat="false" ht="15" hidden="false" customHeight="false" outlineLevel="0" collapsed="false">
      <c r="A451" s="66" t="str">
        <f aca="false">IF(B451="","",ROW()-5)</f>
        <v/>
      </c>
      <c r="B451" s="67"/>
      <c r="C451" s="68" t="str">
        <f aca="false">IF(B451="","",CHOOSE(WEEKDAY(B451,2),"Mon","Tue","Wed","Thu","Fri","Sat","Sun"))</f>
        <v/>
      </c>
      <c r="D451" s="66" t="str">
        <f aca="false">IF(B451="","",WEEKNUM(B451,2))</f>
        <v/>
      </c>
      <c r="E451" s="69"/>
      <c r="F451" s="69"/>
      <c r="G451" s="70"/>
      <c r="H451" s="70"/>
      <c r="I451" s="69"/>
      <c r="J451" s="69"/>
      <c r="K451" s="69"/>
      <c r="L451" s="71"/>
      <c r="M451" s="69"/>
      <c r="N451" s="69"/>
      <c r="O451" s="69"/>
      <c r="P451" s="71"/>
      <c r="Q451" s="69"/>
      <c r="R451" s="69"/>
      <c r="S451" s="69"/>
      <c r="T451" s="69"/>
      <c r="U451" s="69"/>
      <c r="V451" s="69"/>
      <c r="W451" s="69"/>
      <c r="X451" s="66" t="str">
        <f aca="false">IF(B451="","",COUNTIF(Q451:W451,"Yes"))</f>
        <v/>
      </c>
      <c r="Y451" s="68" t="str">
        <f aca="false">IF(B451="","",IF(X451&gt;=Settings!$C$16,"A+",IF(X451&gt;=Settings!$C$17,"A",IF(X451&gt;=Settings!$C$18,"B","C"))))</f>
        <v/>
      </c>
      <c r="Z451" s="72"/>
      <c r="AA451" s="72"/>
      <c r="AB451" s="72"/>
      <c r="AC451" s="72"/>
      <c r="AD451" s="72"/>
      <c r="AE451" s="72"/>
      <c r="AF451" s="73"/>
      <c r="AG451" s="74"/>
      <c r="AH451" s="75"/>
      <c r="AI451" s="76" t="str">
        <f aca="false">IF(B451="","",ROUND(IF(AG451="",Settings!$C$5,AG451)*AW451,2))</f>
        <v/>
      </c>
      <c r="AJ451" s="77" t="str">
        <f aca="false">IF(OR(B451="",AB451="",AC451="",AD451=""),"",IFERROR(ROUND(ABS(AD451-AB451)/ABS(AB451-AC451),2),""))</f>
        <v/>
      </c>
      <c r="AK451" s="78" t="str">
        <f aca="false">IF(OR(B451="",AB451="",AC451="",AE451=""),"",IFERROR(ROUND(IF(J451="Short",AB451-AE451,AE451-AB451)/ABS(AB451-AC451),2),""))</f>
        <v/>
      </c>
      <c r="AL451" s="68" t="str">
        <f aca="false">IF(AK451="","",IF(ABS(AK451)&lt;=Settings!$C$6,"BE",IF(AK451&gt;0,"Win","Loss")))</f>
        <v/>
      </c>
      <c r="AM451" s="79" t="str">
        <f aca="false">IF(OR(AK451="",AI451=""),"",ROUND(AK451*AI451-N(AH451),2))</f>
        <v/>
      </c>
      <c r="AN451" s="76" t="str">
        <f aca="false">IF(AM451="","",ROUND(BK451+SUMIFS(AM$6:AM451,BJ$6:BJ451,BJ451),2))</f>
        <v/>
      </c>
      <c r="AO451" s="78" t="str">
        <f aca="false">IF(AK451="","",ROUND(SUMIFS(AK$6:AK451,BJ$6:BJ451,BJ451),2))</f>
        <v/>
      </c>
      <c r="AP451" s="80" t="str">
        <f aca="false">IF(OR(AK451="",BL451=""),"",IFERROR(ROUND(IF(J451="Short",AB451-AE451,AE451-AB451)/BL451,1),""))</f>
        <v/>
      </c>
      <c r="AQ451" s="66" t="str">
        <f aca="false">IF(OR(G451="",H451=""),"",ROUND(MOD(H451-G451,1)*1440,0))</f>
        <v/>
      </c>
      <c r="AR451" s="68" t="str">
        <f aca="false">IF(AQ451="","",IF(AQ451&lt;15,"Under 15m",IF(AQ451&lt;60,"15-60m",IF(AQ451&lt;240,"1-4 hours","4+ hours"))))</f>
        <v/>
      </c>
      <c r="AS451" s="66" t="str">
        <f aca="false">IF(G451="","",HOUR(G451))</f>
        <v/>
      </c>
      <c r="AT451" s="80" t="str">
        <f aca="false">IF(OR(Z451="",AB451="",BL451=""),"",IFERROR(ROUND(IF(J451="Short",Z451-AB451,AB451-Z451)/BL451,1),""))</f>
        <v/>
      </c>
      <c r="AU451" s="68" t="str">
        <f aca="false">IF(OR(AA451="",AC451=""),"",IF(AA451=AC451,"No","Yes"))</f>
        <v/>
      </c>
      <c r="AV451" s="81" t="str">
        <f aca="false">IF(OR(B451="",BL451="",BM451="",AB451="",AC451=""),"",IFERROR(ROUND(AI451/(ABS(AB451-AC451)/BL451*BM451),2),""))</f>
        <v/>
      </c>
      <c r="AW451" s="76" t="str">
        <f aca="false">IF(B451="","",ROUND(BK451+SUMIFS(AM$5:AM450,BJ$5:BJ450,BJ451),2))</f>
        <v/>
      </c>
      <c r="AX451" s="66" t="str">
        <f aca="false">IF(B451="","",COUNTIFS(B$6:B451,B451,BJ$6:BJ451,BJ451))</f>
        <v/>
      </c>
      <c r="AY451" s="79" t="str">
        <f aca="false">IF(B451="","",ROUND(SUMIFS(AM$5:AM450,B$5:B450,B451,BJ$5:BJ450,BJ451),2))</f>
        <v/>
      </c>
      <c r="AZ451" s="79" t="str">
        <f aca="false">IF(AM451="","",ROUND(AY451+AM451,2))</f>
        <v/>
      </c>
      <c r="BA451" s="79" t="str">
        <f aca="false">IF(B451="","",ROUND(SUMIFS(AM$5:AM450,B$5:B450,"&gt;="&amp;(B451-WEEKDAY(B451,2)+1),B$5:B450,"&lt;="&amp;B451,BJ$5:BJ450,BJ451),2))</f>
        <v/>
      </c>
      <c r="BB451" s="68" t="str">
        <f aca="false">IF(B451="","",IF(AND(AF451&lt;&gt;"",AV451&lt;&gt;"",N(AF451)&gt;N(AV451)*(1+Settings!$C$13)),"Oversized",IF(AX451&gt;Settings!$C$10,"Overtraded",IF(AY451&lt;=-Settings!$C$11*(AW451-AY451),"Daily loss hit",IF(BA451&lt;=-Settings!$C$12*(AW451-BA451),"Weekly loss hit","OK")))))</f>
        <v/>
      </c>
      <c r="BC451" s="69"/>
      <c r="BD451" s="69"/>
      <c r="BE451" s="69"/>
      <c r="BF451" s="73"/>
      <c r="BG451" s="73"/>
      <c r="BH451" s="71"/>
      <c r="BI451" s="71"/>
      <c r="BJ451" s="68" t="str">
        <f aca="false">IF(B451="","",IF(E451="",Settings!$F$5,E451))</f>
        <v/>
      </c>
      <c r="BK451" s="76" t="str">
        <f aca="false">IF(B451="","",IFERROR(INDEX(Settings!$G$5:$G$10,MATCH(BJ451,Settings!$F$5:$F$10,0)),Settings!$G$5))</f>
        <v/>
      </c>
      <c r="BL451" s="82" t="str">
        <f aca="false">IF(I451="","",IFERROR(1/(1/INDEX(Lists!$C$6:$C$17,MATCH(I451,Lists!$B$6:$B$17,0))),""))</f>
        <v/>
      </c>
      <c r="BM451" s="81" t="str">
        <f aca="false">IF(I451="","",IFERROR(1/(1/INDEX(Lists!$D$6:$D$17,MATCH(I451,Lists!$B$6:$B$17,0))),""))</f>
        <v/>
      </c>
      <c r="BN451" s="76" t="str">
        <f aca="false">IF(AN451="","",MAX(BK451,_xlfn.MAXIFS(AN$6:AN451,BJ$6:BJ451,BJ451)))</f>
        <v/>
      </c>
      <c r="BO451" s="83" t="str">
        <f aca="false">IF(AN451="","",(AN451-BN451)/BN451)</f>
        <v/>
      </c>
      <c r="BP451" s="66" t="n">
        <f aca="false">IF(OR(B451="",AL451=""),0,IF(OR(Settings!$C$28="All Accounts",BJ451=Settings!$C$28),1,0))</f>
        <v>0</v>
      </c>
      <c r="BQ451" s="66" t="str">
        <f aca="false">IF(BP451=1,SUM(BP$6:BP451),"")</f>
        <v/>
      </c>
      <c r="BR451" s="76" t="str">
        <f aca="false">IF(BP451=1,ROUND(Settings!$C$29+SUMIFS(AM$6:AM451,BP$6:BP451,1),2),"")</f>
        <v/>
      </c>
      <c r="BS451" s="76" t="str">
        <f aca="false">IF(BP451=1,MAX(Settings!$C$29,MAX(BR$6:BR451)),"")</f>
        <v/>
      </c>
      <c r="BT451" s="83" t="str">
        <f aca="false">IF(BP451=1,(BR451-BS451)/BS451,"")</f>
        <v/>
      </c>
      <c r="BU451" s="66" t="str">
        <f aca="false">IF(BP451=1,IF(AL451="Win",1+IF(BQ451=1,0,INDEX(BU$5:BU450,MATCH(BQ451-1,BQ$5:BQ450,0))),0),"")</f>
        <v/>
      </c>
      <c r="BV451" s="66" t="str">
        <f aca="false">IF(BP451=1,IF(AL451="Loss",1+IF(BQ451=1,0,INDEX(BV$5:BV450,MATCH(BQ451-1,BQ$5:BQ450,0))),0),"")</f>
        <v/>
      </c>
    </row>
    <row r="452" customFormat="false" ht="15" hidden="false" customHeight="false" outlineLevel="0" collapsed="false">
      <c r="A452" s="66" t="str">
        <f aca="false">IF(B452="","",ROW()-5)</f>
        <v/>
      </c>
      <c r="B452" s="67"/>
      <c r="C452" s="68" t="str">
        <f aca="false">IF(B452="","",CHOOSE(WEEKDAY(B452,2),"Mon","Tue","Wed","Thu","Fri","Sat","Sun"))</f>
        <v/>
      </c>
      <c r="D452" s="66" t="str">
        <f aca="false">IF(B452="","",WEEKNUM(B452,2))</f>
        <v/>
      </c>
      <c r="E452" s="69"/>
      <c r="F452" s="69"/>
      <c r="G452" s="70"/>
      <c r="H452" s="70"/>
      <c r="I452" s="69"/>
      <c r="J452" s="69"/>
      <c r="K452" s="69"/>
      <c r="L452" s="71"/>
      <c r="M452" s="69"/>
      <c r="N452" s="69"/>
      <c r="O452" s="69"/>
      <c r="P452" s="71"/>
      <c r="Q452" s="69"/>
      <c r="R452" s="69"/>
      <c r="S452" s="69"/>
      <c r="T452" s="69"/>
      <c r="U452" s="69"/>
      <c r="V452" s="69"/>
      <c r="W452" s="69"/>
      <c r="X452" s="66" t="str">
        <f aca="false">IF(B452="","",COUNTIF(Q452:W452,"Yes"))</f>
        <v/>
      </c>
      <c r="Y452" s="68" t="str">
        <f aca="false">IF(B452="","",IF(X452&gt;=Settings!$C$16,"A+",IF(X452&gt;=Settings!$C$17,"A",IF(X452&gt;=Settings!$C$18,"B","C"))))</f>
        <v/>
      </c>
      <c r="Z452" s="72"/>
      <c r="AA452" s="72"/>
      <c r="AB452" s="72"/>
      <c r="AC452" s="72"/>
      <c r="AD452" s="72"/>
      <c r="AE452" s="72"/>
      <c r="AF452" s="73"/>
      <c r="AG452" s="74"/>
      <c r="AH452" s="75"/>
      <c r="AI452" s="76" t="str">
        <f aca="false">IF(B452="","",ROUND(IF(AG452="",Settings!$C$5,AG452)*AW452,2))</f>
        <v/>
      </c>
      <c r="AJ452" s="77" t="str">
        <f aca="false">IF(OR(B452="",AB452="",AC452="",AD452=""),"",IFERROR(ROUND(ABS(AD452-AB452)/ABS(AB452-AC452),2),""))</f>
        <v/>
      </c>
      <c r="AK452" s="78" t="str">
        <f aca="false">IF(OR(B452="",AB452="",AC452="",AE452=""),"",IFERROR(ROUND(IF(J452="Short",AB452-AE452,AE452-AB452)/ABS(AB452-AC452),2),""))</f>
        <v/>
      </c>
      <c r="AL452" s="68" t="str">
        <f aca="false">IF(AK452="","",IF(ABS(AK452)&lt;=Settings!$C$6,"BE",IF(AK452&gt;0,"Win","Loss")))</f>
        <v/>
      </c>
      <c r="AM452" s="79" t="str">
        <f aca="false">IF(OR(AK452="",AI452=""),"",ROUND(AK452*AI452-N(AH452),2))</f>
        <v/>
      </c>
      <c r="AN452" s="76" t="str">
        <f aca="false">IF(AM452="","",ROUND(BK452+SUMIFS(AM$6:AM452,BJ$6:BJ452,BJ452),2))</f>
        <v/>
      </c>
      <c r="AO452" s="78" t="str">
        <f aca="false">IF(AK452="","",ROUND(SUMIFS(AK$6:AK452,BJ$6:BJ452,BJ452),2))</f>
        <v/>
      </c>
      <c r="AP452" s="80" t="str">
        <f aca="false">IF(OR(AK452="",BL452=""),"",IFERROR(ROUND(IF(J452="Short",AB452-AE452,AE452-AB452)/BL452,1),""))</f>
        <v/>
      </c>
      <c r="AQ452" s="66" t="str">
        <f aca="false">IF(OR(G452="",H452=""),"",ROUND(MOD(H452-G452,1)*1440,0))</f>
        <v/>
      </c>
      <c r="AR452" s="68" t="str">
        <f aca="false">IF(AQ452="","",IF(AQ452&lt;15,"Under 15m",IF(AQ452&lt;60,"15-60m",IF(AQ452&lt;240,"1-4 hours","4+ hours"))))</f>
        <v/>
      </c>
      <c r="AS452" s="66" t="str">
        <f aca="false">IF(G452="","",HOUR(G452))</f>
        <v/>
      </c>
      <c r="AT452" s="80" t="str">
        <f aca="false">IF(OR(Z452="",AB452="",BL452=""),"",IFERROR(ROUND(IF(J452="Short",Z452-AB452,AB452-Z452)/BL452,1),""))</f>
        <v/>
      </c>
      <c r="AU452" s="68" t="str">
        <f aca="false">IF(OR(AA452="",AC452=""),"",IF(AA452=AC452,"No","Yes"))</f>
        <v/>
      </c>
      <c r="AV452" s="81" t="str">
        <f aca="false">IF(OR(B452="",BL452="",BM452="",AB452="",AC452=""),"",IFERROR(ROUND(AI452/(ABS(AB452-AC452)/BL452*BM452),2),""))</f>
        <v/>
      </c>
      <c r="AW452" s="76" t="str">
        <f aca="false">IF(B452="","",ROUND(BK452+SUMIFS(AM$5:AM451,BJ$5:BJ451,BJ452),2))</f>
        <v/>
      </c>
      <c r="AX452" s="66" t="str">
        <f aca="false">IF(B452="","",COUNTIFS(B$6:B452,B452,BJ$6:BJ452,BJ452))</f>
        <v/>
      </c>
      <c r="AY452" s="79" t="str">
        <f aca="false">IF(B452="","",ROUND(SUMIFS(AM$5:AM451,B$5:B451,B452,BJ$5:BJ451,BJ452),2))</f>
        <v/>
      </c>
      <c r="AZ452" s="79" t="str">
        <f aca="false">IF(AM452="","",ROUND(AY452+AM452,2))</f>
        <v/>
      </c>
      <c r="BA452" s="79" t="str">
        <f aca="false">IF(B452="","",ROUND(SUMIFS(AM$5:AM451,B$5:B451,"&gt;="&amp;(B452-WEEKDAY(B452,2)+1),B$5:B451,"&lt;="&amp;B452,BJ$5:BJ451,BJ452),2))</f>
        <v/>
      </c>
      <c r="BB452" s="68" t="str">
        <f aca="false">IF(B452="","",IF(AND(AF452&lt;&gt;"",AV452&lt;&gt;"",N(AF452)&gt;N(AV452)*(1+Settings!$C$13)),"Oversized",IF(AX452&gt;Settings!$C$10,"Overtraded",IF(AY452&lt;=-Settings!$C$11*(AW452-AY452),"Daily loss hit",IF(BA452&lt;=-Settings!$C$12*(AW452-BA452),"Weekly loss hit","OK")))))</f>
        <v/>
      </c>
      <c r="BC452" s="69"/>
      <c r="BD452" s="69"/>
      <c r="BE452" s="69"/>
      <c r="BF452" s="73"/>
      <c r="BG452" s="73"/>
      <c r="BH452" s="71"/>
      <c r="BI452" s="71"/>
      <c r="BJ452" s="68" t="str">
        <f aca="false">IF(B452="","",IF(E452="",Settings!$F$5,E452))</f>
        <v/>
      </c>
      <c r="BK452" s="76" t="str">
        <f aca="false">IF(B452="","",IFERROR(INDEX(Settings!$G$5:$G$10,MATCH(BJ452,Settings!$F$5:$F$10,0)),Settings!$G$5))</f>
        <v/>
      </c>
      <c r="BL452" s="82" t="str">
        <f aca="false">IF(I452="","",IFERROR(1/(1/INDEX(Lists!$C$6:$C$17,MATCH(I452,Lists!$B$6:$B$17,0))),""))</f>
        <v/>
      </c>
      <c r="BM452" s="81" t="str">
        <f aca="false">IF(I452="","",IFERROR(1/(1/INDEX(Lists!$D$6:$D$17,MATCH(I452,Lists!$B$6:$B$17,0))),""))</f>
        <v/>
      </c>
      <c r="BN452" s="76" t="str">
        <f aca="false">IF(AN452="","",MAX(BK452,_xlfn.MAXIFS(AN$6:AN452,BJ$6:BJ452,BJ452)))</f>
        <v/>
      </c>
      <c r="BO452" s="83" t="str">
        <f aca="false">IF(AN452="","",(AN452-BN452)/BN452)</f>
        <v/>
      </c>
      <c r="BP452" s="66" t="n">
        <f aca="false">IF(OR(B452="",AL452=""),0,IF(OR(Settings!$C$28="All Accounts",BJ452=Settings!$C$28),1,0))</f>
        <v>0</v>
      </c>
      <c r="BQ452" s="66" t="str">
        <f aca="false">IF(BP452=1,SUM(BP$6:BP452),"")</f>
        <v/>
      </c>
      <c r="BR452" s="76" t="str">
        <f aca="false">IF(BP452=1,ROUND(Settings!$C$29+SUMIFS(AM$6:AM452,BP$6:BP452,1),2),"")</f>
        <v/>
      </c>
      <c r="BS452" s="76" t="str">
        <f aca="false">IF(BP452=1,MAX(Settings!$C$29,MAX(BR$6:BR452)),"")</f>
        <v/>
      </c>
      <c r="BT452" s="83" t="str">
        <f aca="false">IF(BP452=1,(BR452-BS452)/BS452,"")</f>
        <v/>
      </c>
      <c r="BU452" s="66" t="str">
        <f aca="false">IF(BP452=1,IF(AL452="Win",1+IF(BQ452=1,0,INDEX(BU$5:BU451,MATCH(BQ452-1,BQ$5:BQ451,0))),0),"")</f>
        <v/>
      </c>
      <c r="BV452" s="66" t="str">
        <f aca="false">IF(BP452=1,IF(AL452="Loss",1+IF(BQ452=1,0,INDEX(BV$5:BV451,MATCH(BQ452-1,BQ$5:BQ451,0))),0),"")</f>
        <v/>
      </c>
    </row>
    <row r="453" customFormat="false" ht="15" hidden="false" customHeight="false" outlineLevel="0" collapsed="false">
      <c r="A453" s="66" t="str">
        <f aca="false">IF(B453="","",ROW()-5)</f>
        <v/>
      </c>
      <c r="B453" s="67"/>
      <c r="C453" s="68" t="str">
        <f aca="false">IF(B453="","",CHOOSE(WEEKDAY(B453,2),"Mon","Tue","Wed","Thu","Fri","Sat","Sun"))</f>
        <v/>
      </c>
      <c r="D453" s="66" t="str">
        <f aca="false">IF(B453="","",WEEKNUM(B453,2))</f>
        <v/>
      </c>
      <c r="E453" s="69"/>
      <c r="F453" s="69"/>
      <c r="G453" s="70"/>
      <c r="H453" s="70"/>
      <c r="I453" s="69"/>
      <c r="J453" s="69"/>
      <c r="K453" s="69"/>
      <c r="L453" s="71"/>
      <c r="M453" s="69"/>
      <c r="N453" s="69"/>
      <c r="O453" s="69"/>
      <c r="P453" s="71"/>
      <c r="Q453" s="69"/>
      <c r="R453" s="69"/>
      <c r="S453" s="69"/>
      <c r="T453" s="69"/>
      <c r="U453" s="69"/>
      <c r="V453" s="69"/>
      <c r="W453" s="69"/>
      <c r="X453" s="66" t="str">
        <f aca="false">IF(B453="","",COUNTIF(Q453:W453,"Yes"))</f>
        <v/>
      </c>
      <c r="Y453" s="68" t="str">
        <f aca="false">IF(B453="","",IF(X453&gt;=Settings!$C$16,"A+",IF(X453&gt;=Settings!$C$17,"A",IF(X453&gt;=Settings!$C$18,"B","C"))))</f>
        <v/>
      </c>
      <c r="Z453" s="72"/>
      <c r="AA453" s="72"/>
      <c r="AB453" s="72"/>
      <c r="AC453" s="72"/>
      <c r="AD453" s="72"/>
      <c r="AE453" s="72"/>
      <c r="AF453" s="73"/>
      <c r="AG453" s="74"/>
      <c r="AH453" s="75"/>
      <c r="AI453" s="76" t="str">
        <f aca="false">IF(B453="","",ROUND(IF(AG453="",Settings!$C$5,AG453)*AW453,2))</f>
        <v/>
      </c>
      <c r="AJ453" s="77" t="str">
        <f aca="false">IF(OR(B453="",AB453="",AC453="",AD453=""),"",IFERROR(ROUND(ABS(AD453-AB453)/ABS(AB453-AC453),2),""))</f>
        <v/>
      </c>
      <c r="AK453" s="78" t="str">
        <f aca="false">IF(OR(B453="",AB453="",AC453="",AE453=""),"",IFERROR(ROUND(IF(J453="Short",AB453-AE453,AE453-AB453)/ABS(AB453-AC453),2),""))</f>
        <v/>
      </c>
      <c r="AL453" s="68" t="str">
        <f aca="false">IF(AK453="","",IF(ABS(AK453)&lt;=Settings!$C$6,"BE",IF(AK453&gt;0,"Win","Loss")))</f>
        <v/>
      </c>
      <c r="AM453" s="79" t="str">
        <f aca="false">IF(OR(AK453="",AI453=""),"",ROUND(AK453*AI453-N(AH453),2))</f>
        <v/>
      </c>
      <c r="AN453" s="76" t="str">
        <f aca="false">IF(AM453="","",ROUND(BK453+SUMIFS(AM$6:AM453,BJ$6:BJ453,BJ453),2))</f>
        <v/>
      </c>
      <c r="AO453" s="78" t="str">
        <f aca="false">IF(AK453="","",ROUND(SUMIFS(AK$6:AK453,BJ$6:BJ453,BJ453),2))</f>
        <v/>
      </c>
      <c r="AP453" s="80" t="str">
        <f aca="false">IF(OR(AK453="",BL453=""),"",IFERROR(ROUND(IF(J453="Short",AB453-AE453,AE453-AB453)/BL453,1),""))</f>
        <v/>
      </c>
      <c r="AQ453" s="66" t="str">
        <f aca="false">IF(OR(G453="",H453=""),"",ROUND(MOD(H453-G453,1)*1440,0))</f>
        <v/>
      </c>
      <c r="AR453" s="68" t="str">
        <f aca="false">IF(AQ453="","",IF(AQ453&lt;15,"Under 15m",IF(AQ453&lt;60,"15-60m",IF(AQ453&lt;240,"1-4 hours","4+ hours"))))</f>
        <v/>
      </c>
      <c r="AS453" s="66" t="str">
        <f aca="false">IF(G453="","",HOUR(G453))</f>
        <v/>
      </c>
      <c r="AT453" s="80" t="str">
        <f aca="false">IF(OR(Z453="",AB453="",BL453=""),"",IFERROR(ROUND(IF(J453="Short",Z453-AB453,AB453-Z453)/BL453,1),""))</f>
        <v/>
      </c>
      <c r="AU453" s="68" t="str">
        <f aca="false">IF(OR(AA453="",AC453=""),"",IF(AA453=AC453,"No","Yes"))</f>
        <v/>
      </c>
      <c r="AV453" s="81" t="str">
        <f aca="false">IF(OR(B453="",BL453="",BM453="",AB453="",AC453=""),"",IFERROR(ROUND(AI453/(ABS(AB453-AC453)/BL453*BM453),2),""))</f>
        <v/>
      </c>
      <c r="AW453" s="76" t="str">
        <f aca="false">IF(B453="","",ROUND(BK453+SUMIFS(AM$5:AM452,BJ$5:BJ452,BJ453),2))</f>
        <v/>
      </c>
      <c r="AX453" s="66" t="str">
        <f aca="false">IF(B453="","",COUNTIFS(B$6:B453,B453,BJ$6:BJ453,BJ453))</f>
        <v/>
      </c>
      <c r="AY453" s="79" t="str">
        <f aca="false">IF(B453="","",ROUND(SUMIFS(AM$5:AM452,B$5:B452,B453,BJ$5:BJ452,BJ453),2))</f>
        <v/>
      </c>
      <c r="AZ453" s="79" t="str">
        <f aca="false">IF(AM453="","",ROUND(AY453+AM453,2))</f>
        <v/>
      </c>
      <c r="BA453" s="79" t="str">
        <f aca="false">IF(B453="","",ROUND(SUMIFS(AM$5:AM452,B$5:B452,"&gt;="&amp;(B453-WEEKDAY(B453,2)+1),B$5:B452,"&lt;="&amp;B453,BJ$5:BJ452,BJ453),2))</f>
        <v/>
      </c>
      <c r="BB453" s="68" t="str">
        <f aca="false">IF(B453="","",IF(AND(AF453&lt;&gt;"",AV453&lt;&gt;"",N(AF453)&gt;N(AV453)*(1+Settings!$C$13)),"Oversized",IF(AX453&gt;Settings!$C$10,"Overtraded",IF(AY453&lt;=-Settings!$C$11*(AW453-AY453),"Daily loss hit",IF(BA453&lt;=-Settings!$C$12*(AW453-BA453),"Weekly loss hit","OK")))))</f>
        <v/>
      </c>
      <c r="BC453" s="69"/>
      <c r="BD453" s="69"/>
      <c r="BE453" s="69"/>
      <c r="BF453" s="73"/>
      <c r="BG453" s="73"/>
      <c r="BH453" s="71"/>
      <c r="BI453" s="71"/>
      <c r="BJ453" s="68" t="str">
        <f aca="false">IF(B453="","",IF(E453="",Settings!$F$5,E453))</f>
        <v/>
      </c>
      <c r="BK453" s="76" t="str">
        <f aca="false">IF(B453="","",IFERROR(INDEX(Settings!$G$5:$G$10,MATCH(BJ453,Settings!$F$5:$F$10,0)),Settings!$G$5))</f>
        <v/>
      </c>
      <c r="BL453" s="82" t="str">
        <f aca="false">IF(I453="","",IFERROR(1/(1/INDEX(Lists!$C$6:$C$17,MATCH(I453,Lists!$B$6:$B$17,0))),""))</f>
        <v/>
      </c>
      <c r="BM453" s="81" t="str">
        <f aca="false">IF(I453="","",IFERROR(1/(1/INDEX(Lists!$D$6:$D$17,MATCH(I453,Lists!$B$6:$B$17,0))),""))</f>
        <v/>
      </c>
      <c r="BN453" s="76" t="str">
        <f aca="false">IF(AN453="","",MAX(BK453,_xlfn.MAXIFS(AN$6:AN453,BJ$6:BJ453,BJ453)))</f>
        <v/>
      </c>
      <c r="BO453" s="83" t="str">
        <f aca="false">IF(AN453="","",(AN453-BN453)/BN453)</f>
        <v/>
      </c>
      <c r="BP453" s="66" t="n">
        <f aca="false">IF(OR(B453="",AL453=""),0,IF(OR(Settings!$C$28="All Accounts",BJ453=Settings!$C$28),1,0))</f>
        <v>0</v>
      </c>
      <c r="BQ453" s="66" t="str">
        <f aca="false">IF(BP453=1,SUM(BP$6:BP453),"")</f>
        <v/>
      </c>
      <c r="BR453" s="76" t="str">
        <f aca="false">IF(BP453=1,ROUND(Settings!$C$29+SUMIFS(AM$6:AM453,BP$6:BP453,1),2),"")</f>
        <v/>
      </c>
      <c r="BS453" s="76" t="str">
        <f aca="false">IF(BP453=1,MAX(Settings!$C$29,MAX(BR$6:BR453)),"")</f>
        <v/>
      </c>
      <c r="BT453" s="83" t="str">
        <f aca="false">IF(BP453=1,(BR453-BS453)/BS453,"")</f>
        <v/>
      </c>
      <c r="BU453" s="66" t="str">
        <f aca="false">IF(BP453=1,IF(AL453="Win",1+IF(BQ453=1,0,INDEX(BU$5:BU452,MATCH(BQ453-1,BQ$5:BQ452,0))),0),"")</f>
        <v/>
      </c>
      <c r="BV453" s="66" t="str">
        <f aca="false">IF(BP453=1,IF(AL453="Loss",1+IF(BQ453=1,0,INDEX(BV$5:BV452,MATCH(BQ453-1,BQ$5:BQ452,0))),0),"")</f>
        <v/>
      </c>
    </row>
    <row r="454" customFormat="false" ht="15" hidden="false" customHeight="false" outlineLevel="0" collapsed="false">
      <c r="A454" s="66" t="str">
        <f aca="false">IF(B454="","",ROW()-5)</f>
        <v/>
      </c>
      <c r="B454" s="67"/>
      <c r="C454" s="68" t="str">
        <f aca="false">IF(B454="","",CHOOSE(WEEKDAY(B454,2),"Mon","Tue","Wed","Thu","Fri","Sat","Sun"))</f>
        <v/>
      </c>
      <c r="D454" s="66" t="str">
        <f aca="false">IF(B454="","",WEEKNUM(B454,2))</f>
        <v/>
      </c>
      <c r="E454" s="69"/>
      <c r="F454" s="69"/>
      <c r="G454" s="70"/>
      <c r="H454" s="70"/>
      <c r="I454" s="69"/>
      <c r="J454" s="69"/>
      <c r="K454" s="69"/>
      <c r="L454" s="71"/>
      <c r="M454" s="69"/>
      <c r="N454" s="69"/>
      <c r="O454" s="69"/>
      <c r="P454" s="71"/>
      <c r="Q454" s="69"/>
      <c r="R454" s="69"/>
      <c r="S454" s="69"/>
      <c r="T454" s="69"/>
      <c r="U454" s="69"/>
      <c r="V454" s="69"/>
      <c r="W454" s="69"/>
      <c r="X454" s="66" t="str">
        <f aca="false">IF(B454="","",COUNTIF(Q454:W454,"Yes"))</f>
        <v/>
      </c>
      <c r="Y454" s="68" t="str">
        <f aca="false">IF(B454="","",IF(X454&gt;=Settings!$C$16,"A+",IF(X454&gt;=Settings!$C$17,"A",IF(X454&gt;=Settings!$C$18,"B","C"))))</f>
        <v/>
      </c>
      <c r="Z454" s="72"/>
      <c r="AA454" s="72"/>
      <c r="AB454" s="72"/>
      <c r="AC454" s="72"/>
      <c r="AD454" s="72"/>
      <c r="AE454" s="72"/>
      <c r="AF454" s="73"/>
      <c r="AG454" s="74"/>
      <c r="AH454" s="75"/>
      <c r="AI454" s="76" t="str">
        <f aca="false">IF(B454="","",ROUND(IF(AG454="",Settings!$C$5,AG454)*AW454,2))</f>
        <v/>
      </c>
      <c r="AJ454" s="77" t="str">
        <f aca="false">IF(OR(B454="",AB454="",AC454="",AD454=""),"",IFERROR(ROUND(ABS(AD454-AB454)/ABS(AB454-AC454),2),""))</f>
        <v/>
      </c>
      <c r="AK454" s="78" t="str">
        <f aca="false">IF(OR(B454="",AB454="",AC454="",AE454=""),"",IFERROR(ROUND(IF(J454="Short",AB454-AE454,AE454-AB454)/ABS(AB454-AC454),2),""))</f>
        <v/>
      </c>
      <c r="AL454" s="68" t="str">
        <f aca="false">IF(AK454="","",IF(ABS(AK454)&lt;=Settings!$C$6,"BE",IF(AK454&gt;0,"Win","Loss")))</f>
        <v/>
      </c>
      <c r="AM454" s="79" t="str">
        <f aca="false">IF(OR(AK454="",AI454=""),"",ROUND(AK454*AI454-N(AH454),2))</f>
        <v/>
      </c>
      <c r="AN454" s="76" t="str">
        <f aca="false">IF(AM454="","",ROUND(BK454+SUMIFS(AM$6:AM454,BJ$6:BJ454,BJ454),2))</f>
        <v/>
      </c>
      <c r="AO454" s="78" t="str">
        <f aca="false">IF(AK454="","",ROUND(SUMIFS(AK$6:AK454,BJ$6:BJ454,BJ454),2))</f>
        <v/>
      </c>
      <c r="AP454" s="80" t="str">
        <f aca="false">IF(OR(AK454="",BL454=""),"",IFERROR(ROUND(IF(J454="Short",AB454-AE454,AE454-AB454)/BL454,1),""))</f>
        <v/>
      </c>
      <c r="AQ454" s="66" t="str">
        <f aca="false">IF(OR(G454="",H454=""),"",ROUND(MOD(H454-G454,1)*1440,0))</f>
        <v/>
      </c>
      <c r="AR454" s="68" t="str">
        <f aca="false">IF(AQ454="","",IF(AQ454&lt;15,"Under 15m",IF(AQ454&lt;60,"15-60m",IF(AQ454&lt;240,"1-4 hours","4+ hours"))))</f>
        <v/>
      </c>
      <c r="AS454" s="66" t="str">
        <f aca="false">IF(G454="","",HOUR(G454))</f>
        <v/>
      </c>
      <c r="AT454" s="80" t="str">
        <f aca="false">IF(OR(Z454="",AB454="",BL454=""),"",IFERROR(ROUND(IF(J454="Short",Z454-AB454,AB454-Z454)/BL454,1),""))</f>
        <v/>
      </c>
      <c r="AU454" s="68" t="str">
        <f aca="false">IF(OR(AA454="",AC454=""),"",IF(AA454=AC454,"No","Yes"))</f>
        <v/>
      </c>
      <c r="AV454" s="81" t="str">
        <f aca="false">IF(OR(B454="",BL454="",BM454="",AB454="",AC454=""),"",IFERROR(ROUND(AI454/(ABS(AB454-AC454)/BL454*BM454),2),""))</f>
        <v/>
      </c>
      <c r="AW454" s="76" t="str">
        <f aca="false">IF(B454="","",ROUND(BK454+SUMIFS(AM$5:AM453,BJ$5:BJ453,BJ454),2))</f>
        <v/>
      </c>
      <c r="AX454" s="66" t="str">
        <f aca="false">IF(B454="","",COUNTIFS(B$6:B454,B454,BJ$6:BJ454,BJ454))</f>
        <v/>
      </c>
      <c r="AY454" s="79" t="str">
        <f aca="false">IF(B454="","",ROUND(SUMIFS(AM$5:AM453,B$5:B453,B454,BJ$5:BJ453,BJ454),2))</f>
        <v/>
      </c>
      <c r="AZ454" s="79" t="str">
        <f aca="false">IF(AM454="","",ROUND(AY454+AM454,2))</f>
        <v/>
      </c>
      <c r="BA454" s="79" t="str">
        <f aca="false">IF(B454="","",ROUND(SUMIFS(AM$5:AM453,B$5:B453,"&gt;="&amp;(B454-WEEKDAY(B454,2)+1),B$5:B453,"&lt;="&amp;B454,BJ$5:BJ453,BJ454),2))</f>
        <v/>
      </c>
      <c r="BB454" s="68" t="str">
        <f aca="false">IF(B454="","",IF(AND(AF454&lt;&gt;"",AV454&lt;&gt;"",N(AF454)&gt;N(AV454)*(1+Settings!$C$13)),"Oversized",IF(AX454&gt;Settings!$C$10,"Overtraded",IF(AY454&lt;=-Settings!$C$11*(AW454-AY454),"Daily loss hit",IF(BA454&lt;=-Settings!$C$12*(AW454-BA454),"Weekly loss hit","OK")))))</f>
        <v/>
      </c>
      <c r="BC454" s="69"/>
      <c r="BD454" s="69"/>
      <c r="BE454" s="69"/>
      <c r="BF454" s="73"/>
      <c r="BG454" s="73"/>
      <c r="BH454" s="71"/>
      <c r="BI454" s="71"/>
      <c r="BJ454" s="68" t="str">
        <f aca="false">IF(B454="","",IF(E454="",Settings!$F$5,E454))</f>
        <v/>
      </c>
      <c r="BK454" s="76" t="str">
        <f aca="false">IF(B454="","",IFERROR(INDEX(Settings!$G$5:$G$10,MATCH(BJ454,Settings!$F$5:$F$10,0)),Settings!$G$5))</f>
        <v/>
      </c>
      <c r="BL454" s="82" t="str">
        <f aca="false">IF(I454="","",IFERROR(1/(1/INDEX(Lists!$C$6:$C$17,MATCH(I454,Lists!$B$6:$B$17,0))),""))</f>
        <v/>
      </c>
      <c r="BM454" s="81" t="str">
        <f aca="false">IF(I454="","",IFERROR(1/(1/INDEX(Lists!$D$6:$D$17,MATCH(I454,Lists!$B$6:$B$17,0))),""))</f>
        <v/>
      </c>
      <c r="BN454" s="76" t="str">
        <f aca="false">IF(AN454="","",MAX(BK454,_xlfn.MAXIFS(AN$6:AN454,BJ$6:BJ454,BJ454)))</f>
        <v/>
      </c>
      <c r="BO454" s="83" t="str">
        <f aca="false">IF(AN454="","",(AN454-BN454)/BN454)</f>
        <v/>
      </c>
      <c r="BP454" s="66" t="n">
        <f aca="false">IF(OR(B454="",AL454=""),0,IF(OR(Settings!$C$28="All Accounts",BJ454=Settings!$C$28),1,0))</f>
        <v>0</v>
      </c>
      <c r="BQ454" s="66" t="str">
        <f aca="false">IF(BP454=1,SUM(BP$6:BP454),"")</f>
        <v/>
      </c>
      <c r="BR454" s="76" t="str">
        <f aca="false">IF(BP454=1,ROUND(Settings!$C$29+SUMIFS(AM$6:AM454,BP$6:BP454,1),2),"")</f>
        <v/>
      </c>
      <c r="BS454" s="76" t="str">
        <f aca="false">IF(BP454=1,MAX(Settings!$C$29,MAX(BR$6:BR454)),"")</f>
        <v/>
      </c>
      <c r="BT454" s="83" t="str">
        <f aca="false">IF(BP454=1,(BR454-BS454)/BS454,"")</f>
        <v/>
      </c>
      <c r="BU454" s="66" t="str">
        <f aca="false">IF(BP454=1,IF(AL454="Win",1+IF(BQ454=1,0,INDEX(BU$5:BU453,MATCH(BQ454-1,BQ$5:BQ453,0))),0),"")</f>
        <v/>
      </c>
      <c r="BV454" s="66" t="str">
        <f aca="false">IF(BP454=1,IF(AL454="Loss",1+IF(BQ454=1,0,INDEX(BV$5:BV453,MATCH(BQ454-1,BQ$5:BQ453,0))),0),"")</f>
        <v/>
      </c>
    </row>
    <row r="455" customFormat="false" ht="15" hidden="false" customHeight="false" outlineLevel="0" collapsed="false">
      <c r="A455" s="66" t="str">
        <f aca="false">IF(B455="","",ROW()-5)</f>
        <v/>
      </c>
      <c r="B455" s="67"/>
      <c r="C455" s="68" t="str">
        <f aca="false">IF(B455="","",CHOOSE(WEEKDAY(B455,2),"Mon","Tue","Wed","Thu","Fri","Sat","Sun"))</f>
        <v/>
      </c>
      <c r="D455" s="66" t="str">
        <f aca="false">IF(B455="","",WEEKNUM(B455,2))</f>
        <v/>
      </c>
      <c r="E455" s="69"/>
      <c r="F455" s="69"/>
      <c r="G455" s="70"/>
      <c r="H455" s="70"/>
      <c r="I455" s="69"/>
      <c r="J455" s="69"/>
      <c r="K455" s="69"/>
      <c r="L455" s="71"/>
      <c r="M455" s="69"/>
      <c r="N455" s="69"/>
      <c r="O455" s="69"/>
      <c r="P455" s="71"/>
      <c r="Q455" s="69"/>
      <c r="R455" s="69"/>
      <c r="S455" s="69"/>
      <c r="T455" s="69"/>
      <c r="U455" s="69"/>
      <c r="V455" s="69"/>
      <c r="W455" s="69"/>
      <c r="X455" s="66" t="str">
        <f aca="false">IF(B455="","",COUNTIF(Q455:W455,"Yes"))</f>
        <v/>
      </c>
      <c r="Y455" s="68" t="str">
        <f aca="false">IF(B455="","",IF(X455&gt;=Settings!$C$16,"A+",IF(X455&gt;=Settings!$C$17,"A",IF(X455&gt;=Settings!$C$18,"B","C"))))</f>
        <v/>
      </c>
      <c r="Z455" s="72"/>
      <c r="AA455" s="72"/>
      <c r="AB455" s="72"/>
      <c r="AC455" s="72"/>
      <c r="AD455" s="72"/>
      <c r="AE455" s="72"/>
      <c r="AF455" s="73"/>
      <c r="AG455" s="74"/>
      <c r="AH455" s="75"/>
      <c r="AI455" s="76" t="str">
        <f aca="false">IF(B455="","",ROUND(IF(AG455="",Settings!$C$5,AG455)*AW455,2))</f>
        <v/>
      </c>
      <c r="AJ455" s="77" t="str">
        <f aca="false">IF(OR(B455="",AB455="",AC455="",AD455=""),"",IFERROR(ROUND(ABS(AD455-AB455)/ABS(AB455-AC455),2),""))</f>
        <v/>
      </c>
      <c r="AK455" s="78" t="str">
        <f aca="false">IF(OR(B455="",AB455="",AC455="",AE455=""),"",IFERROR(ROUND(IF(J455="Short",AB455-AE455,AE455-AB455)/ABS(AB455-AC455),2),""))</f>
        <v/>
      </c>
      <c r="AL455" s="68" t="str">
        <f aca="false">IF(AK455="","",IF(ABS(AK455)&lt;=Settings!$C$6,"BE",IF(AK455&gt;0,"Win","Loss")))</f>
        <v/>
      </c>
      <c r="AM455" s="79" t="str">
        <f aca="false">IF(OR(AK455="",AI455=""),"",ROUND(AK455*AI455-N(AH455),2))</f>
        <v/>
      </c>
      <c r="AN455" s="76" t="str">
        <f aca="false">IF(AM455="","",ROUND(BK455+SUMIFS(AM$6:AM455,BJ$6:BJ455,BJ455),2))</f>
        <v/>
      </c>
      <c r="AO455" s="78" t="str">
        <f aca="false">IF(AK455="","",ROUND(SUMIFS(AK$6:AK455,BJ$6:BJ455,BJ455),2))</f>
        <v/>
      </c>
      <c r="AP455" s="80" t="str">
        <f aca="false">IF(OR(AK455="",BL455=""),"",IFERROR(ROUND(IF(J455="Short",AB455-AE455,AE455-AB455)/BL455,1),""))</f>
        <v/>
      </c>
      <c r="AQ455" s="66" t="str">
        <f aca="false">IF(OR(G455="",H455=""),"",ROUND(MOD(H455-G455,1)*1440,0))</f>
        <v/>
      </c>
      <c r="AR455" s="68" t="str">
        <f aca="false">IF(AQ455="","",IF(AQ455&lt;15,"Under 15m",IF(AQ455&lt;60,"15-60m",IF(AQ455&lt;240,"1-4 hours","4+ hours"))))</f>
        <v/>
      </c>
      <c r="AS455" s="66" t="str">
        <f aca="false">IF(G455="","",HOUR(G455))</f>
        <v/>
      </c>
      <c r="AT455" s="80" t="str">
        <f aca="false">IF(OR(Z455="",AB455="",BL455=""),"",IFERROR(ROUND(IF(J455="Short",Z455-AB455,AB455-Z455)/BL455,1),""))</f>
        <v/>
      </c>
      <c r="AU455" s="68" t="str">
        <f aca="false">IF(OR(AA455="",AC455=""),"",IF(AA455=AC455,"No","Yes"))</f>
        <v/>
      </c>
      <c r="AV455" s="81" t="str">
        <f aca="false">IF(OR(B455="",BL455="",BM455="",AB455="",AC455=""),"",IFERROR(ROUND(AI455/(ABS(AB455-AC455)/BL455*BM455),2),""))</f>
        <v/>
      </c>
      <c r="AW455" s="76" t="str">
        <f aca="false">IF(B455="","",ROUND(BK455+SUMIFS(AM$5:AM454,BJ$5:BJ454,BJ455),2))</f>
        <v/>
      </c>
      <c r="AX455" s="66" t="str">
        <f aca="false">IF(B455="","",COUNTIFS(B$6:B455,B455,BJ$6:BJ455,BJ455))</f>
        <v/>
      </c>
      <c r="AY455" s="79" t="str">
        <f aca="false">IF(B455="","",ROUND(SUMIFS(AM$5:AM454,B$5:B454,B455,BJ$5:BJ454,BJ455),2))</f>
        <v/>
      </c>
      <c r="AZ455" s="79" t="str">
        <f aca="false">IF(AM455="","",ROUND(AY455+AM455,2))</f>
        <v/>
      </c>
      <c r="BA455" s="79" t="str">
        <f aca="false">IF(B455="","",ROUND(SUMIFS(AM$5:AM454,B$5:B454,"&gt;="&amp;(B455-WEEKDAY(B455,2)+1),B$5:B454,"&lt;="&amp;B455,BJ$5:BJ454,BJ455),2))</f>
        <v/>
      </c>
      <c r="BB455" s="68" t="str">
        <f aca="false">IF(B455="","",IF(AND(AF455&lt;&gt;"",AV455&lt;&gt;"",N(AF455)&gt;N(AV455)*(1+Settings!$C$13)),"Oversized",IF(AX455&gt;Settings!$C$10,"Overtraded",IF(AY455&lt;=-Settings!$C$11*(AW455-AY455),"Daily loss hit",IF(BA455&lt;=-Settings!$C$12*(AW455-BA455),"Weekly loss hit","OK")))))</f>
        <v/>
      </c>
      <c r="BC455" s="69"/>
      <c r="BD455" s="69"/>
      <c r="BE455" s="69"/>
      <c r="BF455" s="73"/>
      <c r="BG455" s="73"/>
      <c r="BH455" s="71"/>
      <c r="BI455" s="71"/>
      <c r="BJ455" s="68" t="str">
        <f aca="false">IF(B455="","",IF(E455="",Settings!$F$5,E455))</f>
        <v/>
      </c>
      <c r="BK455" s="76" t="str">
        <f aca="false">IF(B455="","",IFERROR(INDEX(Settings!$G$5:$G$10,MATCH(BJ455,Settings!$F$5:$F$10,0)),Settings!$G$5))</f>
        <v/>
      </c>
      <c r="BL455" s="82" t="str">
        <f aca="false">IF(I455="","",IFERROR(1/(1/INDEX(Lists!$C$6:$C$17,MATCH(I455,Lists!$B$6:$B$17,0))),""))</f>
        <v/>
      </c>
      <c r="BM455" s="81" t="str">
        <f aca="false">IF(I455="","",IFERROR(1/(1/INDEX(Lists!$D$6:$D$17,MATCH(I455,Lists!$B$6:$B$17,0))),""))</f>
        <v/>
      </c>
      <c r="BN455" s="76" t="str">
        <f aca="false">IF(AN455="","",MAX(BK455,_xlfn.MAXIFS(AN$6:AN455,BJ$6:BJ455,BJ455)))</f>
        <v/>
      </c>
      <c r="BO455" s="83" t="str">
        <f aca="false">IF(AN455="","",(AN455-BN455)/BN455)</f>
        <v/>
      </c>
      <c r="BP455" s="66" t="n">
        <f aca="false">IF(OR(B455="",AL455=""),0,IF(OR(Settings!$C$28="All Accounts",BJ455=Settings!$C$28),1,0))</f>
        <v>0</v>
      </c>
      <c r="BQ455" s="66" t="str">
        <f aca="false">IF(BP455=1,SUM(BP$6:BP455),"")</f>
        <v/>
      </c>
      <c r="BR455" s="76" t="str">
        <f aca="false">IF(BP455=1,ROUND(Settings!$C$29+SUMIFS(AM$6:AM455,BP$6:BP455,1),2),"")</f>
        <v/>
      </c>
      <c r="BS455" s="76" t="str">
        <f aca="false">IF(BP455=1,MAX(Settings!$C$29,MAX(BR$6:BR455)),"")</f>
        <v/>
      </c>
      <c r="BT455" s="83" t="str">
        <f aca="false">IF(BP455=1,(BR455-BS455)/BS455,"")</f>
        <v/>
      </c>
      <c r="BU455" s="66" t="str">
        <f aca="false">IF(BP455=1,IF(AL455="Win",1+IF(BQ455=1,0,INDEX(BU$5:BU454,MATCH(BQ455-1,BQ$5:BQ454,0))),0),"")</f>
        <v/>
      </c>
      <c r="BV455" s="66" t="str">
        <f aca="false">IF(BP455=1,IF(AL455="Loss",1+IF(BQ455=1,0,INDEX(BV$5:BV454,MATCH(BQ455-1,BQ$5:BQ454,0))),0),"")</f>
        <v/>
      </c>
    </row>
    <row r="456" customFormat="false" ht="15" hidden="false" customHeight="false" outlineLevel="0" collapsed="false">
      <c r="A456" s="66" t="str">
        <f aca="false">IF(B456="","",ROW()-5)</f>
        <v/>
      </c>
      <c r="B456" s="67"/>
      <c r="C456" s="68" t="str">
        <f aca="false">IF(B456="","",CHOOSE(WEEKDAY(B456,2),"Mon","Tue","Wed","Thu","Fri","Sat","Sun"))</f>
        <v/>
      </c>
      <c r="D456" s="66" t="str">
        <f aca="false">IF(B456="","",WEEKNUM(B456,2))</f>
        <v/>
      </c>
      <c r="E456" s="69"/>
      <c r="F456" s="69"/>
      <c r="G456" s="70"/>
      <c r="H456" s="70"/>
      <c r="I456" s="69"/>
      <c r="J456" s="69"/>
      <c r="K456" s="69"/>
      <c r="L456" s="71"/>
      <c r="M456" s="69"/>
      <c r="N456" s="69"/>
      <c r="O456" s="69"/>
      <c r="P456" s="71"/>
      <c r="Q456" s="69"/>
      <c r="R456" s="69"/>
      <c r="S456" s="69"/>
      <c r="T456" s="69"/>
      <c r="U456" s="69"/>
      <c r="V456" s="69"/>
      <c r="W456" s="69"/>
      <c r="X456" s="66" t="str">
        <f aca="false">IF(B456="","",COUNTIF(Q456:W456,"Yes"))</f>
        <v/>
      </c>
      <c r="Y456" s="68" t="str">
        <f aca="false">IF(B456="","",IF(X456&gt;=Settings!$C$16,"A+",IF(X456&gt;=Settings!$C$17,"A",IF(X456&gt;=Settings!$C$18,"B","C"))))</f>
        <v/>
      </c>
      <c r="Z456" s="72"/>
      <c r="AA456" s="72"/>
      <c r="AB456" s="72"/>
      <c r="AC456" s="72"/>
      <c r="AD456" s="72"/>
      <c r="AE456" s="72"/>
      <c r="AF456" s="73"/>
      <c r="AG456" s="74"/>
      <c r="AH456" s="75"/>
      <c r="AI456" s="76" t="str">
        <f aca="false">IF(B456="","",ROUND(IF(AG456="",Settings!$C$5,AG456)*AW456,2))</f>
        <v/>
      </c>
      <c r="AJ456" s="77" t="str">
        <f aca="false">IF(OR(B456="",AB456="",AC456="",AD456=""),"",IFERROR(ROUND(ABS(AD456-AB456)/ABS(AB456-AC456),2),""))</f>
        <v/>
      </c>
      <c r="AK456" s="78" t="str">
        <f aca="false">IF(OR(B456="",AB456="",AC456="",AE456=""),"",IFERROR(ROUND(IF(J456="Short",AB456-AE456,AE456-AB456)/ABS(AB456-AC456),2),""))</f>
        <v/>
      </c>
      <c r="AL456" s="68" t="str">
        <f aca="false">IF(AK456="","",IF(ABS(AK456)&lt;=Settings!$C$6,"BE",IF(AK456&gt;0,"Win","Loss")))</f>
        <v/>
      </c>
      <c r="AM456" s="79" t="str">
        <f aca="false">IF(OR(AK456="",AI456=""),"",ROUND(AK456*AI456-N(AH456),2))</f>
        <v/>
      </c>
      <c r="AN456" s="76" t="str">
        <f aca="false">IF(AM456="","",ROUND(BK456+SUMIFS(AM$6:AM456,BJ$6:BJ456,BJ456),2))</f>
        <v/>
      </c>
      <c r="AO456" s="78" t="str">
        <f aca="false">IF(AK456="","",ROUND(SUMIFS(AK$6:AK456,BJ$6:BJ456,BJ456),2))</f>
        <v/>
      </c>
      <c r="AP456" s="80" t="str">
        <f aca="false">IF(OR(AK456="",BL456=""),"",IFERROR(ROUND(IF(J456="Short",AB456-AE456,AE456-AB456)/BL456,1),""))</f>
        <v/>
      </c>
      <c r="AQ456" s="66" t="str">
        <f aca="false">IF(OR(G456="",H456=""),"",ROUND(MOD(H456-G456,1)*1440,0))</f>
        <v/>
      </c>
      <c r="AR456" s="68" t="str">
        <f aca="false">IF(AQ456="","",IF(AQ456&lt;15,"Under 15m",IF(AQ456&lt;60,"15-60m",IF(AQ456&lt;240,"1-4 hours","4+ hours"))))</f>
        <v/>
      </c>
      <c r="AS456" s="66" t="str">
        <f aca="false">IF(G456="","",HOUR(G456))</f>
        <v/>
      </c>
      <c r="AT456" s="80" t="str">
        <f aca="false">IF(OR(Z456="",AB456="",BL456=""),"",IFERROR(ROUND(IF(J456="Short",Z456-AB456,AB456-Z456)/BL456,1),""))</f>
        <v/>
      </c>
      <c r="AU456" s="68" t="str">
        <f aca="false">IF(OR(AA456="",AC456=""),"",IF(AA456=AC456,"No","Yes"))</f>
        <v/>
      </c>
      <c r="AV456" s="81" t="str">
        <f aca="false">IF(OR(B456="",BL456="",BM456="",AB456="",AC456=""),"",IFERROR(ROUND(AI456/(ABS(AB456-AC456)/BL456*BM456),2),""))</f>
        <v/>
      </c>
      <c r="AW456" s="76" t="str">
        <f aca="false">IF(B456="","",ROUND(BK456+SUMIFS(AM$5:AM455,BJ$5:BJ455,BJ456),2))</f>
        <v/>
      </c>
      <c r="AX456" s="66" t="str">
        <f aca="false">IF(B456="","",COUNTIFS(B$6:B456,B456,BJ$6:BJ456,BJ456))</f>
        <v/>
      </c>
      <c r="AY456" s="79" t="str">
        <f aca="false">IF(B456="","",ROUND(SUMIFS(AM$5:AM455,B$5:B455,B456,BJ$5:BJ455,BJ456),2))</f>
        <v/>
      </c>
      <c r="AZ456" s="79" t="str">
        <f aca="false">IF(AM456="","",ROUND(AY456+AM456,2))</f>
        <v/>
      </c>
      <c r="BA456" s="79" t="str">
        <f aca="false">IF(B456="","",ROUND(SUMIFS(AM$5:AM455,B$5:B455,"&gt;="&amp;(B456-WEEKDAY(B456,2)+1),B$5:B455,"&lt;="&amp;B456,BJ$5:BJ455,BJ456),2))</f>
        <v/>
      </c>
      <c r="BB456" s="68" t="str">
        <f aca="false">IF(B456="","",IF(AND(AF456&lt;&gt;"",AV456&lt;&gt;"",N(AF456)&gt;N(AV456)*(1+Settings!$C$13)),"Oversized",IF(AX456&gt;Settings!$C$10,"Overtraded",IF(AY456&lt;=-Settings!$C$11*(AW456-AY456),"Daily loss hit",IF(BA456&lt;=-Settings!$C$12*(AW456-BA456),"Weekly loss hit","OK")))))</f>
        <v/>
      </c>
      <c r="BC456" s="69"/>
      <c r="BD456" s="69"/>
      <c r="BE456" s="69"/>
      <c r="BF456" s="73"/>
      <c r="BG456" s="73"/>
      <c r="BH456" s="71"/>
      <c r="BI456" s="71"/>
      <c r="BJ456" s="68" t="str">
        <f aca="false">IF(B456="","",IF(E456="",Settings!$F$5,E456))</f>
        <v/>
      </c>
      <c r="BK456" s="76" t="str">
        <f aca="false">IF(B456="","",IFERROR(INDEX(Settings!$G$5:$G$10,MATCH(BJ456,Settings!$F$5:$F$10,0)),Settings!$G$5))</f>
        <v/>
      </c>
      <c r="BL456" s="82" t="str">
        <f aca="false">IF(I456="","",IFERROR(1/(1/INDEX(Lists!$C$6:$C$17,MATCH(I456,Lists!$B$6:$B$17,0))),""))</f>
        <v/>
      </c>
      <c r="BM456" s="81" t="str">
        <f aca="false">IF(I456="","",IFERROR(1/(1/INDEX(Lists!$D$6:$D$17,MATCH(I456,Lists!$B$6:$B$17,0))),""))</f>
        <v/>
      </c>
      <c r="BN456" s="76" t="str">
        <f aca="false">IF(AN456="","",MAX(BK456,_xlfn.MAXIFS(AN$6:AN456,BJ$6:BJ456,BJ456)))</f>
        <v/>
      </c>
      <c r="BO456" s="83" t="str">
        <f aca="false">IF(AN456="","",(AN456-BN456)/BN456)</f>
        <v/>
      </c>
      <c r="BP456" s="66" t="n">
        <f aca="false">IF(OR(B456="",AL456=""),0,IF(OR(Settings!$C$28="All Accounts",BJ456=Settings!$C$28),1,0))</f>
        <v>0</v>
      </c>
      <c r="BQ456" s="66" t="str">
        <f aca="false">IF(BP456=1,SUM(BP$6:BP456),"")</f>
        <v/>
      </c>
      <c r="BR456" s="76" t="str">
        <f aca="false">IF(BP456=1,ROUND(Settings!$C$29+SUMIFS(AM$6:AM456,BP$6:BP456,1),2),"")</f>
        <v/>
      </c>
      <c r="BS456" s="76" t="str">
        <f aca="false">IF(BP456=1,MAX(Settings!$C$29,MAX(BR$6:BR456)),"")</f>
        <v/>
      </c>
      <c r="BT456" s="83" t="str">
        <f aca="false">IF(BP456=1,(BR456-BS456)/BS456,"")</f>
        <v/>
      </c>
      <c r="BU456" s="66" t="str">
        <f aca="false">IF(BP456=1,IF(AL456="Win",1+IF(BQ456=1,0,INDEX(BU$5:BU455,MATCH(BQ456-1,BQ$5:BQ455,0))),0),"")</f>
        <v/>
      </c>
      <c r="BV456" s="66" t="str">
        <f aca="false">IF(BP456=1,IF(AL456="Loss",1+IF(BQ456=1,0,INDEX(BV$5:BV455,MATCH(BQ456-1,BQ$5:BQ455,0))),0),"")</f>
        <v/>
      </c>
    </row>
    <row r="457" customFormat="false" ht="15" hidden="false" customHeight="false" outlineLevel="0" collapsed="false">
      <c r="A457" s="66" t="str">
        <f aca="false">IF(B457="","",ROW()-5)</f>
        <v/>
      </c>
      <c r="B457" s="67"/>
      <c r="C457" s="68" t="str">
        <f aca="false">IF(B457="","",CHOOSE(WEEKDAY(B457,2),"Mon","Tue","Wed","Thu","Fri","Sat","Sun"))</f>
        <v/>
      </c>
      <c r="D457" s="66" t="str">
        <f aca="false">IF(B457="","",WEEKNUM(B457,2))</f>
        <v/>
      </c>
      <c r="E457" s="69"/>
      <c r="F457" s="69"/>
      <c r="G457" s="70"/>
      <c r="H457" s="70"/>
      <c r="I457" s="69"/>
      <c r="J457" s="69"/>
      <c r="K457" s="69"/>
      <c r="L457" s="71"/>
      <c r="M457" s="69"/>
      <c r="N457" s="69"/>
      <c r="O457" s="69"/>
      <c r="P457" s="71"/>
      <c r="Q457" s="69"/>
      <c r="R457" s="69"/>
      <c r="S457" s="69"/>
      <c r="T457" s="69"/>
      <c r="U457" s="69"/>
      <c r="V457" s="69"/>
      <c r="W457" s="69"/>
      <c r="X457" s="66" t="str">
        <f aca="false">IF(B457="","",COUNTIF(Q457:W457,"Yes"))</f>
        <v/>
      </c>
      <c r="Y457" s="68" t="str">
        <f aca="false">IF(B457="","",IF(X457&gt;=Settings!$C$16,"A+",IF(X457&gt;=Settings!$C$17,"A",IF(X457&gt;=Settings!$C$18,"B","C"))))</f>
        <v/>
      </c>
      <c r="Z457" s="72"/>
      <c r="AA457" s="72"/>
      <c r="AB457" s="72"/>
      <c r="AC457" s="72"/>
      <c r="AD457" s="72"/>
      <c r="AE457" s="72"/>
      <c r="AF457" s="73"/>
      <c r="AG457" s="74"/>
      <c r="AH457" s="75"/>
      <c r="AI457" s="76" t="str">
        <f aca="false">IF(B457="","",ROUND(IF(AG457="",Settings!$C$5,AG457)*AW457,2))</f>
        <v/>
      </c>
      <c r="AJ457" s="77" t="str">
        <f aca="false">IF(OR(B457="",AB457="",AC457="",AD457=""),"",IFERROR(ROUND(ABS(AD457-AB457)/ABS(AB457-AC457),2),""))</f>
        <v/>
      </c>
      <c r="AK457" s="78" t="str">
        <f aca="false">IF(OR(B457="",AB457="",AC457="",AE457=""),"",IFERROR(ROUND(IF(J457="Short",AB457-AE457,AE457-AB457)/ABS(AB457-AC457),2),""))</f>
        <v/>
      </c>
      <c r="AL457" s="68" t="str">
        <f aca="false">IF(AK457="","",IF(ABS(AK457)&lt;=Settings!$C$6,"BE",IF(AK457&gt;0,"Win","Loss")))</f>
        <v/>
      </c>
      <c r="AM457" s="79" t="str">
        <f aca="false">IF(OR(AK457="",AI457=""),"",ROUND(AK457*AI457-N(AH457),2))</f>
        <v/>
      </c>
      <c r="AN457" s="76" t="str">
        <f aca="false">IF(AM457="","",ROUND(BK457+SUMIFS(AM$6:AM457,BJ$6:BJ457,BJ457),2))</f>
        <v/>
      </c>
      <c r="AO457" s="78" t="str">
        <f aca="false">IF(AK457="","",ROUND(SUMIFS(AK$6:AK457,BJ$6:BJ457,BJ457),2))</f>
        <v/>
      </c>
      <c r="AP457" s="80" t="str">
        <f aca="false">IF(OR(AK457="",BL457=""),"",IFERROR(ROUND(IF(J457="Short",AB457-AE457,AE457-AB457)/BL457,1),""))</f>
        <v/>
      </c>
      <c r="AQ457" s="66" t="str">
        <f aca="false">IF(OR(G457="",H457=""),"",ROUND(MOD(H457-G457,1)*1440,0))</f>
        <v/>
      </c>
      <c r="AR457" s="68" t="str">
        <f aca="false">IF(AQ457="","",IF(AQ457&lt;15,"Under 15m",IF(AQ457&lt;60,"15-60m",IF(AQ457&lt;240,"1-4 hours","4+ hours"))))</f>
        <v/>
      </c>
      <c r="AS457" s="66" t="str">
        <f aca="false">IF(G457="","",HOUR(G457))</f>
        <v/>
      </c>
      <c r="AT457" s="80" t="str">
        <f aca="false">IF(OR(Z457="",AB457="",BL457=""),"",IFERROR(ROUND(IF(J457="Short",Z457-AB457,AB457-Z457)/BL457,1),""))</f>
        <v/>
      </c>
      <c r="AU457" s="68" t="str">
        <f aca="false">IF(OR(AA457="",AC457=""),"",IF(AA457=AC457,"No","Yes"))</f>
        <v/>
      </c>
      <c r="AV457" s="81" t="str">
        <f aca="false">IF(OR(B457="",BL457="",BM457="",AB457="",AC457=""),"",IFERROR(ROUND(AI457/(ABS(AB457-AC457)/BL457*BM457),2),""))</f>
        <v/>
      </c>
      <c r="AW457" s="76" t="str">
        <f aca="false">IF(B457="","",ROUND(BK457+SUMIFS(AM$5:AM456,BJ$5:BJ456,BJ457),2))</f>
        <v/>
      </c>
      <c r="AX457" s="66" t="str">
        <f aca="false">IF(B457="","",COUNTIFS(B$6:B457,B457,BJ$6:BJ457,BJ457))</f>
        <v/>
      </c>
      <c r="AY457" s="79" t="str">
        <f aca="false">IF(B457="","",ROUND(SUMIFS(AM$5:AM456,B$5:B456,B457,BJ$5:BJ456,BJ457),2))</f>
        <v/>
      </c>
      <c r="AZ457" s="79" t="str">
        <f aca="false">IF(AM457="","",ROUND(AY457+AM457,2))</f>
        <v/>
      </c>
      <c r="BA457" s="79" t="str">
        <f aca="false">IF(B457="","",ROUND(SUMIFS(AM$5:AM456,B$5:B456,"&gt;="&amp;(B457-WEEKDAY(B457,2)+1),B$5:B456,"&lt;="&amp;B457,BJ$5:BJ456,BJ457),2))</f>
        <v/>
      </c>
      <c r="BB457" s="68" t="str">
        <f aca="false">IF(B457="","",IF(AND(AF457&lt;&gt;"",AV457&lt;&gt;"",N(AF457)&gt;N(AV457)*(1+Settings!$C$13)),"Oversized",IF(AX457&gt;Settings!$C$10,"Overtraded",IF(AY457&lt;=-Settings!$C$11*(AW457-AY457),"Daily loss hit",IF(BA457&lt;=-Settings!$C$12*(AW457-BA457),"Weekly loss hit","OK")))))</f>
        <v/>
      </c>
      <c r="BC457" s="69"/>
      <c r="BD457" s="69"/>
      <c r="BE457" s="69"/>
      <c r="BF457" s="73"/>
      <c r="BG457" s="73"/>
      <c r="BH457" s="71"/>
      <c r="BI457" s="71"/>
      <c r="BJ457" s="68" t="str">
        <f aca="false">IF(B457="","",IF(E457="",Settings!$F$5,E457))</f>
        <v/>
      </c>
      <c r="BK457" s="76" t="str">
        <f aca="false">IF(B457="","",IFERROR(INDEX(Settings!$G$5:$G$10,MATCH(BJ457,Settings!$F$5:$F$10,0)),Settings!$G$5))</f>
        <v/>
      </c>
      <c r="BL457" s="82" t="str">
        <f aca="false">IF(I457="","",IFERROR(1/(1/INDEX(Lists!$C$6:$C$17,MATCH(I457,Lists!$B$6:$B$17,0))),""))</f>
        <v/>
      </c>
      <c r="BM457" s="81" t="str">
        <f aca="false">IF(I457="","",IFERROR(1/(1/INDEX(Lists!$D$6:$D$17,MATCH(I457,Lists!$B$6:$B$17,0))),""))</f>
        <v/>
      </c>
      <c r="BN457" s="76" t="str">
        <f aca="false">IF(AN457="","",MAX(BK457,_xlfn.MAXIFS(AN$6:AN457,BJ$6:BJ457,BJ457)))</f>
        <v/>
      </c>
      <c r="BO457" s="83" t="str">
        <f aca="false">IF(AN457="","",(AN457-BN457)/BN457)</f>
        <v/>
      </c>
      <c r="BP457" s="66" t="n">
        <f aca="false">IF(OR(B457="",AL457=""),0,IF(OR(Settings!$C$28="All Accounts",BJ457=Settings!$C$28),1,0))</f>
        <v>0</v>
      </c>
      <c r="BQ457" s="66" t="str">
        <f aca="false">IF(BP457=1,SUM(BP$6:BP457),"")</f>
        <v/>
      </c>
      <c r="BR457" s="76" t="str">
        <f aca="false">IF(BP457=1,ROUND(Settings!$C$29+SUMIFS(AM$6:AM457,BP$6:BP457,1),2),"")</f>
        <v/>
      </c>
      <c r="BS457" s="76" t="str">
        <f aca="false">IF(BP457=1,MAX(Settings!$C$29,MAX(BR$6:BR457)),"")</f>
        <v/>
      </c>
      <c r="BT457" s="83" t="str">
        <f aca="false">IF(BP457=1,(BR457-BS457)/BS457,"")</f>
        <v/>
      </c>
      <c r="BU457" s="66" t="str">
        <f aca="false">IF(BP457=1,IF(AL457="Win",1+IF(BQ457=1,0,INDEX(BU$5:BU456,MATCH(BQ457-1,BQ$5:BQ456,0))),0),"")</f>
        <v/>
      </c>
      <c r="BV457" s="66" t="str">
        <f aca="false">IF(BP457=1,IF(AL457="Loss",1+IF(BQ457=1,0,INDEX(BV$5:BV456,MATCH(BQ457-1,BQ$5:BQ456,0))),0),"")</f>
        <v/>
      </c>
    </row>
    <row r="458" customFormat="false" ht="15" hidden="false" customHeight="false" outlineLevel="0" collapsed="false">
      <c r="A458" s="66" t="str">
        <f aca="false">IF(B458="","",ROW()-5)</f>
        <v/>
      </c>
      <c r="B458" s="67"/>
      <c r="C458" s="68" t="str">
        <f aca="false">IF(B458="","",CHOOSE(WEEKDAY(B458,2),"Mon","Tue","Wed","Thu","Fri","Sat","Sun"))</f>
        <v/>
      </c>
      <c r="D458" s="66" t="str">
        <f aca="false">IF(B458="","",WEEKNUM(B458,2))</f>
        <v/>
      </c>
      <c r="E458" s="69"/>
      <c r="F458" s="69"/>
      <c r="G458" s="70"/>
      <c r="H458" s="70"/>
      <c r="I458" s="69"/>
      <c r="J458" s="69"/>
      <c r="K458" s="69"/>
      <c r="L458" s="71"/>
      <c r="M458" s="69"/>
      <c r="N458" s="69"/>
      <c r="O458" s="69"/>
      <c r="P458" s="71"/>
      <c r="Q458" s="69"/>
      <c r="R458" s="69"/>
      <c r="S458" s="69"/>
      <c r="T458" s="69"/>
      <c r="U458" s="69"/>
      <c r="V458" s="69"/>
      <c r="W458" s="69"/>
      <c r="X458" s="66" t="str">
        <f aca="false">IF(B458="","",COUNTIF(Q458:W458,"Yes"))</f>
        <v/>
      </c>
      <c r="Y458" s="68" t="str">
        <f aca="false">IF(B458="","",IF(X458&gt;=Settings!$C$16,"A+",IF(X458&gt;=Settings!$C$17,"A",IF(X458&gt;=Settings!$C$18,"B","C"))))</f>
        <v/>
      </c>
      <c r="Z458" s="72"/>
      <c r="AA458" s="72"/>
      <c r="AB458" s="72"/>
      <c r="AC458" s="72"/>
      <c r="AD458" s="72"/>
      <c r="AE458" s="72"/>
      <c r="AF458" s="73"/>
      <c r="AG458" s="74"/>
      <c r="AH458" s="75"/>
      <c r="AI458" s="76" t="str">
        <f aca="false">IF(B458="","",ROUND(IF(AG458="",Settings!$C$5,AG458)*AW458,2))</f>
        <v/>
      </c>
      <c r="AJ458" s="77" t="str">
        <f aca="false">IF(OR(B458="",AB458="",AC458="",AD458=""),"",IFERROR(ROUND(ABS(AD458-AB458)/ABS(AB458-AC458),2),""))</f>
        <v/>
      </c>
      <c r="AK458" s="78" t="str">
        <f aca="false">IF(OR(B458="",AB458="",AC458="",AE458=""),"",IFERROR(ROUND(IF(J458="Short",AB458-AE458,AE458-AB458)/ABS(AB458-AC458),2),""))</f>
        <v/>
      </c>
      <c r="AL458" s="68" t="str">
        <f aca="false">IF(AK458="","",IF(ABS(AK458)&lt;=Settings!$C$6,"BE",IF(AK458&gt;0,"Win","Loss")))</f>
        <v/>
      </c>
      <c r="AM458" s="79" t="str">
        <f aca="false">IF(OR(AK458="",AI458=""),"",ROUND(AK458*AI458-N(AH458),2))</f>
        <v/>
      </c>
      <c r="AN458" s="76" t="str">
        <f aca="false">IF(AM458="","",ROUND(BK458+SUMIFS(AM$6:AM458,BJ$6:BJ458,BJ458),2))</f>
        <v/>
      </c>
      <c r="AO458" s="78" t="str">
        <f aca="false">IF(AK458="","",ROUND(SUMIFS(AK$6:AK458,BJ$6:BJ458,BJ458),2))</f>
        <v/>
      </c>
      <c r="AP458" s="80" t="str">
        <f aca="false">IF(OR(AK458="",BL458=""),"",IFERROR(ROUND(IF(J458="Short",AB458-AE458,AE458-AB458)/BL458,1),""))</f>
        <v/>
      </c>
      <c r="AQ458" s="66" t="str">
        <f aca="false">IF(OR(G458="",H458=""),"",ROUND(MOD(H458-G458,1)*1440,0))</f>
        <v/>
      </c>
      <c r="AR458" s="68" t="str">
        <f aca="false">IF(AQ458="","",IF(AQ458&lt;15,"Under 15m",IF(AQ458&lt;60,"15-60m",IF(AQ458&lt;240,"1-4 hours","4+ hours"))))</f>
        <v/>
      </c>
      <c r="AS458" s="66" t="str">
        <f aca="false">IF(G458="","",HOUR(G458))</f>
        <v/>
      </c>
      <c r="AT458" s="80" t="str">
        <f aca="false">IF(OR(Z458="",AB458="",BL458=""),"",IFERROR(ROUND(IF(J458="Short",Z458-AB458,AB458-Z458)/BL458,1),""))</f>
        <v/>
      </c>
      <c r="AU458" s="68" t="str">
        <f aca="false">IF(OR(AA458="",AC458=""),"",IF(AA458=AC458,"No","Yes"))</f>
        <v/>
      </c>
      <c r="AV458" s="81" t="str">
        <f aca="false">IF(OR(B458="",BL458="",BM458="",AB458="",AC458=""),"",IFERROR(ROUND(AI458/(ABS(AB458-AC458)/BL458*BM458),2),""))</f>
        <v/>
      </c>
      <c r="AW458" s="76" t="str">
        <f aca="false">IF(B458="","",ROUND(BK458+SUMIFS(AM$5:AM457,BJ$5:BJ457,BJ458),2))</f>
        <v/>
      </c>
      <c r="AX458" s="66" t="str">
        <f aca="false">IF(B458="","",COUNTIFS(B$6:B458,B458,BJ$6:BJ458,BJ458))</f>
        <v/>
      </c>
      <c r="AY458" s="79" t="str">
        <f aca="false">IF(B458="","",ROUND(SUMIFS(AM$5:AM457,B$5:B457,B458,BJ$5:BJ457,BJ458),2))</f>
        <v/>
      </c>
      <c r="AZ458" s="79" t="str">
        <f aca="false">IF(AM458="","",ROUND(AY458+AM458,2))</f>
        <v/>
      </c>
      <c r="BA458" s="79" t="str">
        <f aca="false">IF(B458="","",ROUND(SUMIFS(AM$5:AM457,B$5:B457,"&gt;="&amp;(B458-WEEKDAY(B458,2)+1),B$5:B457,"&lt;="&amp;B458,BJ$5:BJ457,BJ458),2))</f>
        <v/>
      </c>
      <c r="BB458" s="68" t="str">
        <f aca="false">IF(B458="","",IF(AND(AF458&lt;&gt;"",AV458&lt;&gt;"",N(AF458)&gt;N(AV458)*(1+Settings!$C$13)),"Oversized",IF(AX458&gt;Settings!$C$10,"Overtraded",IF(AY458&lt;=-Settings!$C$11*(AW458-AY458),"Daily loss hit",IF(BA458&lt;=-Settings!$C$12*(AW458-BA458),"Weekly loss hit","OK")))))</f>
        <v/>
      </c>
      <c r="BC458" s="69"/>
      <c r="BD458" s="69"/>
      <c r="BE458" s="69"/>
      <c r="BF458" s="73"/>
      <c r="BG458" s="73"/>
      <c r="BH458" s="71"/>
      <c r="BI458" s="71"/>
      <c r="BJ458" s="68" t="str">
        <f aca="false">IF(B458="","",IF(E458="",Settings!$F$5,E458))</f>
        <v/>
      </c>
      <c r="BK458" s="76" t="str">
        <f aca="false">IF(B458="","",IFERROR(INDEX(Settings!$G$5:$G$10,MATCH(BJ458,Settings!$F$5:$F$10,0)),Settings!$G$5))</f>
        <v/>
      </c>
      <c r="BL458" s="82" t="str">
        <f aca="false">IF(I458="","",IFERROR(1/(1/INDEX(Lists!$C$6:$C$17,MATCH(I458,Lists!$B$6:$B$17,0))),""))</f>
        <v/>
      </c>
      <c r="BM458" s="81" t="str">
        <f aca="false">IF(I458="","",IFERROR(1/(1/INDEX(Lists!$D$6:$D$17,MATCH(I458,Lists!$B$6:$B$17,0))),""))</f>
        <v/>
      </c>
      <c r="BN458" s="76" t="str">
        <f aca="false">IF(AN458="","",MAX(BK458,_xlfn.MAXIFS(AN$6:AN458,BJ$6:BJ458,BJ458)))</f>
        <v/>
      </c>
      <c r="BO458" s="83" t="str">
        <f aca="false">IF(AN458="","",(AN458-BN458)/BN458)</f>
        <v/>
      </c>
      <c r="BP458" s="66" t="n">
        <f aca="false">IF(OR(B458="",AL458=""),0,IF(OR(Settings!$C$28="All Accounts",BJ458=Settings!$C$28),1,0))</f>
        <v>0</v>
      </c>
      <c r="BQ458" s="66" t="str">
        <f aca="false">IF(BP458=1,SUM(BP$6:BP458),"")</f>
        <v/>
      </c>
      <c r="BR458" s="76" t="str">
        <f aca="false">IF(BP458=1,ROUND(Settings!$C$29+SUMIFS(AM$6:AM458,BP$6:BP458,1),2),"")</f>
        <v/>
      </c>
      <c r="BS458" s="76" t="str">
        <f aca="false">IF(BP458=1,MAX(Settings!$C$29,MAX(BR$6:BR458)),"")</f>
        <v/>
      </c>
      <c r="BT458" s="83" t="str">
        <f aca="false">IF(BP458=1,(BR458-BS458)/BS458,"")</f>
        <v/>
      </c>
      <c r="BU458" s="66" t="str">
        <f aca="false">IF(BP458=1,IF(AL458="Win",1+IF(BQ458=1,0,INDEX(BU$5:BU457,MATCH(BQ458-1,BQ$5:BQ457,0))),0),"")</f>
        <v/>
      </c>
      <c r="BV458" s="66" t="str">
        <f aca="false">IF(BP458=1,IF(AL458="Loss",1+IF(BQ458=1,0,INDEX(BV$5:BV457,MATCH(BQ458-1,BQ$5:BQ457,0))),0),"")</f>
        <v/>
      </c>
    </row>
    <row r="459" customFormat="false" ht="15" hidden="false" customHeight="false" outlineLevel="0" collapsed="false">
      <c r="A459" s="66" t="str">
        <f aca="false">IF(B459="","",ROW()-5)</f>
        <v/>
      </c>
      <c r="B459" s="67"/>
      <c r="C459" s="68" t="str">
        <f aca="false">IF(B459="","",CHOOSE(WEEKDAY(B459,2),"Mon","Tue","Wed","Thu","Fri","Sat","Sun"))</f>
        <v/>
      </c>
      <c r="D459" s="66" t="str">
        <f aca="false">IF(B459="","",WEEKNUM(B459,2))</f>
        <v/>
      </c>
      <c r="E459" s="69"/>
      <c r="F459" s="69"/>
      <c r="G459" s="70"/>
      <c r="H459" s="70"/>
      <c r="I459" s="69"/>
      <c r="J459" s="69"/>
      <c r="K459" s="69"/>
      <c r="L459" s="71"/>
      <c r="M459" s="69"/>
      <c r="N459" s="69"/>
      <c r="O459" s="69"/>
      <c r="P459" s="71"/>
      <c r="Q459" s="69"/>
      <c r="R459" s="69"/>
      <c r="S459" s="69"/>
      <c r="T459" s="69"/>
      <c r="U459" s="69"/>
      <c r="V459" s="69"/>
      <c r="W459" s="69"/>
      <c r="X459" s="66" t="str">
        <f aca="false">IF(B459="","",COUNTIF(Q459:W459,"Yes"))</f>
        <v/>
      </c>
      <c r="Y459" s="68" t="str">
        <f aca="false">IF(B459="","",IF(X459&gt;=Settings!$C$16,"A+",IF(X459&gt;=Settings!$C$17,"A",IF(X459&gt;=Settings!$C$18,"B","C"))))</f>
        <v/>
      </c>
      <c r="Z459" s="72"/>
      <c r="AA459" s="72"/>
      <c r="AB459" s="72"/>
      <c r="AC459" s="72"/>
      <c r="AD459" s="72"/>
      <c r="AE459" s="72"/>
      <c r="AF459" s="73"/>
      <c r="AG459" s="74"/>
      <c r="AH459" s="75"/>
      <c r="AI459" s="76" t="str">
        <f aca="false">IF(B459="","",ROUND(IF(AG459="",Settings!$C$5,AG459)*AW459,2))</f>
        <v/>
      </c>
      <c r="AJ459" s="77" t="str">
        <f aca="false">IF(OR(B459="",AB459="",AC459="",AD459=""),"",IFERROR(ROUND(ABS(AD459-AB459)/ABS(AB459-AC459),2),""))</f>
        <v/>
      </c>
      <c r="AK459" s="78" t="str">
        <f aca="false">IF(OR(B459="",AB459="",AC459="",AE459=""),"",IFERROR(ROUND(IF(J459="Short",AB459-AE459,AE459-AB459)/ABS(AB459-AC459),2),""))</f>
        <v/>
      </c>
      <c r="AL459" s="68" t="str">
        <f aca="false">IF(AK459="","",IF(ABS(AK459)&lt;=Settings!$C$6,"BE",IF(AK459&gt;0,"Win","Loss")))</f>
        <v/>
      </c>
      <c r="AM459" s="79" t="str">
        <f aca="false">IF(OR(AK459="",AI459=""),"",ROUND(AK459*AI459-N(AH459),2))</f>
        <v/>
      </c>
      <c r="AN459" s="76" t="str">
        <f aca="false">IF(AM459="","",ROUND(BK459+SUMIFS(AM$6:AM459,BJ$6:BJ459,BJ459),2))</f>
        <v/>
      </c>
      <c r="AO459" s="78" t="str">
        <f aca="false">IF(AK459="","",ROUND(SUMIFS(AK$6:AK459,BJ$6:BJ459,BJ459),2))</f>
        <v/>
      </c>
      <c r="AP459" s="80" t="str">
        <f aca="false">IF(OR(AK459="",BL459=""),"",IFERROR(ROUND(IF(J459="Short",AB459-AE459,AE459-AB459)/BL459,1),""))</f>
        <v/>
      </c>
      <c r="AQ459" s="66" t="str">
        <f aca="false">IF(OR(G459="",H459=""),"",ROUND(MOD(H459-G459,1)*1440,0))</f>
        <v/>
      </c>
      <c r="AR459" s="68" t="str">
        <f aca="false">IF(AQ459="","",IF(AQ459&lt;15,"Under 15m",IF(AQ459&lt;60,"15-60m",IF(AQ459&lt;240,"1-4 hours","4+ hours"))))</f>
        <v/>
      </c>
      <c r="AS459" s="66" t="str">
        <f aca="false">IF(G459="","",HOUR(G459))</f>
        <v/>
      </c>
      <c r="AT459" s="80" t="str">
        <f aca="false">IF(OR(Z459="",AB459="",BL459=""),"",IFERROR(ROUND(IF(J459="Short",Z459-AB459,AB459-Z459)/BL459,1),""))</f>
        <v/>
      </c>
      <c r="AU459" s="68" t="str">
        <f aca="false">IF(OR(AA459="",AC459=""),"",IF(AA459=AC459,"No","Yes"))</f>
        <v/>
      </c>
      <c r="AV459" s="81" t="str">
        <f aca="false">IF(OR(B459="",BL459="",BM459="",AB459="",AC459=""),"",IFERROR(ROUND(AI459/(ABS(AB459-AC459)/BL459*BM459),2),""))</f>
        <v/>
      </c>
      <c r="AW459" s="76" t="str">
        <f aca="false">IF(B459="","",ROUND(BK459+SUMIFS(AM$5:AM458,BJ$5:BJ458,BJ459),2))</f>
        <v/>
      </c>
      <c r="AX459" s="66" t="str">
        <f aca="false">IF(B459="","",COUNTIFS(B$6:B459,B459,BJ$6:BJ459,BJ459))</f>
        <v/>
      </c>
      <c r="AY459" s="79" t="str">
        <f aca="false">IF(B459="","",ROUND(SUMIFS(AM$5:AM458,B$5:B458,B459,BJ$5:BJ458,BJ459),2))</f>
        <v/>
      </c>
      <c r="AZ459" s="79" t="str">
        <f aca="false">IF(AM459="","",ROUND(AY459+AM459,2))</f>
        <v/>
      </c>
      <c r="BA459" s="79" t="str">
        <f aca="false">IF(B459="","",ROUND(SUMIFS(AM$5:AM458,B$5:B458,"&gt;="&amp;(B459-WEEKDAY(B459,2)+1),B$5:B458,"&lt;="&amp;B459,BJ$5:BJ458,BJ459),2))</f>
        <v/>
      </c>
      <c r="BB459" s="68" t="str">
        <f aca="false">IF(B459="","",IF(AND(AF459&lt;&gt;"",AV459&lt;&gt;"",N(AF459)&gt;N(AV459)*(1+Settings!$C$13)),"Oversized",IF(AX459&gt;Settings!$C$10,"Overtraded",IF(AY459&lt;=-Settings!$C$11*(AW459-AY459),"Daily loss hit",IF(BA459&lt;=-Settings!$C$12*(AW459-BA459),"Weekly loss hit","OK")))))</f>
        <v/>
      </c>
      <c r="BC459" s="69"/>
      <c r="BD459" s="69"/>
      <c r="BE459" s="69"/>
      <c r="BF459" s="73"/>
      <c r="BG459" s="73"/>
      <c r="BH459" s="71"/>
      <c r="BI459" s="71"/>
      <c r="BJ459" s="68" t="str">
        <f aca="false">IF(B459="","",IF(E459="",Settings!$F$5,E459))</f>
        <v/>
      </c>
      <c r="BK459" s="76" t="str">
        <f aca="false">IF(B459="","",IFERROR(INDEX(Settings!$G$5:$G$10,MATCH(BJ459,Settings!$F$5:$F$10,0)),Settings!$G$5))</f>
        <v/>
      </c>
      <c r="BL459" s="82" t="str">
        <f aca="false">IF(I459="","",IFERROR(1/(1/INDEX(Lists!$C$6:$C$17,MATCH(I459,Lists!$B$6:$B$17,0))),""))</f>
        <v/>
      </c>
      <c r="BM459" s="81" t="str">
        <f aca="false">IF(I459="","",IFERROR(1/(1/INDEX(Lists!$D$6:$D$17,MATCH(I459,Lists!$B$6:$B$17,0))),""))</f>
        <v/>
      </c>
      <c r="BN459" s="76" t="str">
        <f aca="false">IF(AN459="","",MAX(BK459,_xlfn.MAXIFS(AN$6:AN459,BJ$6:BJ459,BJ459)))</f>
        <v/>
      </c>
      <c r="BO459" s="83" t="str">
        <f aca="false">IF(AN459="","",(AN459-BN459)/BN459)</f>
        <v/>
      </c>
      <c r="BP459" s="66" t="n">
        <f aca="false">IF(OR(B459="",AL459=""),0,IF(OR(Settings!$C$28="All Accounts",BJ459=Settings!$C$28),1,0))</f>
        <v>0</v>
      </c>
      <c r="BQ459" s="66" t="str">
        <f aca="false">IF(BP459=1,SUM(BP$6:BP459),"")</f>
        <v/>
      </c>
      <c r="BR459" s="76" t="str">
        <f aca="false">IF(BP459=1,ROUND(Settings!$C$29+SUMIFS(AM$6:AM459,BP$6:BP459,1),2),"")</f>
        <v/>
      </c>
      <c r="BS459" s="76" t="str">
        <f aca="false">IF(BP459=1,MAX(Settings!$C$29,MAX(BR$6:BR459)),"")</f>
        <v/>
      </c>
      <c r="BT459" s="83" t="str">
        <f aca="false">IF(BP459=1,(BR459-BS459)/BS459,"")</f>
        <v/>
      </c>
      <c r="BU459" s="66" t="str">
        <f aca="false">IF(BP459=1,IF(AL459="Win",1+IF(BQ459=1,0,INDEX(BU$5:BU458,MATCH(BQ459-1,BQ$5:BQ458,0))),0),"")</f>
        <v/>
      </c>
      <c r="BV459" s="66" t="str">
        <f aca="false">IF(BP459=1,IF(AL459="Loss",1+IF(BQ459=1,0,INDEX(BV$5:BV458,MATCH(BQ459-1,BQ$5:BQ458,0))),0),"")</f>
        <v/>
      </c>
    </row>
    <row r="460" customFormat="false" ht="15" hidden="false" customHeight="false" outlineLevel="0" collapsed="false">
      <c r="A460" s="66" t="str">
        <f aca="false">IF(B460="","",ROW()-5)</f>
        <v/>
      </c>
      <c r="B460" s="67"/>
      <c r="C460" s="68" t="str">
        <f aca="false">IF(B460="","",CHOOSE(WEEKDAY(B460,2),"Mon","Tue","Wed","Thu","Fri","Sat","Sun"))</f>
        <v/>
      </c>
      <c r="D460" s="66" t="str">
        <f aca="false">IF(B460="","",WEEKNUM(B460,2))</f>
        <v/>
      </c>
      <c r="E460" s="69"/>
      <c r="F460" s="69"/>
      <c r="G460" s="70"/>
      <c r="H460" s="70"/>
      <c r="I460" s="69"/>
      <c r="J460" s="69"/>
      <c r="K460" s="69"/>
      <c r="L460" s="71"/>
      <c r="M460" s="69"/>
      <c r="N460" s="69"/>
      <c r="O460" s="69"/>
      <c r="P460" s="71"/>
      <c r="Q460" s="69"/>
      <c r="R460" s="69"/>
      <c r="S460" s="69"/>
      <c r="T460" s="69"/>
      <c r="U460" s="69"/>
      <c r="V460" s="69"/>
      <c r="W460" s="69"/>
      <c r="X460" s="66" t="str">
        <f aca="false">IF(B460="","",COUNTIF(Q460:W460,"Yes"))</f>
        <v/>
      </c>
      <c r="Y460" s="68" t="str">
        <f aca="false">IF(B460="","",IF(X460&gt;=Settings!$C$16,"A+",IF(X460&gt;=Settings!$C$17,"A",IF(X460&gt;=Settings!$C$18,"B","C"))))</f>
        <v/>
      </c>
      <c r="Z460" s="72"/>
      <c r="AA460" s="72"/>
      <c r="AB460" s="72"/>
      <c r="AC460" s="72"/>
      <c r="AD460" s="72"/>
      <c r="AE460" s="72"/>
      <c r="AF460" s="73"/>
      <c r="AG460" s="74"/>
      <c r="AH460" s="75"/>
      <c r="AI460" s="76" t="str">
        <f aca="false">IF(B460="","",ROUND(IF(AG460="",Settings!$C$5,AG460)*AW460,2))</f>
        <v/>
      </c>
      <c r="AJ460" s="77" t="str">
        <f aca="false">IF(OR(B460="",AB460="",AC460="",AD460=""),"",IFERROR(ROUND(ABS(AD460-AB460)/ABS(AB460-AC460),2),""))</f>
        <v/>
      </c>
      <c r="AK460" s="78" t="str">
        <f aca="false">IF(OR(B460="",AB460="",AC460="",AE460=""),"",IFERROR(ROUND(IF(J460="Short",AB460-AE460,AE460-AB460)/ABS(AB460-AC460),2),""))</f>
        <v/>
      </c>
      <c r="AL460" s="68" t="str">
        <f aca="false">IF(AK460="","",IF(ABS(AK460)&lt;=Settings!$C$6,"BE",IF(AK460&gt;0,"Win","Loss")))</f>
        <v/>
      </c>
      <c r="AM460" s="79" t="str">
        <f aca="false">IF(OR(AK460="",AI460=""),"",ROUND(AK460*AI460-N(AH460),2))</f>
        <v/>
      </c>
      <c r="AN460" s="76" t="str">
        <f aca="false">IF(AM460="","",ROUND(BK460+SUMIFS(AM$6:AM460,BJ$6:BJ460,BJ460),2))</f>
        <v/>
      </c>
      <c r="AO460" s="78" t="str">
        <f aca="false">IF(AK460="","",ROUND(SUMIFS(AK$6:AK460,BJ$6:BJ460,BJ460),2))</f>
        <v/>
      </c>
      <c r="AP460" s="80" t="str">
        <f aca="false">IF(OR(AK460="",BL460=""),"",IFERROR(ROUND(IF(J460="Short",AB460-AE460,AE460-AB460)/BL460,1),""))</f>
        <v/>
      </c>
      <c r="AQ460" s="66" t="str">
        <f aca="false">IF(OR(G460="",H460=""),"",ROUND(MOD(H460-G460,1)*1440,0))</f>
        <v/>
      </c>
      <c r="AR460" s="68" t="str">
        <f aca="false">IF(AQ460="","",IF(AQ460&lt;15,"Under 15m",IF(AQ460&lt;60,"15-60m",IF(AQ460&lt;240,"1-4 hours","4+ hours"))))</f>
        <v/>
      </c>
      <c r="AS460" s="66" t="str">
        <f aca="false">IF(G460="","",HOUR(G460))</f>
        <v/>
      </c>
      <c r="AT460" s="80" t="str">
        <f aca="false">IF(OR(Z460="",AB460="",BL460=""),"",IFERROR(ROUND(IF(J460="Short",Z460-AB460,AB460-Z460)/BL460,1),""))</f>
        <v/>
      </c>
      <c r="AU460" s="68" t="str">
        <f aca="false">IF(OR(AA460="",AC460=""),"",IF(AA460=AC460,"No","Yes"))</f>
        <v/>
      </c>
      <c r="AV460" s="81" t="str">
        <f aca="false">IF(OR(B460="",BL460="",BM460="",AB460="",AC460=""),"",IFERROR(ROUND(AI460/(ABS(AB460-AC460)/BL460*BM460),2),""))</f>
        <v/>
      </c>
      <c r="AW460" s="76" t="str">
        <f aca="false">IF(B460="","",ROUND(BK460+SUMIFS(AM$5:AM459,BJ$5:BJ459,BJ460),2))</f>
        <v/>
      </c>
      <c r="AX460" s="66" t="str">
        <f aca="false">IF(B460="","",COUNTIFS(B$6:B460,B460,BJ$6:BJ460,BJ460))</f>
        <v/>
      </c>
      <c r="AY460" s="79" t="str">
        <f aca="false">IF(B460="","",ROUND(SUMIFS(AM$5:AM459,B$5:B459,B460,BJ$5:BJ459,BJ460),2))</f>
        <v/>
      </c>
      <c r="AZ460" s="79" t="str">
        <f aca="false">IF(AM460="","",ROUND(AY460+AM460,2))</f>
        <v/>
      </c>
      <c r="BA460" s="79" t="str">
        <f aca="false">IF(B460="","",ROUND(SUMIFS(AM$5:AM459,B$5:B459,"&gt;="&amp;(B460-WEEKDAY(B460,2)+1),B$5:B459,"&lt;="&amp;B460,BJ$5:BJ459,BJ460),2))</f>
        <v/>
      </c>
      <c r="BB460" s="68" t="str">
        <f aca="false">IF(B460="","",IF(AND(AF460&lt;&gt;"",AV460&lt;&gt;"",N(AF460)&gt;N(AV460)*(1+Settings!$C$13)),"Oversized",IF(AX460&gt;Settings!$C$10,"Overtraded",IF(AY460&lt;=-Settings!$C$11*(AW460-AY460),"Daily loss hit",IF(BA460&lt;=-Settings!$C$12*(AW460-BA460),"Weekly loss hit","OK")))))</f>
        <v/>
      </c>
      <c r="BC460" s="69"/>
      <c r="BD460" s="69"/>
      <c r="BE460" s="69"/>
      <c r="BF460" s="73"/>
      <c r="BG460" s="73"/>
      <c r="BH460" s="71"/>
      <c r="BI460" s="71"/>
      <c r="BJ460" s="68" t="str">
        <f aca="false">IF(B460="","",IF(E460="",Settings!$F$5,E460))</f>
        <v/>
      </c>
      <c r="BK460" s="76" t="str">
        <f aca="false">IF(B460="","",IFERROR(INDEX(Settings!$G$5:$G$10,MATCH(BJ460,Settings!$F$5:$F$10,0)),Settings!$G$5))</f>
        <v/>
      </c>
      <c r="BL460" s="82" t="str">
        <f aca="false">IF(I460="","",IFERROR(1/(1/INDEX(Lists!$C$6:$C$17,MATCH(I460,Lists!$B$6:$B$17,0))),""))</f>
        <v/>
      </c>
      <c r="BM460" s="81" t="str">
        <f aca="false">IF(I460="","",IFERROR(1/(1/INDEX(Lists!$D$6:$D$17,MATCH(I460,Lists!$B$6:$B$17,0))),""))</f>
        <v/>
      </c>
      <c r="BN460" s="76" t="str">
        <f aca="false">IF(AN460="","",MAX(BK460,_xlfn.MAXIFS(AN$6:AN460,BJ$6:BJ460,BJ460)))</f>
        <v/>
      </c>
      <c r="BO460" s="83" t="str">
        <f aca="false">IF(AN460="","",(AN460-BN460)/BN460)</f>
        <v/>
      </c>
      <c r="BP460" s="66" t="n">
        <f aca="false">IF(OR(B460="",AL460=""),0,IF(OR(Settings!$C$28="All Accounts",BJ460=Settings!$C$28),1,0))</f>
        <v>0</v>
      </c>
      <c r="BQ460" s="66" t="str">
        <f aca="false">IF(BP460=1,SUM(BP$6:BP460),"")</f>
        <v/>
      </c>
      <c r="BR460" s="76" t="str">
        <f aca="false">IF(BP460=1,ROUND(Settings!$C$29+SUMIFS(AM$6:AM460,BP$6:BP460,1),2),"")</f>
        <v/>
      </c>
      <c r="BS460" s="76" t="str">
        <f aca="false">IF(BP460=1,MAX(Settings!$C$29,MAX(BR$6:BR460)),"")</f>
        <v/>
      </c>
      <c r="BT460" s="83" t="str">
        <f aca="false">IF(BP460=1,(BR460-BS460)/BS460,"")</f>
        <v/>
      </c>
      <c r="BU460" s="66" t="str">
        <f aca="false">IF(BP460=1,IF(AL460="Win",1+IF(BQ460=1,0,INDEX(BU$5:BU459,MATCH(BQ460-1,BQ$5:BQ459,0))),0),"")</f>
        <v/>
      </c>
      <c r="BV460" s="66" t="str">
        <f aca="false">IF(BP460=1,IF(AL460="Loss",1+IF(BQ460=1,0,INDEX(BV$5:BV459,MATCH(BQ460-1,BQ$5:BQ459,0))),0),"")</f>
        <v/>
      </c>
    </row>
    <row r="461" customFormat="false" ht="15" hidden="false" customHeight="false" outlineLevel="0" collapsed="false">
      <c r="A461" s="66" t="str">
        <f aca="false">IF(B461="","",ROW()-5)</f>
        <v/>
      </c>
      <c r="B461" s="67"/>
      <c r="C461" s="68" t="str">
        <f aca="false">IF(B461="","",CHOOSE(WEEKDAY(B461,2),"Mon","Tue","Wed","Thu","Fri","Sat","Sun"))</f>
        <v/>
      </c>
      <c r="D461" s="66" t="str">
        <f aca="false">IF(B461="","",WEEKNUM(B461,2))</f>
        <v/>
      </c>
      <c r="E461" s="69"/>
      <c r="F461" s="69"/>
      <c r="G461" s="70"/>
      <c r="H461" s="70"/>
      <c r="I461" s="69"/>
      <c r="J461" s="69"/>
      <c r="K461" s="69"/>
      <c r="L461" s="71"/>
      <c r="M461" s="69"/>
      <c r="N461" s="69"/>
      <c r="O461" s="69"/>
      <c r="P461" s="71"/>
      <c r="Q461" s="69"/>
      <c r="R461" s="69"/>
      <c r="S461" s="69"/>
      <c r="T461" s="69"/>
      <c r="U461" s="69"/>
      <c r="V461" s="69"/>
      <c r="W461" s="69"/>
      <c r="X461" s="66" t="str">
        <f aca="false">IF(B461="","",COUNTIF(Q461:W461,"Yes"))</f>
        <v/>
      </c>
      <c r="Y461" s="68" t="str">
        <f aca="false">IF(B461="","",IF(X461&gt;=Settings!$C$16,"A+",IF(X461&gt;=Settings!$C$17,"A",IF(X461&gt;=Settings!$C$18,"B","C"))))</f>
        <v/>
      </c>
      <c r="Z461" s="72"/>
      <c r="AA461" s="72"/>
      <c r="AB461" s="72"/>
      <c r="AC461" s="72"/>
      <c r="AD461" s="72"/>
      <c r="AE461" s="72"/>
      <c r="AF461" s="73"/>
      <c r="AG461" s="74"/>
      <c r="AH461" s="75"/>
      <c r="AI461" s="76" t="str">
        <f aca="false">IF(B461="","",ROUND(IF(AG461="",Settings!$C$5,AG461)*AW461,2))</f>
        <v/>
      </c>
      <c r="AJ461" s="77" t="str">
        <f aca="false">IF(OR(B461="",AB461="",AC461="",AD461=""),"",IFERROR(ROUND(ABS(AD461-AB461)/ABS(AB461-AC461),2),""))</f>
        <v/>
      </c>
      <c r="AK461" s="78" t="str">
        <f aca="false">IF(OR(B461="",AB461="",AC461="",AE461=""),"",IFERROR(ROUND(IF(J461="Short",AB461-AE461,AE461-AB461)/ABS(AB461-AC461),2),""))</f>
        <v/>
      </c>
      <c r="AL461" s="68" t="str">
        <f aca="false">IF(AK461="","",IF(ABS(AK461)&lt;=Settings!$C$6,"BE",IF(AK461&gt;0,"Win","Loss")))</f>
        <v/>
      </c>
      <c r="AM461" s="79" t="str">
        <f aca="false">IF(OR(AK461="",AI461=""),"",ROUND(AK461*AI461-N(AH461),2))</f>
        <v/>
      </c>
      <c r="AN461" s="76" t="str">
        <f aca="false">IF(AM461="","",ROUND(BK461+SUMIFS(AM$6:AM461,BJ$6:BJ461,BJ461),2))</f>
        <v/>
      </c>
      <c r="AO461" s="78" t="str">
        <f aca="false">IF(AK461="","",ROUND(SUMIFS(AK$6:AK461,BJ$6:BJ461,BJ461),2))</f>
        <v/>
      </c>
      <c r="AP461" s="80" t="str">
        <f aca="false">IF(OR(AK461="",BL461=""),"",IFERROR(ROUND(IF(J461="Short",AB461-AE461,AE461-AB461)/BL461,1),""))</f>
        <v/>
      </c>
      <c r="AQ461" s="66" t="str">
        <f aca="false">IF(OR(G461="",H461=""),"",ROUND(MOD(H461-G461,1)*1440,0))</f>
        <v/>
      </c>
      <c r="AR461" s="68" t="str">
        <f aca="false">IF(AQ461="","",IF(AQ461&lt;15,"Under 15m",IF(AQ461&lt;60,"15-60m",IF(AQ461&lt;240,"1-4 hours","4+ hours"))))</f>
        <v/>
      </c>
      <c r="AS461" s="66" t="str">
        <f aca="false">IF(G461="","",HOUR(G461))</f>
        <v/>
      </c>
      <c r="AT461" s="80" t="str">
        <f aca="false">IF(OR(Z461="",AB461="",BL461=""),"",IFERROR(ROUND(IF(J461="Short",Z461-AB461,AB461-Z461)/BL461,1),""))</f>
        <v/>
      </c>
      <c r="AU461" s="68" t="str">
        <f aca="false">IF(OR(AA461="",AC461=""),"",IF(AA461=AC461,"No","Yes"))</f>
        <v/>
      </c>
      <c r="AV461" s="81" t="str">
        <f aca="false">IF(OR(B461="",BL461="",BM461="",AB461="",AC461=""),"",IFERROR(ROUND(AI461/(ABS(AB461-AC461)/BL461*BM461),2),""))</f>
        <v/>
      </c>
      <c r="AW461" s="76" t="str">
        <f aca="false">IF(B461="","",ROUND(BK461+SUMIFS(AM$5:AM460,BJ$5:BJ460,BJ461),2))</f>
        <v/>
      </c>
      <c r="AX461" s="66" t="str">
        <f aca="false">IF(B461="","",COUNTIFS(B$6:B461,B461,BJ$6:BJ461,BJ461))</f>
        <v/>
      </c>
      <c r="AY461" s="79" t="str">
        <f aca="false">IF(B461="","",ROUND(SUMIFS(AM$5:AM460,B$5:B460,B461,BJ$5:BJ460,BJ461),2))</f>
        <v/>
      </c>
      <c r="AZ461" s="79" t="str">
        <f aca="false">IF(AM461="","",ROUND(AY461+AM461,2))</f>
        <v/>
      </c>
      <c r="BA461" s="79" t="str">
        <f aca="false">IF(B461="","",ROUND(SUMIFS(AM$5:AM460,B$5:B460,"&gt;="&amp;(B461-WEEKDAY(B461,2)+1),B$5:B460,"&lt;="&amp;B461,BJ$5:BJ460,BJ461),2))</f>
        <v/>
      </c>
      <c r="BB461" s="68" t="str">
        <f aca="false">IF(B461="","",IF(AND(AF461&lt;&gt;"",AV461&lt;&gt;"",N(AF461)&gt;N(AV461)*(1+Settings!$C$13)),"Oversized",IF(AX461&gt;Settings!$C$10,"Overtraded",IF(AY461&lt;=-Settings!$C$11*(AW461-AY461),"Daily loss hit",IF(BA461&lt;=-Settings!$C$12*(AW461-BA461),"Weekly loss hit","OK")))))</f>
        <v/>
      </c>
      <c r="BC461" s="69"/>
      <c r="BD461" s="69"/>
      <c r="BE461" s="69"/>
      <c r="BF461" s="73"/>
      <c r="BG461" s="73"/>
      <c r="BH461" s="71"/>
      <c r="BI461" s="71"/>
      <c r="BJ461" s="68" t="str">
        <f aca="false">IF(B461="","",IF(E461="",Settings!$F$5,E461))</f>
        <v/>
      </c>
      <c r="BK461" s="76" t="str">
        <f aca="false">IF(B461="","",IFERROR(INDEX(Settings!$G$5:$G$10,MATCH(BJ461,Settings!$F$5:$F$10,0)),Settings!$G$5))</f>
        <v/>
      </c>
      <c r="BL461" s="82" t="str">
        <f aca="false">IF(I461="","",IFERROR(1/(1/INDEX(Lists!$C$6:$C$17,MATCH(I461,Lists!$B$6:$B$17,0))),""))</f>
        <v/>
      </c>
      <c r="BM461" s="81" t="str">
        <f aca="false">IF(I461="","",IFERROR(1/(1/INDEX(Lists!$D$6:$D$17,MATCH(I461,Lists!$B$6:$B$17,0))),""))</f>
        <v/>
      </c>
      <c r="BN461" s="76" t="str">
        <f aca="false">IF(AN461="","",MAX(BK461,_xlfn.MAXIFS(AN$6:AN461,BJ$6:BJ461,BJ461)))</f>
        <v/>
      </c>
      <c r="BO461" s="83" t="str">
        <f aca="false">IF(AN461="","",(AN461-BN461)/BN461)</f>
        <v/>
      </c>
      <c r="BP461" s="66" t="n">
        <f aca="false">IF(OR(B461="",AL461=""),0,IF(OR(Settings!$C$28="All Accounts",BJ461=Settings!$C$28),1,0))</f>
        <v>0</v>
      </c>
      <c r="BQ461" s="66" t="str">
        <f aca="false">IF(BP461=1,SUM(BP$6:BP461),"")</f>
        <v/>
      </c>
      <c r="BR461" s="76" t="str">
        <f aca="false">IF(BP461=1,ROUND(Settings!$C$29+SUMIFS(AM$6:AM461,BP$6:BP461,1),2),"")</f>
        <v/>
      </c>
      <c r="BS461" s="76" t="str">
        <f aca="false">IF(BP461=1,MAX(Settings!$C$29,MAX(BR$6:BR461)),"")</f>
        <v/>
      </c>
      <c r="BT461" s="83" t="str">
        <f aca="false">IF(BP461=1,(BR461-BS461)/BS461,"")</f>
        <v/>
      </c>
      <c r="BU461" s="66" t="str">
        <f aca="false">IF(BP461=1,IF(AL461="Win",1+IF(BQ461=1,0,INDEX(BU$5:BU460,MATCH(BQ461-1,BQ$5:BQ460,0))),0),"")</f>
        <v/>
      </c>
      <c r="BV461" s="66" t="str">
        <f aca="false">IF(BP461=1,IF(AL461="Loss",1+IF(BQ461=1,0,INDEX(BV$5:BV460,MATCH(BQ461-1,BQ$5:BQ460,0))),0),"")</f>
        <v/>
      </c>
    </row>
    <row r="462" customFormat="false" ht="15" hidden="false" customHeight="false" outlineLevel="0" collapsed="false">
      <c r="A462" s="66" t="str">
        <f aca="false">IF(B462="","",ROW()-5)</f>
        <v/>
      </c>
      <c r="B462" s="67"/>
      <c r="C462" s="68" t="str">
        <f aca="false">IF(B462="","",CHOOSE(WEEKDAY(B462,2),"Mon","Tue","Wed","Thu","Fri","Sat","Sun"))</f>
        <v/>
      </c>
      <c r="D462" s="66" t="str">
        <f aca="false">IF(B462="","",WEEKNUM(B462,2))</f>
        <v/>
      </c>
      <c r="E462" s="69"/>
      <c r="F462" s="69"/>
      <c r="G462" s="70"/>
      <c r="H462" s="70"/>
      <c r="I462" s="69"/>
      <c r="J462" s="69"/>
      <c r="K462" s="69"/>
      <c r="L462" s="71"/>
      <c r="M462" s="69"/>
      <c r="N462" s="69"/>
      <c r="O462" s="69"/>
      <c r="P462" s="71"/>
      <c r="Q462" s="69"/>
      <c r="R462" s="69"/>
      <c r="S462" s="69"/>
      <c r="T462" s="69"/>
      <c r="U462" s="69"/>
      <c r="V462" s="69"/>
      <c r="W462" s="69"/>
      <c r="X462" s="66" t="str">
        <f aca="false">IF(B462="","",COUNTIF(Q462:W462,"Yes"))</f>
        <v/>
      </c>
      <c r="Y462" s="68" t="str">
        <f aca="false">IF(B462="","",IF(X462&gt;=Settings!$C$16,"A+",IF(X462&gt;=Settings!$C$17,"A",IF(X462&gt;=Settings!$C$18,"B","C"))))</f>
        <v/>
      </c>
      <c r="Z462" s="72"/>
      <c r="AA462" s="72"/>
      <c r="AB462" s="72"/>
      <c r="AC462" s="72"/>
      <c r="AD462" s="72"/>
      <c r="AE462" s="72"/>
      <c r="AF462" s="73"/>
      <c r="AG462" s="74"/>
      <c r="AH462" s="75"/>
      <c r="AI462" s="76" t="str">
        <f aca="false">IF(B462="","",ROUND(IF(AG462="",Settings!$C$5,AG462)*AW462,2))</f>
        <v/>
      </c>
      <c r="AJ462" s="77" t="str">
        <f aca="false">IF(OR(B462="",AB462="",AC462="",AD462=""),"",IFERROR(ROUND(ABS(AD462-AB462)/ABS(AB462-AC462),2),""))</f>
        <v/>
      </c>
      <c r="AK462" s="78" t="str">
        <f aca="false">IF(OR(B462="",AB462="",AC462="",AE462=""),"",IFERROR(ROUND(IF(J462="Short",AB462-AE462,AE462-AB462)/ABS(AB462-AC462),2),""))</f>
        <v/>
      </c>
      <c r="AL462" s="68" t="str">
        <f aca="false">IF(AK462="","",IF(ABS(AK462)&lt;=Settings!$C$6,"BE",IF(AK462&gt;0,"Win","Loss")))</f>
        <v/>
      </c>
      <c r="AM462" s="79" t="str">
        <f aca="false">IF(OR(AK462="",AI462=""),"",ROUND(AK462*AI462-N(AH462),2))</f>
        <v/>
      </c>
      <c r="AN462" s="76" t="str">
        <f aca="false">IF(AM462="","",ROUND(BK462+SUMIFS(AM$6:AM462,BJ$6:BJ462,BJ462),2))</f>
        <v/>
      </c>
      <c r="AO462" s="78" t="str">
        <f aca="false">IF(AK462="","",ROUND(SUMIFS(AK$6:AK462,BJ$6:BJ462,BJ462),2))</f>
        <v/>
      </c>
      <c r="AP462" s="80" t="str">
        <f aca="false">IF(OR(AK462="",BL462=""),"",IFERROR(ROUND(IF(J462="Short",AB462-AE462,AE462-AB462)/BL462,1),""))</f>
        <v/>
      </c>
      <c r="AQ462" s="66" t="str">
        <f aca="false">IF(OR(G462="",H462=""),"",ROUND(MOD(H462-G462,1)*1440,0))</f>
        <v/>
      </c>
      <c r="AR462" s="68" t="str">
        <f aca="false">IF(AQ462="","",IF(AQ462&lt;15,"Under 15m",IF(AQ462&lt;60,"15-60m",IF(AQ462&lt;240,"1-4 hours","4+ hours"))))</f>
        <v/>
      </c>
      <c r="AS462" s="66" t="str">
        <f aca="false">IF(G462="","",HOUR(G462))</f>
        <v/>
      </c>
      <c r="AT462" s="80" t="str">
        <f aca="false">IF(OR(Z462="",AB462="",BL462=""),"",IFERROR(ROUND(IF(J462="Short",Z462-AB462,AB462-Z462)/BL462,1),""))</f>
        <v/>
      </c>
      <c r="AU462" s="68" t="str">
        <f aca="false">IF(OR(AA462="",AC462=""),"",IF(AA462=AC462,"No","Yes"))</f>
        <v/>
      </c>
      <c r="AV462" s="81" t="str">
        <f aca="false">IF(OR(B462="",BL462="",BM462="",AB462="",AC462=""),"",IFERROR(ROUND(AI462/(ABS(AB462-AC462)/BL462*BM462),2),""))</f>
        <v/>
      </c>
      <c r="AW462" s="76" t="str">
        <f aca="false">IF(B462="","",ROUND(BK462+SUMIFS(AM$5:AM461,BJ$5:BJ461,BJ462),2))</f>
        <v/>
      </c>
      <c r="AX462" s="66" t="str">
        <f aca="false">IF(B462="","",COUNTIFS(B$6:B462,B462,BJ$6:BJ462,BJ462))</f>
        <v/>
      </c>
      <c r="AY462" s="79" t="str">
        <f aca="false">IF(B462="","",ROUND(SUMIFS(AM$5:AM461,B$5:B461,B462,BJ$5:BJ461,BJ462),2))</f>
        <v/>
      </c>
      <c r="AZ462" s="79" t="str">
        <f aca="false">IF(AM462="","",ROUND(AY462+AM462,2))</f>
        <v/>
      </c>
      <c r="BA462" s="79" t="str">
        <f aca="false">IF(B462="","",ROUND(SUMIFS(AM$5:AM461,B$5:B461,"&gt;="&amp;(B462-WEEKDAY(B462,2)+1),B$5:B461,"&lt;="&amp;B462,BJ$5:BJ461,BJ462),2))</f>
        <v/>
      </c>
      <c r="BB462" s="68" t="str">
        <f aca="false">IF(B462="","",IF(AND(AF462&lt;&gt;"",AV462&lt;&gt;"",N(AF462)&gt;N(AV462)*(1+Settings!$C$13)),"Oversized",IF(AX462&gt;Settings!$C$10,"Overtraded",IF(AY462&lt;=-Settings!$C$11*(AW462-AY462),"Daily loss hit",IF(BA462&lt;=-Settings!$C$12*(AW462-BA462),"Weekly loss hit","OK")))))</f>
        <v/>
      </c>
      <c r="BC462" s="69"/>
      <c r="BD462" s="69"/>
      <c r="BE462" s="69"/>
      <c r="BF462" s="73"/>
      <c r="BG462" s="73"/>
      <c r="BH462" s="71"/>
      <c r="BI462" s="71"/>
      <c r="BJ462" s="68" t="str">
        <f aca="false">IF(B462="","",IF(E462="",Settings!$F$5,E462))</f>
        <v/>
      </c>
      <c r="BK462" s="76" t="str">
        <f aca="false">IF(B462="","",IFERROR(INDEX(Settings!$G$5:$G$10,MATCH(BJ462,Settings!$F$5:$F$10,0)),Settings!$G$5))</f>
        <v/>
      </c>
      <c r="BL462" s="82" t="str">
        <f aca="false">IF(I462="","",IFERROR(1/(1/INDEX(Lists!$C$6:$C$17,MATCH(I462,Lists!$B$6:$B$17,0))),""))</f>
        <v/>
      </c>
      <c r="BM462" s="81" t="str">
        <f aca="false">IF(I462="","",IFERROR(1/(1/INDEX(Lists!$D$6:$D$17,MATCH(I462,Lists!$B$6:$B$17,0))),""))</f>
        <v/>
      </c>
      <c r="BN462" s="76" t="str">
        <f aca="false">IF(AN462="","",MAX(BK462,_xlfn.MAXIFS(AN$6:AN462,BJ$6:BJ462,BJ462)))</f>
        <v/>
      </c>
      <c r="BO462" s="83" t="str">
        <f aca="false">IF(AN462="","",(AN462-BN462)/BN462)</f>
        <v/>
      </c>
      <c r="BP462" s="66" t="n">
        <f aca="false">IF(OR(B462="",AL462=""),0,IF(OR(Settings!$C$28="All Accounts",BJ462=Settings!$C$28),1,0))</f>
        <v>0</v>
      </c>
      <c r="BQ462" s="66" t="str">
        <f aca="false">IF(BP462=1,SUM(BP$6:BP462),"")</f>
        <v/>
      </c>
      <c r="BR462" s="76" t="str">
        <f aca="false">IF(BP462=1,ROUND(Settings!$C$29+SUMIFS(AM$6:AM462,BP$6:BP462,1),2),"")</f>
        <v/>
      </c>
      <c r="BS462" s="76" t="str">
        <f aca="false">IF(BP462=1,MAX(Settings!$C$29,MAX(BR$6:BR462)),"")</f>
        <v/>
      </c>
      <c r="BT462" s="83" t="str">
        <f aca="false">IF(BP462=1,(BR462-BS462)/BS462,"")</f>
        <v/>
      </c>
      <c r="BU462" s="66" t="str">
        <f aca="false">IF(BP462=1,IF(AL462="Win",1+IF(BQ462=1,0,INDEX(BU$5:BU461,MATCH(BQ462-1,BQ$5:BQ461,0))),0),"")</f>
        <v/>
      </c>
      <c r="BV462" s="66" t="str">
        <f aca="false">IF(BP462=1,IF(AL462="Loss",1+IF(BQ462=1,0,INDEX(BV$5:BV461,MATCH(BQ462-1,BQ$5:BQ461,0))),0),"")</f>
        <v/>
      </c>
    </row>
    <row r="463" customFormat="false" ht="15" hidden="false" customHeight="false" outlineLevel="0" collapsed="false">
      <c r="A463" s="66" t="str">
        <f aca="false">IF(B463="","",ROW()-5)</f>
        <v/>
      </c>
      <c r="B463" s="67"/>
      <c r="C463" s="68" t="str">
        <f aca="false">IF(B463="","",CHOOSE(WEEKDAY(B463,2),"Mon","Tue","Wed","Thu","Fri","Sat","Sun"))</f>
        <v/>
      </c>
      <c r="D463" s="66" t="str">
        <f aca="false">IF(B463="","",WEEKNUM(B463,2))</f>
        <v/>
      </c>
      <c r="E463" s="69"/>
      <c r="F463" s="69"/>
      <c r="G463" s="70"/>
      <c r="H463" s="70"/>
      <c r="I463" s="69"/>
      <c r="J463" s="69"/>
      <c r="K463" s="69"/>
      <c r="L463" s="71"/>
      <c r="M463" s="69"/>
      <c r="N463" s="69"/>
      <c r="O463" s="69"/>
      <c r="P463" s="71"/>
      <c r="Q463" s="69"/>
      <c r="R463" s="69"/>
      <c r="S463" s="69"/>
      <c r="T463" s="69"/>
      <c r="U463" s="69"/>
      <c r="V463" s="69"/>
      <c r="W463" s="69"/>
      <c r="X463" s="66" t="str">
        <f aca="false">IF(B463="","",COUNTIF(Q463:W463,"Yes"))</f>
        <v/>
      </c>
      <c r="Y463" s="68" t="str">
        <f aca="false">IF(B463="","",IF(X463&gt;=Settings!$C$16,"A+",IF(X463&gt;=Settings!$C$17,"A",IF(X463&gt;=Settings!$C$18,"B","C"))))</f>
        <v/>
      </c>
      <c r="Z463" s="72"/>
      <c r="AA463" s="72"/>
      <c r="AB463" s="72"/>
      <c r="AC463" s="72"/>
      <c r="AD463" s="72"/>
      <c r="AE463" s="72"/>
      <c r="AF463" s="73"/>
      <c r="AG463" s="74"/>
      <c r="AH463" s="75"/>
      <c r="AI463" s="76" t="str">
        <f aca="false">IF(B463="","",ROUND(IF(AG463="",Settings!$C$5,AG463)*AW463,2))</f>
        <v/>
      </c>
      <c r="AJ463" s="77" t="str">
        <f aca="false">IF(OR(B463="",AB463="",AC463="",AD463=""),"",IFERROR(ROUND(ABS(AD463-AB463)/ABS(AB463-AC463),2),""))</f>
        <v/>
      </c>
      <c r="AK463" s="78" t="str">
        <f aca="false">IF(OR(B463="",AB463="",AC463="",AE463=""),"",IFERROR(ROUND(IF(J463="Short",AB463-AE463,AE463-AB463)/ABS(AB463-AC463),2),""))</f>
        <v/>
      </c>
      <c r="AL463" s="68" t="str">
        <f aca="false">IF(AK463="","",IF(ABS(AK463)&lt;=Settings!$C$6,"BE",IF(AK463&gt;0,"Win","Loss")))</f>
        <v/>
      </c>
      <c r="AM463" s="79" t="str">
        <f aca="false">IF(OR(AK463="",AI463=""),"",ROUND(AK463*AI463-N(AH463),2))</f>
        <v/>
      </c>
      <c r="AN463" s="76" t="str">
        <f aca="false">IF(AM463="","",ROUND(BK463+SUMIFS(AM$6:AM463,BJ$6:BJ463,BJ463),2))</f>
        <v/>
      </c>
      <c r="AO463" s="78" t="str">
        <f aca="false">IF(AK463="","",ROUND(SUMIFS(AK$6:AK463,BJ$6:BJ463,BJ463),2))</f>
        <v/>
      </c>
      <c r="AP463" s="80" t="str">
        <f aca="false">IF(OR(AK463="",BL463=""),"",IFERROR(ROUND(IF(J463="Short",AB463-AE463,AE463-AB463)/BL463,1),""))</f>
        <v/>
      </c>
      <c r="AQ463" s="66" t="str">
        <f aca="false">IF(OR(G463="",H463=""),"",ROUND(MOD(H463-G463,1)*1440,0))</f>
        <v/>
      </c>
      <c r="AR463" s="68" t="str">
        <f aca="false">IF(AQ463="","",IF(AQ463&lt;15,"Under 15m",IF(AQ463&lt;60,"15-60m",IF(AQ463&lt;240,"1-4 hours","4+ hours"))))</f>
        <v/>
      </c>
      <c r="AS463" s="66" t="str">
        <f aca="false">IF(G463="","",HOUR(G463))</f>
        <v/>
      </c>
      <c r="AT463" s="80" t="str">
        <f aca="false">IF(OR(Z463="",AB463="",BL463=""),"",IFERROR(ROUND(IF(J463="Short",Z463-AB463,AB463-Z463)/BL463,1),""))</f>
        <v/>
      </c>
      <c r="AU463" s="68" t="str">
        <f aca="false">IF(OR(AA463="",AC463=""),"",IF(AA463=AC463,"No","Yes"))</f>
        <v/>
      </c>
      <c r="AV463" s="81" t="str">
        <f aca="false">IF(OR(B463="",BL463="",BM463="",AB463="",AC463=""),"",IFERROR(ROUND(AI463/(ABS(AB463-AC463)/BL463*BM463),2),""))</f>
        <v/>
      </c>
      <c r="AW463" s="76" t="str">
        <f aca="false">IF(B463="","",ROUND(BK463+SUMIFS(AM$5:AM462,BJ$5:BJ462,BJ463),2))</f>
        <v/>
      </c>
      <c r="AX463" s="66" t="str">
        <f aca="false">IF(B463="","",COUNTIFS(B$6:B463,B463,BJ$6:BJ463,BJ463))</f>
        <v/>
      </c>
      <c r="AY463" s="79" t="str">
        <f aca="false">IF(B463="","",ROUND(SUMIFS(AM$5:AM462,B$5:B462,B463,BJ$5:BJ462,BJ463),2))</f>
        <v/>
      </c>
      <c r="AZ463" s="79" t="str">
        <f aca="false">IF(AM463="","",ROUND(AY463+AM463,2))</f>
        <v/>
      </c>
      <c r="BA463" s="79" t="str">
        <f aca="false">IF(B463="","",ROUND(SUMIFS(AM$5:AM462,B$5:B462,"&gt;="&amp;(B463-WEEKDAY(B463,2)+1),B$5:B462,"&lt;="&amp;B463,BJ$5:BJ462,BJ463),2))</f>
        <v/>
      </c>
      <c r="BB463" s="68" t="str">
        <f aca="false">IF(B463="","",IF(AND(AF463&lt;&gt;"",AV463&lt;&gt;"",N(AF463)&gt;N(AV463)*(1+Settings!$C$13)),"Oversized",IF(AX463&gt;Settings!$C$10,"Overtraded",IF(AY463&lt;=-Settings!$C$11*(AW463-AY463),"Daily loss hit",IF(BA463&lt;=-Settings!$C$12*(AW463-BA463),"Weekly loss hit","OK")))))</f>
        <v/>
      </c>
      <c r="BC463" s="69"/>
      <c r="BD463" s="69"/>
      <c r="BE463" s="69"/>
      <c r="BF463" s="73"/>
      <c r="BG463" s="73"/>
      <c r="BH463" s="71"/>
      <c r="BI463" s="71"/>
      <c r="BJ463" s="68" t="str">
        <f aca="false">IF(B463="","",IF(E463="",Settings!$F$5,E463))</f>
        <v/>
      </c>
      <c r="BK463" s="76" t="str">
        <f aca="false">IF(B463="","",IFERROR(INDEX(Settings!$G$5:$G$10,MATCH(BJ463,Settings!$F$5:$F$10,0)),Settings!$G$5))</f>
        <v/>
      </c>
      <c r="BL463" s="82" t="str">
        <f aca="false">IF(I463="","",IFERROR(1/(1/INDEX(Lists!$C$6:$C$17,MATCH(I463,Lists!$B$6:$B$17,0))),""))</f>
        <v/>
      </c>
      <c r="BM463" s="81" t="str">
        <f aca="false">IF(I463="","",IFERROR(1/(1/INDEX(Lists!$D$6:$D$17,MATCH(I463,Lists!$B$6:$B$17,0))),""))</f>
        <v/>
      </c>
      <c r="BN463" s="76" t="str">
        <f aca="false">IF(AN463="","",MAX(BK463,_xlfn.MAXIFS(AN$6:AN463,BJ$6:BJ463,BJ463)))</f>
        <v/>
      </c>
      <c r="BO463" s="83" t="str">
        <f aca="false">IF(AN463="","",(AN463-BN463)/BN463)</f>
        <v/>
      </c>
      <c r="BP463" s="66" t="n">
        <f aca="false">IF(OR(B463="",AL463=""),0,IF(OR(Settings!$C$28="All Accounts",BJ463=Settings!$C$28),1,0))</f>
        <v>0</v>
      </c>
      <c r="BQ463" s="66" t="str">
        <f aca="false">IF(BP463=1,SUM(BP$6:BP463),"")</f>
        <v/>
      </c>
      <c r="BR463" s="76" t="str">
        <f aca="false">IF(BP463=1,ROUND(Settings!$C$29+SUMIFS(AM$6:AM463,BP$6:BP463,1),2),"")</f>
        <v/>
      </c>
      <c r="BS463" s="76" t="str">
        <f aca="false">IF(BP463=1,MAX(Settings!$C$29,MAX(BR$6:BR463)),"")</f>
        <v/>
      </c>
      <c r="BT463" s="83" t="str">
        <f aca="false">IF(BP463=1,(BR463-BS463)/BS463,"")</f>
        <v/>
      </c>
      <c r="BU463" s="66" t="str">
        <f aca="false">IF(BP463=1,IF(AL463="Win",1+IF(BQ463=1,0,INDEX(BU$5:BU462,MATCH(BQ463-1,BQ$5:BQ462,0))),0),"")</f>
        <v/>
      </c>
      <c r="BV463" s="66" t="str">
        <f aca="false">IF(BP463=1,IF(AL463="Loss",1+IF(BQ463=1,0,INDEX(BV$5:BV462,MATCH(BQ463-1,BQ$5:BQ462,0))),0),"")</f>
        <v/>
      </c>
    </row>
    <row r="464" customFormat="false" ht="15" hidden="false" customHeight="false" outlineLevel="0" collapsed="false">
      <c r="A464" s="66" t="str">
        <f aca="false">IF(B464="","",ROW()-5)</f>
        <v/>
      </c>
      <c r="B464" s="67"/>
      <c r="C464" s="68" t="str">
        <f aca="false">IF(B464="","",CHOOSE(WEEKDAY(B464,2),"Mon","Tue","Wed","Thu","Fri","Sat","Sun"))</f>
        <v/>
      </c>
      <c r="D464" s="66" t="str">
        <f aca="false">IF(B464="","",WEEKNUM(B464,2))</f>
        <v/>
      </c>
      <c r="E464" s="69"/>
      <c r="F464" s="69"/>
      <c r="G464" s="70"/>
      <c r="H464" s="70"/>
      <c r="I464" s="69"/>
      <c r="J464" s="69"/>
      <c r="K464" s="69"/>
      <c r="L464" s="71"/>
      <c r="M464" s="69"/>
      <c r="N464" s="69"/>
      <c r="O464" s="69"/>
      <c r="P464" s="71"/>
      <c r="Q464" s="69"/>
      <c r="R464" s="69"/>
      <c r="S464" s="69"/>
      <c r="T464" s="69"/>
      <c r="U464" s="69"/>
      <c r="V464" s="69"/>
      <c r="W464" s="69"/>
      <c r="X464" s="66" t="str">
        <f aca="false">IF(B464="","",COUNTIF(Q464:W464,"Yes"))</f>
        <v/>
      </c>
      <c r="Y464" s="68" t="str">
        <f aca="false">IF(B464="","",IF(X464&gt;=Settings!$C$16,"A+",IF(X464&gt;=Settings!$C$17,"A",IF(X464&gt;=Settings!$C$18,"B","C"))))</f>
        <v/>
      </c>
      <c r="Z464" s="72"/>
      <c r="AA464" s="72"/>
      <c r="AB464" s="72"/>
      <c r="AC464" s="72"/>
      <c r="AD464" s="72"/>
      <c r="AE464" s="72"/>
      <c r="AF464" s="73"/>
      <c r="AG464" s="74"/>
      <c r="AH464" s="75"/>
      <c r="AI464" s="76" t="str">
        <f aca="false">IF(B464="","",ROUND(IF(AG464="",Settings!$C$5,AG464)*AW464,2))</f>
        <v/>
      </c>
      <c r="AJ464" s="77" t="str">
        <f aca="false">IF(OR(B464="",AB464="",AC464="",AD464=""),"",IFERROR(ROUND(ABS(AD464-AB464)/ABS(AB464-AC464),2),""))</f>
        <v/>
      </c>
      <c r="AK464" s="78" t="str">
        <f aca="false">IF(OR(B464="",AB464="",AC464="",AE464=""),"",IFERROR(ROUND(IF(J464="Short",AB464-AE464,AE464-AB464)/ABS(AB464-AC464),2),""))</f>
        <v/>
      </c>
      <c r="AL464" s="68" t="str">
        <f aca="false">IF(AK464="","",IF(ABS(AK464)&lt;=Settings!$C$6,"BE",IF(AK464&gt;0,"Win","Loss")))</f>
        <v/>
      </c>
      <c r="AM464" s="79" t="str">
        <f aca="false">IF(OR(AK464="",AI464=""),"",ROUND(AK464*AI464-N(AH464),2))</f>
        <v/>
      </c>
      <c r="AN464" s="76" t="str">
        <f aca="false">IF(AM464="","",ROUND(BK464+SUMIFS(AM$6:AM464,BJ$6:BJ464,BJ464),2))</f>
        <v/>
      </c>
      <c r="AO464" s="78" t="str">
        <f aca="false">IF(AK464="","",ROUND(SUMIFS(AK$6:AK464,BJ$6:BJ464,BJ464),2))</f>
        <v/>
      </c>
      <c r="AP464" s="80" t="str">
        <f aca="false">IF(OR(AK464="",BL464=""),"",IFERROR(ROUND(IF(J464="Short",AB464-AE464,AE464-AB464)/BL464,1),""))</f>
        <v/>
      </c>
      <c r="AQ464" s="66" t="str">
        <f aca="false">IF(OR(G464="",H464=""),"",ROUND(MOD(H464-G464,1)*1440,0))</f>
        <v/>
      </c>
      <c r="AR464" s="68" t="str">
        <f aca="false">IF(AQ464="","",IF(AQ464&lt;15,"Under 15m",IF(AQ464&lt;60,"15-60m",IF(AQ464&lt;240,"1-4 hours","4+ hours"))))</f>
        <v/>
      </c>
      <c r="AS464" s="66" t="str">
        <f aca="false">IF(G464="","",HOUR(G464))</f>
        <v/>
      </c>
      <c r="AT464" s="80" t="str">
        <f aca="false">IF(OR(Z464="",AB464="",BL464=""),"",IFERROR(ROUND(IF(J464="Short",Z464-AB464,AB464-Z464)/BL464,1),""))</f>
        <v/>
      </c>
      <c r="AU464" s="68" t="str">
        <f aca="false">IF(OR(AA464="",AC464=""),"",IF(AA464=AC464,"No","Yes"))</f>
        <v/>
      </c>
      <c r="AV464" s="81" t="str">
        <f aca="false">IF(OR(B464="",BL464="",BM464="",AB464="",AC464=""),"",IFERROR(ROUND(AI464/(ABS(AB464-AC464)/BL464*BM464),2),""))</f>
        <v/>
      </c>
      <c r="AW464" s="76" t="str">
        <f aca="false">IF(B464="","",ROUND(BK464+SUMIFS(AM$5:AM463,BJ$5:BJ463,BJ464),2))</f>
        <v/>
      </c>
      <c r="AX464" s="66" t="str">
        <f aca="false">IF(B464="","",COUNTIFS(B$6:B464,B464,BJ$6:BJ464,BJ464))</f>
        <v/>
      </c>
      <c r="AY464" s="79" t="str">
        <f aca="false">IF(B464="","",ROUND(SUMIFS(AM$5:AM463,B$5:B463,B464,BJ$5:BJ463,BJ464),2))</f>
        <v/>
      </c>
      <c r="AZ464" s="79" t="str">
        <f aca="false">IF(AM464="","",ROUND(AY464+AM464,2))</f>
        <v/>
      </c>
      <c r="BA464" s="79" t="str">
        <f aca="false">IF(B464="","",ROUND(SUMIFS(AM$5:AM463,B$5:B463,"&gt;="&amp;(B464-WEEKDAY(B464,2)+1),B$5:B463,"&lt;="&amp;B464,BJ$5:BJ463,BJ464),2))</f>
        <v/>
      </c>
      <c r="BB464" s="68" t="str">
        <f aca="false">IF(B464="","",IF(AND(AF464&lt;&gt;"",AV464&lt;&gt;"",N(AF464)&gt;N(AV464)*(1+Settings!$C$13)),"Oversized",IF(AX464&gt;Settings!$C$10,"Overtraded",IF(AY464&lt;=-Settings!$C$11*(AW464-AY464),"Daily loss hit",IF(BA464&lt;=-Settings!$C$12*(AW464-BA464),"Weekly loss hit","OK")))))</f>
        <v/>
      </c>
      <c r="BC464" s="69"/>
      <c r="BD464" s="69"/>
      <c r="BE464" s="69"/>
      <c r="BF464" s="73"/>
      <c r="BG464" s="73"/>
      <c r="BH464" s="71"/>
      <c r="BI464" s="71"/>
      <c r="BJ464" s="68" t="str">
        <f aca="false">IF(B464="","",IF(E464="",Settings!$F$5,E464))</f>
        <v/>
      </c>
      <c r="BK464" s="76" t="str">
        <f aca="false">IF(B464="","",IFERROR(INDEX(Settings!$G$5:$G$10,MATCH(BJ464,Settings!$F$5:$F$10,0)),Settings!$G$5))</f>
        <v/>
      </c>
      <c r="BL464" s="82" t="str">
        <f aca="false">IF(I464="","",IFERROR(1/(1/INDEX(Lists!$C$6:$C$17,MATCH(I464,Lists!$B$6:$B$17,0))),""))</f>
        <v/>
      </c>
      <c r="BM464" s="81" t="str">
        <f aca="false">IF(I464="","",IFERROR(1/(1/INDEX(Lists!$D$6:$D$17,MATCH(I464,Lists!$B$6:$B$17,0))),""))</f>
        <v/>
      </c>
      <c r="BN464" s="76" t="str">
        <f aca="false">IF(AN464="","",MAX(BK464,_xlfn.MAXIFS(AN$6:AN464,BJ$6:BJ464,BJ464)))</f>
        <v/>
      </c>
      <c r="BO464" s="83" t="str">
        <f aca="false">IF(AN464="","",(AN464-BN464)/BN464)</f>
        <v/>
      </c>
      <c r="BP464" s="66" t="n">
        <f aca="false">IF(OR(B464="",AL464=""),0,IF(OR(Settings!$C$28="All Accounts",BJ464=Settings!$C$28),1,0))</f>
        <v>0</v>
      </c>
      <c r="BQ464" s="66" t="str">
        <f aca="false">IF(BP464=1,SUM(BP$6:BP464),"")</f>
        <v/>
      </c>
      <c r="BR464" s="76" t="str">
        <f aca="false">IF(BP464=1,ROUND(Settings!$C$29+SUMIFS(AM$6:AM464,BP$6:BP464,1),2),"")</f>
        <v/>
      </c>
      <c r="BS464" s="76" t="str">
        <f aca="false">IF(BP464=1,MAX(Settings!$C$29,MAX(BR$6:BR464)),"")</f>
        <v/>
      </c>
      <c r="BT464" s="83" t="str">
        <f aca="false">IF(BP464=1,(BR464-BS464)/BS464,"")</f>
        <v/>
      </c>
      <c r="BU464" s="66" t="str">
        <f aca="false">IF(BP464=1,IF(AL464="Win",1+IF(BQ464=1,0,INDEX(BU$5:BU463,MATCH(BQ464-1,BQ$5:BQ463,0))),0),"")</f>
        <v/>
      </c>
      <c r="BV464" s="66" t="str">
        <f aca="false">IF(BP464=1,IF(AL464="Loss",1+IF(BQ464=1,0,INDEX(BV$5:BV463,MATCH(BQ464-1,BQ$5:BQ463,0))),0),"")</f>
        <v/>
      </c>
    </row>
    <row r="465" customFormat="false" ht="15" hidden="false" customHeight="false" outlineLevel="0" collapsed="false">
      <c r="A465" s="66" t="str">
        <f aca="false">IF(B465="","",ROW()-5)</f>
        <v/>
      </c>
      <c r="B465" s="67"/>
      <c r="C465" s="68" t="str">
        <f aca="false">IF(B465="","",CHOOSE(WEEKDAY(B465,2),"Mon","Tue","Wed","Thu","Fri","Sat","Sun"))</f>
        <v/>
      </c>
      <c r="D465" s="66" t="str">
        <f aca="false">IF(B465="","",WEEKNUM(B465,2))</f>
        <v/>
      </c>
      <c r="E465" s="69"/>
      <c r="F465" s="69"/>
      <c r="G465" s="70"/>
      <c r="H465" s="70"/>
      <c r="I465" s="69"/>
      <c r="J465" s="69"/>
      <c r="K465" s="69"/>
      <c r="L465" s="71"/>
      <c r="M465" s="69"/>
      <c r="N465" s="69"/>
      <c r="O465" s="69"/>
      <c r="P465" s="71"/>
      <c r="Q465" s="69"/>
      <c r="R465" s="69"/>
      <c r="S465" s="69"/>
      <c r="T465" s="69"/>
      <c r="U465" s="69"/>
      <c r="V465" s="69"/>
      <c r="W465" s="69"/>
      <c r="X465" s="66" t="str">
        <f aca="false">IF(B465="","",COUNTIF(Q465:W465,"Yes"))</f>
        <v/>
      </c>
      <c r="Y465" s="68" t="str">
        <f aca="false">IF(B465="","",IF(X465&gt;=Settings!$C$16,"A+",IF(X465&gt;=Settings!$C$17,"A",IF(X465&gt;=Settings!$C$18,"B","C"))))</f>
        <v/>
      </c>
      <c r="Z465" s="72"/>
      <c r="AA465" s="72"/>
      <c r="AB465" s="72"/>
      <c r="AC465" s="72"/>
      <c r="AD465" s="72"/>
      <c r="AE465" s="72"/>
      <c r="AF465" s="73"/>
      <c r="AG465" s="74"/>
      <c r="AH465" s="75"/>
      <c r="AI465" s="76" t="str">
        <f aca="false">IF(B465="","",ROUND(IF(AG465="",Settings!$C$5,AG465)*AW465,2))</f>
        <v/>
      </c>
      <c r="AJ465" s="77" t="str">
        <f aca="false">IF(OR(B465="",AB465="",AC465="",AD465=""),"",IFERROR(ROUND(ABS(AD465-AB465)/ABS(AB465-AC465),2),""))</f>
        <v/>
      </c>
      <c r="AK465" s="78" t="str">
        <f aca="false">IF(OR(B465="",AB465="",AC465="",AE465=""),"",IFERROR(ROUND(IF(J465="Short",AB465-AE465,AE465-AB465)/ABS(AB465-AC465),2),""))</f>
        <v/>
      </c>
      <c r="AL465" s="68" t="str">
        <f aca="false">IF(AK465="","",IF(ABS(AK465)&lt;=Settings!$C$6,"BE",IF(AK465&gt;0,"Win","Loss")))</f>
        <v/>
      </c>
      <c r="AM465" s="79" t="str">
        <f aca="false">IF(OR(AK465="",AI465=""),"",ROUND(AK465*AI465-N(AH465),2))</f>
        <v/>
      </c>
      <c r="AN465" s="76" t="str">
        <f aca="false">IF(AM465="","",ROUND(BK465+SUMIFS(AM$6:AM465,BJ$6:BJ465,BJ465),2))</f>
        <v/>
      </c>
      <c r="AO465" s="78" t="str">
        <f aca="false">IF(AK465="","",ROUND(SUMIFS(AK$6:AK465,BJ$6:BJ465,BJ465),2))</f>
        <v/>
      </c>
      <c r="AP465" s="80" t="str">
        <f aca="false">IF(OR(AK465="",BL465=""),"",IFERROR(ROUND(IF(J465="Short",AB465-AE465,AE465-AB465)/BL465,1),""))</f>
        <v/>
      </c>
      <c r="AQ465" s="66" t="str">
        <f aca="false">IF(OR(G465="",H465=""),"",ROUND(MOD(H465-G465,1)*1440,0))</f>
        <v/>
      </c>
      <c r="AR465" s="68" t="str">
        <f aca="false">IF(AQ465="","",IF(AQ465&lt;15,"Under 15m",IF(AQ465&lt;60,"15-60m",IF(AQ465&lt;240,"1-4 hours","4+ hours"))))</f>
        <v/>
      </c>
      <c r="AS465" s="66" t="str">
        <f aca="false">IF(G465="","",HOUR(G465))</f>
        <v/>
      </c>
      <c r="AT465" s="80" t="str">
        <f aca="false">IF(OR(Z465="",AB465="",BL465=""),"",IFERROR(ROUND(IF(J465="Short",Z465-AB465,AB465-Z465)/BL465,1),""))</f>
        <v/>
      </c>
      <c r="AU465" s="68" t="str">
        <f aca="false">IF(OR(AA465="",AC465=""),"",IF(AA465=AC465,"No","Yes"))</f>
        <v/>
      </c>
      <c r="AV465" s="81" t="str">
        <f aca="false">IF(OR(B465="",BL465="",BM465="",AB465="",AC465=""),"",IFERROR(ROUND(AI465/(ABS(AB465-AC465)/BL465*BM465),2),""))</f>
        <v/>
      </c>
      <c r="AW465" s="76" t="str">
        <f aca="false">IF(B465="","",ROUND(BK465+SUMIFS(AM$5:AM464,BJ$5:BJ464,BJ465),2))</f>
        <v/>
      </c>
      <c r="AX465" s="66" t="str">
        <f aca="false">IF(B465="","",COUNTIFS(B$6:B465,B465,BJ$6:BJ465,BJ465))</f>
        <v/>
      </c>
      <c r="AY465" s="79" t="str">
        <f aca="false">IF(B465="","",ROUND(SUMIFS(AM$5:AM464,B$5:B464,B465,BJ$5:BJ464,BJ465),2))</f>
        <v/>
      </c>
      <c r="AZ465" s="79" t="str">
        <f aca="false">IF(AM465="","",ROUND(AY465+AM465,2))</f>
        <v/>
      </c>
      <c r="BA465" s="79" t="str">
        <f aca="false">IF(B465="","",ROUND(SUMIFS(AM$5:AM464,B$5:B464,"&gt;="&amp;(B465-WEEKDAY(B465,2)+1),B$5:B464,"&lt;="&amp;B465,BJ$5:BJ464,BJ465),2))</f>
        <v/>
      </c>
      <c r="BB465" s="68" t="str">
        <f aca="false">IF(B465="","",IF(AND(AF465&lt;&gt;"",AV465&lt;&gt;"",N(AF465)&gt;N(AV465)*(1+Settings!$C$13)),"Oversized",IF(AX465&gt;Settings!$C$10,"Overtraded",IF(AY465&lt;=-Settings!$C$11*(AW465-AY465),"Daily loss hit",IF(BA465&lt;=-Settings!$C$12*(AW465-BA465),"Weekly loss hit","OK")))))</f>
        <v/>
      </c>
      <c r="BC465" s="69"/>
      <c r="BD465" s="69"/>
      <c r="BE465" s="69"/>
      <c r="BF465" s="73"/>
      <c r="BG465" s="73"/>
      <c r="BH465" s="71"/>
      <c r="BI465" s="71"/>
      <c r="BJ465" s="68" t="str">
        <f aca="false">IF(B465="","",IF(E465="",Settings!$F$5,E465))</f>
        <v/>
      </c>
      <c r="BK465" s="76" t="str">
        <f aca="false">IF(B465="","",IFERROR(INDEX(Settings!$G$5:$G$10,MATCH(BJ465,Settings!$F$5:$F$10,0)),Settings!$G$5))</f>
        <v/>
      </c>
      <c r="BL465" s="82" t="str">
        <f aca="false">IF(I465="","",IFERROR(1/(1/INDEX(Lists!$C$6:$C$17,MATCH(I465,Lists!$B$6:$B$17,0))),""))</f>
        <v/>
      </c>
      <c r="BM465" s="81" t="str">
        <f aca="false">IF(I465="","",IFERROR(1/(1/INDEX(Lists!$D$6:$D$17,MATCH(I465,Lists!$B$6:$B$17,0))),""))</f>
        <v/>
      </c>
      <c r="BN465" s="76" t="str">
        <f aca="false">IF(AN465="","",MAX(BK465,_xlfn.MAXIFS(AN$6:AN465,BJ$6:BJ465,BJ465)))</f>
        <v/>
      </c>
      <c r="BO465" s="83" t="str">
        <f aca="false">IF(AN465="","",(AN465-BN465)/BN465)</f>
        <v/>
      </c>
      <c r="BP465" s="66" t="n">
        <f aca="false">IF(OR(B465="",AL465=""),0,IF(OR(Settings!$C$28="All Accounts",BJ465=Settings!$C$28),1,0))</f>
        <v>0</v>
      </c>
      <c r="BQ465" s="66" t="str">
        <f aca="false">IF(BP465=1,SUM(BP$6:BP465),"")</f>
        <v/>
      </c>
      <c r="BR465" s="76" t="str">
        <f aca="false">IF(BP465=1,ROUND(Settings!$C$29+SUMIFS(AM$6:AM465,BP$6:BP465,1),2),"")</f>
        <v/>
      </c>
      <c r="BS465" s="76" t="str">
        <f aca="false">IF(BP465=1,MAX(Settings!$C$29,MAX(BR$6:BR465)),"")</f>
        <v/>
      </c>
      <c r="BT465" s="83" t="str">
        <f aca="false">IF(BP465=1,(BR465-BS465)/BS465,"")</f>
        <v/>
      </c>
      <c r="BU465" s="66" t="str">
        <f aca="false">IF(BP465=1,IF(AL465="Win",1+IF(BQ465=1,0,INDEX(BU$5:BU464,MATCH(BQ465-1,BQ$5:BQ464,0))),0),"")</f>
        <v/>
      </c>
      <c r="BV465" s="66" t="str">
        <f aca="false">IF(BP465=1,IF(AL465="Loss",1+IF(BQ465=1,0,INDEX(BV$5:BV464,MATCH(BQ465-1,BQ$5:BQ464,0))),0),"")</f>
        <v/>
      </c>
    </row>
    <row r="466" customFormat="false" ht="15" hidden="false" customHeight="false" outlineLevel="0" collapsed="false">
      <c r="A466" s="66" t="str">
        <f aca="false">IF(B466="","",ROW()-5)</f>
        <v/>
      </c>
      <c r="B466" s="67"/>
      <c r="C466" s="68" t="str">
        <f aca="false">IF(B466="","",CHOOSE(WEEKDAY(B466,2),"Mon","Tue","Wed","Thu","Fri","Sat","Sun"))</f>
        <v/>
      </c>
      <c r="D466" s="66" t="str">
        <f aca="false">IF(B466="","",WEEKNUM(B466,2))</f>
        <v/>
      </c>
      <c r="E466" s="69"/>
      <c r="F466" s="69"/>
      <c r="G466" s="70"/>
      <c r="H466" s="70"/>
      <c r="I466" s="69"/>
      <c r="J466" s="69"/>
      <c r="K466" s="69"/>
      <c r="L466" s="71"/>
      <c r="M466" s="69"/>
      <c r="N466" s="69"/>
      <c r="O466" s="69"/>
      <c r="P466" s="71"/>
      <c r="Q466" s="69"/>
      <c r="R466" s="69"/>
      <c r="S466" s="69"/>
      <c r="T466" s="69"/>
      <c r="U466" s="69"/>
      <c r="V466" s="69"/>
      <c r="W466" s="69"/>
      <c r="X466" s="66" t="str">
        <f aca="false">IF(B466="","",COUNTIF(Q466:W466,"Yes"))</f>
        <v/>
      </c>
      <c r="Y466" s="68" t="str">
        <f aca="false">IF(B466="","",IF(X466&gt;=Settings!$C$16,"A+",IF(X466&gt;=Settings!$C$17,"A",IF(X466&gt;=Settings!$C$18,"B","C"))))</f>
        <v/>
      </c>
      <c r="Z466" s="72"/>
      <c r="AA466" s="72"/>
      <c r="AB466" s="72"/>
      <c r="AC466" s="72"/>
      <c r="AD466" s="72"/>
      <c r="AE466" s="72"/>
      <c r="AF466" s="73"/>
      <c r="AG466" s="74"/>
      <c r="AH466" s="75"/>
      <c r="AI466" s="76" t="str">
        <f aca="false">IF(B466="","",ROUND(IF(AG466="",Settings!$C$5,AG466)*AW466,2))</f>
        <v/>
      </c>
      <c r="AJ466" s="77" t="str">
        <f aca="false">IF(OR(B466="",AB466="",AC466="",AD466=""),"",IFERROR(ROUND(ABS(AD466-AB466)/ABS(AB466-AC466),2),""))</f>
        <v/>
      </c>
      <c r="AK466" s="78" t="str">
        <f aca="false">IF(OR(B466="",AB466="",AC466="",AE466=""),"",IFERROR(ROUND(IF(J466="Short",AB466-AE466,AE466-AB466)/ABS(AB466-AC466),2),""))</f>
        <v/>
      </c>
      <c r="AL466" s="68" t="str">
        <f aca="false">IF(AK466="","",IF(ABS(AK466)&lt;=Settings!$C$6,"BE",IF(AK466&gt;0,"Win","Loss")))</f>
        <v/>
      </c>
      <c r="AM466" s="79" t="str">
        <f aca="false">IF(OR(AK466="",AI466=""),"",ROUND(AK466*AI466-N(AH466),2))</f>
        <v/>
      </c>
      <c r="AN466" s="76" t="str">
        <f aca="false">IF(AM466="","",ROUND(BK466+SUMIFS(AM$6:AM466,BJ$6:BJ466,BJ466),2))</f>
        <v/>
      </c>
      <c r="AO466" s="78" t="str">
        <f aca="false">IF(AK466="","",ROUND(SUMIFS(AK$6:AK466,BJ$6:BJ466,BJ466),2))</f>
        <v/>
      </c>
      <c r="AP466" s="80" t="str">
        <f aca="false">IF(OR(AK466="",BL466=""),"",IFERROR(ROUND(IF(J466="Short",AB466-AE466,AE466-AB466)/BL466,1),""))</f>
        <v/>
      </c>
      <c r="AQ466" s="66" t="str">
        <f aca="false">IF(OR(G466="",H466=""),"",ROUND(MOD(H466-G466,1)*1440,0))</f>
        <v/>
      </c>
      <c r="AR466" s="68" t="str">
        <f aca="false">IF(AQ466="","",IF(AQ466&lt;15,"Under 15m",IF(AQ466&lt;60,"15-60m",IF(AQ466&lt;240,"1-4 hours","4+ hours"))))</f>
        <v/>
      </c>
      <c r="AS466" s="66" t="str">
        <f aca="false">IF(G466="","",HOUR(G466))</f>
        <v/>
      </c>
      <c r="AT466" s="80" t="str">
        <f aca="false">IF(OR(Z466="",AB466="",BL466=""),"",IFERROR(ROUND(IF(J466="Short",Z466-AB466,AB466-Z466)/BL466,1),""))</f>
        <v/>
      </c>
      <c r="AU466" s="68" t="str">
        <f aca="false">IF(OR(AA466="",AC466=""),"",IF(AA466=AC466,"No","Yes"))</f>
        <v/>
      </c>
      <c r="AV466" s="81" t="str">
        <f aca="false">IF(OR(B466="",BL466="",BM466="",AB466="",AC466=""),"",IFERROR(ROUND(AI466/(ABS(AB466-AC466)/BL466*BM466),2),""))</f>
        <v/>
      </c>
      <c r="AW466" s="76" t="str">
        <f aca="false">IF(B466="","",ROUND(BK466+SUMIFS(AM$5:AM465,BJ$5:BJ465,BJ466),2))</f>
        <v/>
      </c>
      <c r="AX466" s="66" t="str">
        <f aca="false">IF(B466="","",COUNTIFS(B$6:B466,B466,BJ$6:BJ466,BJ466))</f>
        <v/>
      </c>
      <c r="AY466" s="79" t="str">
        <f aca="false">IF(B466="","",ROUND(SUMIFS(AM$5:AM465,B$5:B465,B466,BJ$5:BJ465,BJ466),2))</f>
        <v/>
      </c>
      <c r="AZ466" s="79" t="str">
        <f aca="false">IF(AM466="","",ROUND(AY466+AM466,2))</f>
        <v/>
      </c>
      <c r="BA466" s="79" t="str">
        <f aca="false">IF(B466="","",ROUND(SUMIFS(AM$5:AM465,B$5:B465,"&gt;="&amp;(B466-WEEKDAY(B466,2)+1),B$5:B465,"&lt;="&amp;B466,BJ$5:BJ465,BJ466),2))</f>
        <v/>
      </c>
      <c r="BB466" s="68" t="str">
        <f aca="false">IF(B466="","",IF(AND(AF466&lt;&gt;"",AV466&lt;&gt;"",N(AF466)&gt;N(AV466)*(1+Settings!$C$13)),"Oversized",IF(AX466&gt;Settings!$C$10,"Overtraded",IF(AY466&lt;=-Settings!$C$11*(AW466-AY466),"Daily loss hit",IF(BA466&lt;=-Settings!$C$12*(AW466-BA466),"Weekly loss hit","OK")))))</f>
        <v/>
      </c>
      <c r="BC466" s="69"/>
      <c r="BD466" s="69"/>
      <c r="BE466" s="69"/>
      <c r="BF466" s="73"/>
      <c r="BG466" s="73"/>
      <c r="BH466" s="71"/>
      <c r="BI466" s="71"/>
      <c r="BJ466" s="68" t="str">
        <f aca="false">IF(B466="","",IF(E466="",Settings!$F$5,E466))</f>
        <v/>
      </c>
      <c r="BK466" s="76" t="str">
        <f aca="false">IF(B466="","",IFERROR(INDEX(Settings!$G$5:$G$10,MATCH(BJ466,Settings!$F$5:$F$10,0)),Settings!$G$5))</f>
        <v/>
      </c>
      <c r="BL466" s="82" t="str">
        <f aca="false">IF(I466="","",IFERROR(1/(1/INDEX(Lists!$C$6:$C$17,MATCH(I466,Lists!$B$6:$B$17,0))),""))</f>
        <v/>
      </c>
      <c r="BM466" s="81" t="str">
        <f aca="false">IF(I466="","",IFERROR(1/(1/INDEX(Lists!$D$6:$D$17,MATCH(I466,Lists!$B$6:$B$17,0))),""))</f>
        <v/>
      </c>
      <c r="BN466" s="76" t="str">
        <f aca="false">IF(AN466="","",MAX(BK466,_xlfn.MAXIFS(AN$6:AN466,BJ$6:BJ466,BJ466)))</f>
        <v/>
      </c>
      <c r="BO466" s="83" t="str">
        <f aca="false">IF(AN466="","",(AN466-BN466)/BN466)</f>
        <v/>
      </c>
      <c r="BP466" s="66" t="n">
        <f aca="false">IF(OR(B466="",AL466=""),0,IF(OR(Settings!$C$28="All Accounts",BJ466=Settings!$C$28),1,0))</f>
        <v>0</v>
      </c>
      <c r="BQ466" s="66" t="str">
        <f aca="false">IF(BP466=1,SUM(BP$6:BP466),"")</f>
        <v/>
      </c>
      <c r="BR466" s="76" t="str">
        <f aca="false">IF(BP466=1,ROUND(Settings!$C$29+SUMIFS(AM$6:AM466,BP$6:BP466,1),2),"")</f>
        <v/>
      </c>
      <c r="BS466" s="76" t="str">
        <f aca="false">IF(BP466=1,MAX(Settings!$C$29,MAX(BR$6:BR466)),"")</f>
        <v/>
      </c>
      <c r="BT466" s="83" t="str">
        <f aca="false">IF(BP466=1,(BR466-BS466)/BS466,"")</f>
        <v/>
      </c>
      <c r="BU466" s="66" t="str">
        <f aca="false">IF(BP466=1,IF(AL466="Win",1+IF(BQ466=1,0,INDEX(BU$5:BU465,MATCH(BQ466-1,BQ$5:BQ465,0))),0),"")</f>
        <v/>
      </c>
      <c r="BV466" s="66" t="str">
        <f aca="false">IF(BP466=1,IF(AL466="Loss",1+IF(BQ466=1,0,INDEX(BV$5:BV465,MATCH(BQ466-1,BQ$5:BQ465,0))),0),"")</f>
        <v/>
      </c>
    </row>
    <row r="467" customFormat="false" ht="15" hidden="false" customHeight="false" outlineLevel="0" collapsed="false">
      <c r="A467" s="66" t="str">
        <f aca="false">IF(B467="","",ROW()-5)</f>
        <v/>
      </c>
      <c r="B467" s="67"/>
      <c r="C467" s="68" t="str">
        <f aca="false">IF(B467="","",CHOOSE(WEEKDAY(B467,2),"Mon","Tue","Wed","Thu","Fri","Sat","Sun"))</f>
        <v/>
      </c>
      <c r="D467" s="66" t="str">
        <f aca="false">IF(B467="","",WEEKNUM(B467,2))</f>
        <v/>
      </c>
      <c r="E467" s="69"/>
      <c r="F467" s="69"/>
      <c r="G467" s="70"/>
      <c r="H467" s="70"/>
      <c r="I467" s="69"/>
      <c r="J467" s="69"/>
      <c r="K467" s="69"/>
      <c r="L467" s="71"/>
      <c r="M467" s="69"/>
      <c r="N467" s="69"/>
      <c r="O467" s="69"/>
      <c r="P467" s="71"/>
      <c r="Q467" s="69"/>
      <c r="R467" s="69"/>
      <c r="S467" s="69"/>
      <c r="T467" s="69"/>
      <c r="U467" s="69"/>
      <c r="V467" s="69"/>
      <c r="W467" s="69"/>
      <c r="X467" s="66" t="str">
        <f aca="false">IF(B467="","",COUNTIF(Q467:W467,"Yes"))</f>
        <v/>
      </c>
      <c r="Y467" s="68" t="str">
        <f aca="false">IF(B467="","",IF(X467&gt;=Settings!$C$16,"A+",IF(X467&gt;=Settings!$C$17,"A",IF(X467&gt;=Settings!$C$18,"B","C"))))</f>
        <v/>
      </c>
      <c r="Z467" s="72"/>
      <c r="AA467" s="72"/>
      <c r="AB467" s="72"/>
      <c r="AC467" s="72"/>
      <c r="AD467" s="72"/>
      <c r="AE467" s="72"/>
      <c r="AF467" s="73"/>
      <c r="AG467" s="74"/>
      <c r="AH467" s="75"/>
      <c r="AI467" s="76" t="str">
        <f aca="false">IF(B467="","",ROUND(IF(AG467="",Settings!$C$5,AG467)*AW467,2))</f>
        <v/>
      </c>
      <c r="AJ467" s="77" t="str">
        <f aca="false">IF(OR(B467="",AB467="",AC467="",AD467=""),"",IFERROR(ROUND(ABS(AD467-AB467)/ABS(AB467-AC467),2),""))</f>
        <v/>
      </c>
      <c r="AK467" s="78" t="str">
        <f aca="false">IF(OR(B467="",AB467="",AC467="",AE467=""),"",IFERROR(ROUND(IF(J467="Short",AB467-AE467,AE467-AB467)/ABS(AB467-AC467),2),""))</f>
        <v/>
      </c>
      <c r="AL467" s="68" t="str">
        <f aca="false">IF(AK467="","",IF(ABS(AK467)&lt;=Settings!$C$6,"BE",IF(AK467&gt;0,"Win","Loss")))</f>
        <v/>
      </c>
      <c r="AM467" s="79" t="str">
        <f aca="false">IF(OR(AK467="",AI467=""),"",ROUND(AK467*AI467-N(AH467),2))</f>
        <v/>
      </c>
      <c r="AN467" s="76" t="str">
        <f aca="false">IF(AM467="","",ROUND(BK467+SUMIFS(AM$6:AM467,BJ$6:BJ467,BJ467),2))</f>
        <v/>
      </c>
      <c r="AO467" s="78" t="str">
        <f aca="false">IF(AK467="","",ROUND(SUMIFS(AK$6:AK467,BJ$6:BJ467,BJ467),2))</f>
        <v/>
      </c>
      <c r="AP467" s="80" t="str">
        <f aca="false">IF(OR(AK467="",BL467=""),"",IFERROR(ROUND(IF(J467="Short",AB467-AE467,AE467-AB467)/BL467,1),""))</f>
        <v/>
      </c>
      <c r="AQ467" s="66" t="str">
        <f aca="false">IF(OR(G467="",H467=""),"",ROUND(MOD(H467-G467,1)*1440,0))</f>
        <v/>
      </c>
      <c r="AR467" s="68" t="str">
        <f aca="false">IF(AQ467="","",IF(AQ467&lt;15,"Under 15m",IF(AQ467&lt;60,"15-60m",IF(AQ467&lt;240,"1-4 hours","4+ hours"))))</f>
        <v/>
      </c>
      <c r="AS467" s="66" t="str">
        <f aca="false">IF(G467="","",HOUR(G467))</f>
        <v/>
      </c>
      <c r="AT467" s="80" t="str">
        <f aca="false">IF(OR(Z467="",AB467="",BL467=""),"",IFERROR(ROUND(IF(J467="Short",Z467-AB467,AB467-Z467)/BL467,1),""))</f>
        <v/>
      </c>
      <c r="AU467" s="68" t="str">
        <f aca="false">IF(OR(AA467="",AC467=""),"",IF(AA467=AC467,"No","Yes"))</f>
        <v/>
      </c>
      <c r="AV467" s="81" t="str">
        <f aca="false">IF(OR(B467="",BL467="",BM467="",AB467="",AC467=""),"",IFERROR(ROUND(AI467/(ABS(AB467-AC467)/BL467*BM467),2),""))</f>
        <v/>
      </c>
      <c r="AW467" s="76" t="str">
        <f aca="false">IF(B467="","",ROUND(BK467+SUMIFS(AM$5:AM466,BJ$5:BJ466,BJ467),2))</f>
        <v/>
      </c>
      <c r="AX467" s="66" t="str">
        <f aca="false">IF(B467="","",COUNTIFS(B$6:B467,B467,BJ$6:BJ467,BJ467))</f>
        <v/>
      </c>
      <c r="AY467" s="79" t="str">
        <f aca="false">IF(B467="","",ROUND(SUMIFS(AM$5:AM466,B$5:B466,B467,BJ$5:BJ466,BJ467),2))</f>
        <v/>
      </c>
      <c r="AZ467" s="79" t="str">
        <f aca="false">IF(AM467="","",ROUND(AY467+AM467,2))</f>
        <v/>
      </c>
      <c r="BA467" s="79" t="str">
        <f aca="false">IF(B467="","",ROUND(SUMIFS(AM$5:AM466,B$5:B466,"&gt;="&amp;(B467-WEEKDAY(B467,2)+1),B$5:B466,"&lt;="&amp;B467,BJ$5:BJ466,BJ467),2))</f>
        <v/>
      </c>
      <c r="BB467" s="68" t="str">
        <f aca="false">IF(B467="","",IF(AND(AF467&lt;&gt;"",AV467&lt;&gt;"",N(AF467)&gt;N(AV467)*(1+Settings!$C$13)),"Oversized",IF(AX467&gt;Settings!$C$10,"Overtraded",IF(AY467&lt;=-Settings!$C$11*(AW467-AY467),"Daily loss hit",IF(BA467&lt;=-Settings!$C$12*(AW467-BA467),"Weekly loss hit","OK")))))</f>
        <v/>
      </c>
      <c r="BC467" s="69"/>
      <c r="BD467" s="69"/>
      <c r="BE467" s="69"/>
      <c r="BF467" s="73"/>
      <c r="BG467" s="73"/>
      <c r="BH467" s="71"/>
      <c r="BI467" s="71"/>
      <c r="BJ467" s="68" t="str">
        <f aca="false">IF(B467="","",IF(E467="",Settings!$F$5,E467))</f>
        <v/>
      </c>
      <c r="BK467" s="76" t="str">
        <f aca="false">IF(B467="","",IFERROR(INDEX(Settings!$G$5:$G$10,MATCH(BJ467,Settings!$F$5:$F$10,0)),Settings!$G$5))</f>
        <v/>
      </c>
      <c r="BL467" s="82" t="str">
        <f aca="false">IF(I467="","",IFERROR(1/(1/INDEX(Lists!$C$6:$C$17,MATCH(I467,Lists!$B$6:$B$17,0))),""))</f>
        <v/>
      </c>
      <c r="BM467" s="81" t="str">
        <f aca="false">IF(I467="","",IFERROR(1/(1/INDEX(Lists!$D$6:$D$17,MATCH(I467,Lists!$B$6:$B$17,0))),""))</f>
        <v/>
      </c>
      <c r="BN467" s="76" t="str">
        <f aca="false">IF(AN467="","",MAX(BK467,_xlfn.MAXIFS(AN$6:AN467,BJ$6:BJ467,BJ467)))</f>
        <v/>
      </c>
      <c r="BO467" s="83" t="str">
        <f aca="false">IF(AN467="","",(AN467-BN467)/BN467)</f>
        <v/>
      </c>
      <c r="BP467" s="66" t="n">
        <f aca="false">IF(OR(B467="",AL467=""),0,IF(OR(Settings!$C$28="All Accounts",BJ467=Settings!$C$28),1,0))</f>
        <v>0</v>
      </c>
      <c r="BQ467" s="66" t="str">
        <f aca="false">IF(BP467=1,SUM(BP$6:BP467),"")</f>
        <v/>
      </c>
      <c r="BR467" s="76" t="str">
        <f aca="false">IF(BP467=1,ROUND(Settings!$C$29+SUMIFS(AM$6:AM467,BP$6:BP467,1),2),"")</f>
        <v/>
      </c>
      <c r="BS467" s="76" t="str">
        <f aca="false">IF(BP467=1,MAX(Settings!$C$29,MAX(BR$6:BR467)),"")</f>
        <v/>
      </c>
      <c r="BT467" s="83" t="str">
        <f aca="false">IF(BP467=1,(BR467-BS467)/BS467,"")</f>
        <v/>
      </c>
      <c r="BU467" s="66" t="str">
        <f aca="false">IF(BP467=1,IF(AL467="Win",1+IF(BQ467=1,0,INDEX(BU$5:BU466,MATCH(BQ467-1,BQ$5:BQ466,0))),0),"")</f>
        <v/>
      </c>
      <c r="BV467" s="66" t="str">
        <f aca="false">IF(BP467=1,IF(AL467="Loss",1+IF(BQ467=1,0,INDEX(BV$5:BV466,MATCH(BQ467-1,BQ$5:BQ466,0))),0),"")</f>
        <v/>
      </c>
    </row>
    <row r="468" customFormat="false" ht="15" hidden="false" customHeight="false" outlineLevel="0" collapsed="false">
      <c r="A468" s="66" t="str">
        <f aca="false">IF(B468="","",ROW()-5)</f>
        <v/>
      </c>
      <c r="B468" s="67"/>
      <c r="C468" s="68" t="str">
        <f aca="false">IF(B468="","",CHOOSE(WEEKDAY(B468,2),"Mon","Tue","Wed","Thu","Fri","Sat","Sun"))</f>
        <v/>
      </c>
      <c r="D468" s="66" t="str">
        <f aca="false">IF(B468="","",WEEKNUM(B468,2))</f>
        <v/>
      </c>
      <c r="E468" s="69"/>
      <c r="F468" s="69"/>
      <c r="G468" s="70"/>
      <c r="H468" s="70"/>
      <c r="I468" s="69"/>
      <c r="J468" s="69"/>
      <c r="K468" s="69"/>
      <c r="L468" s="71"/>
      <c r="M468" s="69"/>
      <c r="N468" s="69"/>
      <c r="O468" s="69"/>
      <c r="P468" s="71"/>
      <c r="Q468" s="69"/>
      <c r="R468" s="69"/>
      <c r="S468" s="69"/>
      <c r="T468" s="69"/>
      <c r="U468" s="69"/>
      <c r="V468" s="69"/>
      <c r="W468" s="69"/>
      <c r="X468" s="66" t="str">
        <f aca="false">IF(B468="","",COUNTIF(Q468:W468,"Yes"))</f>
        <v/>
      </c>
      <c r="Y468" s="68" t="str">
        <f aca="false">IF(B468="","",IF(X468&gt;=Settings!$C$16,"A+",IF(X468&gt;=Settings!$C$17,"A",IF(X468&gt;=Settings!$C$18,"B","C"))))</f>
        <v/>
      </c>
      <c r="Z468" s="72"/>
      <c r="AA468" s="72"/>
      <c r="AB468" s="72"/>
      <c r="AC468" s="72"/>
      <c r="AD468" s="72"/>
      <c r="AE468" s="72"/>
      <c r="AF468" s="73"/>
      <c r="AG468" s="74"/>
      <c r="AH468" s="75"/>
      <c r="AI468" s="76" t="str">
        <f aca="false">IF(B468="","",ROUND(IF(AG468="",Settings!$C$5,AG468)*AW468,2))</f>
        <v/>
      </c>
      <c r="AJ468" s="77" t="str">
        <f aca="false">IF(OR(B468="",AB468="",AC468="",AD468=""),"",IFERROR(ROUND(ABS(AD468-AB468)/ABS(AB468-AC468),2),""))</f>
        <v/>
      </c>
      <c r="AK468" s="78" t="str">
        <f aca="false">IF(OR(B468="",AB468="",AC468="",AE468=""),"",IFERROR(ROUND(IF(J468="Short",AB468-AE468,AE468-AB468)/ABS(AB468-AC468),2),""))</f>
        <v/>
      </c>
      <c r="AL468" s="68" t="str">
        <f aca="false">IF(AK468="","",IF(ABS(AK468)&lt;=Settings!$C$6,"BE",IF(AK468&gt;0,"Win","Loss")))</f>
        <v/>
      </c>
      <c r="AM468" s="79" t="str">
        <f aca="false">IF(OR(AK468="",AI468=""),"",ROUND(AK468*AI468-N(AH468),2))</f>
        <v/>
      </c>
      <c r="AN468" s="76" t="str">
        <f aca="false">IF(AM468="","",ROUND(BK468+SUMIFS(AM$6:AM468,BJ$6:BJ468,BJ468),2))</f>
        <v/>
      </c>
      <c r="AO468" s="78" t="str">
        <f aca="false">IF(AK468="","",ROUND(SUMIFS(AK$6:AK468,BJ$6:BJ468,BJ468),2))</f>
        <v/>
      </c>
      <c r="AP468" s="80" t="str">
        <f aca="false">IF(OR(AK468="",BL468=""),"",IFERROR(ROUND(IF(J468="Short",AB468-AE468,AE468-AB468)/BL468,1),""))</f>
        <v/>
      </c>
      <c r="AQ468" s="66" t="str">
        <f aca="false">IF(OR(G468="",H468=""),"",ROUND(MOD(H468-G468,1)*1440,0))</f>
        <v/>
      </c>
      <c r="AR468" s="68" t="str">
        <f aca="false">IF(AQ468="","",IF(AQ468&lt;15,"Under 15m",IF(AQ468&lt;60,"15-60m",IF(AQ468&lt;240,"1-4 hours","4+ hours"))))</f>
        <v/>
      </c>
      <c r="AS468" s="66" t="str">
        <f aca="false">IF(G468="","",HOUR(G468))</f>
        <v/>
      </c>
      <c r="AT468" s="80" t="str">
        <f aca="false">IF(OR(Z468="",AB468="",BL468=""),"",IFERROR(ROUND(IF(J468="Short",Z468-AB468,AB468-Z468)/BL468,1),""))</f>
        <v/>
      </c>
      <c r="AU468" s="68" t="str">
        <f aca="false">IF(OR(AA468="",AC468=""),"",IF(AA468=AC468,"No","Yes"))</f>
        <v/>
      </c>
      <c r="AV468" s="81" t="str">
        <f aca="false">IF(OR(B468="",BL468="",BM468="",AB468="",AC468=""),"",IFERROR(ROUND(AI468/(ABS(AB468-AC468)/BL468*BM468),2),""))</f>
        <v/>
      </c>
      <c r="AW468" s="76" t="str">
        <f aca="false">IF(B468="","",ROUND(BK468+SUMIFS(AM$5:AM467,BJ$5:BJ467,BJ468),2))</f>
        <v/>
      </c>
      <c r="AX468" s="66" t="str">
        <f aca="false">IF(B468="","",COUNTIFS(B$6:B468,B468,BJ$6:BJ468,BJ468))</f>
        <v/>
      </c>
      <c r="AY468" s="79" t="str">
        <f aca="false">IF(B468="","",ROUND(SUMIFS(AM$5:AM467,B$5:B467,B468,BJ$5:BJ467,BJ468),2))</f>
        <v/>
      </c>
      <c r="AZ468" s="79" t="str">
        <f aca="false">IF(AM468="","",ROUND(AY468+AM468,2))</f>
        <v/>
      </c>
      <c r="BA468" s="79" t="str">
        <f aca="false">IF(B468="","",ROUND(SUMIFS(AM$5:AM467,B$5:B467,"&gt;="&amp;(B468-WEEKDAY(B468,2)+1),B$5:B467,"&lt;="&amp;B468,BJ$5:BJ467,BJ468),2))</f>
        <v/>
      </c>
      <c r="BB468" s="68" t="str">
        <f aca="false">IF(B468="","",IF(AND(AF468&lt;&gt;"",AV468&lt;&gt;"",N(AF468)&gt;N(AV468)*(1+Settings!$C$13)),"Oversized",IF(AX468&gt;Settings!$C$10,"Overtraded",IF(AY468&lt;=-Settings!$C$11*(AW468-AY468),"Daily loss hit",IF(BA468&lt;=-Settings!$C$12*(AW468-BA468),"Weekly loss hit","OK")))))</f>
        <v/>
      </c>
      <c r="BC468" s="69"/>
      <c r="BD468" s="69"/>
      <c r="BE468" s="69"/>
      <c r="BF468" s="73"/>
      <c r="BG468" s="73"/>
      <c r="BH468" s="71"/>
      <c r="BI468" s="71"/>
      <c r="BJ468" s="68" t="str">
        <f aca="false">IF(B468="","",IF(E468="",Settings!$F$5,E468))</f>
        <v/>
      </c>
      <c r="BK468" s="76" t="str">
        <f aca="false">IF(B468="","",IFERROR(INDEX(Settings!$G$5:$G$10,MATCH(BJ468,Settings!$F$5:$F$10,0)),Settings!$G$5))</f>
        <v/>
      </c>
      <c r="BL468" s="82" t="str">
        <f aca="false">IF(I468="","",IFERROR(1/(1/INDEX(Lists!$C$6:$C$17,MATCH(I468,Lists!$B$6:$B$17,0))),""))</f>
        <v/>
      </c>
      <c r="BM468" s="81" t="str">
        <f aca="false">IF(I468="","",IFERROR(1/(1/INDEX(Lists!$D$6:$D$17,MATCH(I468,Lists!$B$6:$B$17,0))),""))</f>
        <v/>
      </c>
      <c r="BN468" s="76" t="str">
        <f aca="false">IF(AN468="","",MAX(BK468,_xlfn.MAXIFS(AN$6:AN468,BJ$6:BJ468,BJ468)))</f>
        <v/>
      </c>
      <c r="BO468" s="83" t="str">
        <f aca="false">IF(AN468="","",(AN468-BN468)/BN468)</f>
        <v/>
      </c>
      <c r="BP468" s="66" t="n">
        <f aca="false">IF(OR(B468="",AL468=""),0,IF(OR(Settings!$C$28="All Accounts",BJ468=Settings!$C$28),1,0))</f>
        <v>0</v>
      </c>
      <c r="BQ468" s="66" t="str">
        <f aca="false">IF(BP468=1,SUM(BP$6:BP468),"")</f>
        <v/>
      </c>
      <c r="BR468" s="76" t="str">
        <f aca="false">IF(BP468=1,ROUND(Settings!$C$29+SUMIFS(AM$6:AM468,BP$6:BP468,1),2),"")</f>
        <v/>
      </c>
      <c r="BS468" s="76" t="str">
        <f aca="false">IF(BP468=1,MAX(Settings!$C$29,MAX(BR$6:BR468)),"")</f>
        <v/>
      </c>
      <c r="BT468" s="83" t="str">
        <f aca="false">IF(BP468=1,(BR468-BS468)/BS468,"")</f>
        <v/>
      </c>
      <c r="BU468" s="66" t="str">
        <f aca="false">IF(BP468=1,IF(AL468="Win",1+IF(BQ468=1,0,INDEX(BU$5:BU467,MATCH(BQ468-1,BQ$5:BQ467,0))),0),"")</f>
        <v/>
      </c>
      <c r="BV468" s="66" t="str">
        <f aca="false">IF(BP468=1,IF(AL468="Loss",1+IF(BQ468=1,0,INDEX(BV$5:BV467,MATCH(BQ468-1,BQ$5:BQ467,0))),0),"")</f>
        <v/>
      </c>
    </row>
    <row r="469" customFormat="false" ht="15" hidden="false" customHeight="false" outlineLevel="0" collapsed="false">
      <c r="A469" s="66" t="str">
        <f aca="false">IF(B469="","",ROW()-5)</f>
        <v/>
      </c>
      <c r="B469" s="67"/>
      <c r="C469" s="68" t="str">
        <f aca="false">IF(B469="","",CHOOSE(WEEKDAY(B469,2),"Mon","Tue","Wed","Thu","Fri","Sat","Sun"))</f>
        <v/>
      </c>
      <c r="D469" s="66" t="str">
        <f aca="false">IF(B469="","",WEEKNUM(B469,2))</f>
        <v/>
      </c>
      <c r="E469" s="69"/>
      <c r="F469" s="69"/>
      <c r="G469" s="70"/>
      <c r="H469" s="70"/>
      <c r="I469" s="69"/>
      <c r="J469" s="69"/>
      <c r="K469" s="69"/>
      <c r="L469" s="71"/>
      <c r="M469" s="69"/>
      <c r="N469" s="69"/>
      <c r="O469" s="69"/>
      <c r="P469" s="71"/>
      <c r="Q469" s="69"/>
      <c r="R469" s="69"/>
      <c r="S469" s="69"/>
      <c r="T469" s="69"/>
      <c r="U469" s="69"/>
      <c r="V469" s="69"/>
      <c r="W469" s="69"/>
      <c r="X469" s="66" t="str">
        <f aca="false">IF(B469="","",COUNTIF(Q469:W469,"Yes"))</f>
        <v/>
      </c>
      <c r="Y469" s="68" t="str">
        <f aca="false">IF(B469="","",IF(X469&gt;=Settings!$C$16,"A+",IF(X469&gt;=Settings!$C$17,"A",IF(X469&gt;=Settings!$C$18,"B","C"))))</f>
        <v/>
      </c>
      <c r="Z469" s="72"/>
      <c r="AA469" s="72"/>
      <c r="AB469" s="72"/>
      <c r="AC469" s="72"/>
      <c r="AD469" s="72"/>
      <c r="AE469" s="72"/>
      <c r="AF469" s="73"/>
      <c r="AG469" s="74"/>
      <c r="AH469" s="75"/>
      <c r="AI469" s="76" t="str">
        <f aca="false">IF(B469="","",ROUND(IF(AG469="",Settings!$C$5,AG469)*AW469,2))</f>
        <v/>
      </c>
      <c r="AJ469" s="77" t="str">
        <f aca="false">IF(OR(B469="",AB469="",AC469="",AD469=""),"",IFERROR(ROUND(ABS(AD469-AB469)/ABS(AB469-AC469),2),""))</f>
        <v/>
      </c>
      <c r="AK469" s="78" t="str">
        <f aca="false">IF(OR(B469="",AB469="",AC469="",AE469=""),"",IFERROR(ROUND(IF(J469="Short",AB469-AE469,AE469-AB469)/ABS(AB469-AC469),2),""))</f>
        <v/>
      </c>
      <c r="AL469" s="68" t="str">
        <f aca="false">IF(AK469="","",IF(ABS(AK469)&lt;=Settings!$C$6,"BE",IF(AK469&gt;0,"Win","Loss")))</f>
        <v/>
      </c>
      <c r="AM469" s="79" t="str">
        <f aca="false">IF(OR(AK469="",AI469=""),"",ROUND(AK469*AI469-N(AH469),2))</f>
        <v/>
      </c>
      <c r="AN469" s="76" t="str">
        <f aca="false">IF(AM469="","",ROUND(BK469+SUMIFS(AM$6:AM469,BJ$6:BJ469,BJ469),2))</f>
        <v/>
      </c>
      <c r="AO469" s="78" t="str">
        <f aca="false">IF(AK469="","",ROUND(SUMIFS(AK$6:AK469,BJ$6:BJ469,BJ469),2))</f>
        <v/>
      </c>
      <c r="AP469" s="80" t="str">
        <f aca="false">IF(OR(AK469="",BL469=""),"",IFERROR(ROUND(IF(J469="Short",AB469-AE469,AE469-AB469)/BL469,1),""))</f>
        <v/>
      </c>
      <c r="AQ469" s="66" t="str">
        <f aca="false">IF(OR(G469="",H469=""),"",ROUND(MOD(H469-G469,1)*1440,0))</f>
        <v/>
      </c>
      <c r="AR469" s="68" t="str">
        <f aca="false">IF(AQ469="","",IF(AQ469&lt;15,"Under 15m",IF(AQ469&lt;60,"15-60m",IF(AQ469&lt;240,"1-4 hours","4+ hours"))))</f>
        <v/>
      </c>
      <c r="AS469" s="66" t="str">
        <f aca="false">IF(G469="","",HOUR(G469))</f>
        <v/>
      </c>
      <c r="AT469" s="80" t="str">
        <f aca="false">IF(OR(Z469="",AB469="",BL469=""),"",IFERROR(ROUND(IF(J469="Short",Z469-AB469,AB469-Z469)/BL469,1),""))</f>
        <v/>
      </c>
      <c r="AU469" s="68" t="str">
        <f aca="false">IF(OR(AA469="",AC469=""),"",IF(AA469=AC469,"No","Yes"))</f>
        <v/>
      </c>
      <c r="AV469" s="81" t="str">
        <f aca="false">IF(OR(B469="",BL469="",BM469="",AB469="",AC469=""),"",IFERROR(ROUND(AI469/(ABS(AB469-AC469)/BL469*BM469),2),""))</f>
        <v/>
      </c>
      <c r="AW469" s="76" t="str">
        <f aca="false">IF(B469="","",ROUND(BK469+SUMIFS(AM$5:AM468,BJ$5:BJ468,BJ469),2))</f>
        <v/>
      </c>
      <c r="AX469" s="66" t="str">
        <f aca="false">IF(B469="","",COUNTIFS(B$6:B469,B469,BJ$6:BJ469,BJ469))</f>
        <v/>
      </c>
      <c r="AY469" s="79" t="str">
        <f aca="false">IF(B469="","",ROUND(SUMIFS(AM$5:AM468,B$5:B468,B469,BJ$5:BJ468,BJ469),2))</f>
        <v/>
      </c>
      <c r="AZ469" s="79" t="str">
        <f aca="false">IF(AM469="","",ROUND(AY469+AM469,2))</f>
        <v/>
      </c>
      <c r="BA469" s="79" t="str">
        <f aca="false">IF(B469="","",ROUND(SUMIFS(AM$5:AM468,B$5:B468,"&gt;="&amp;(B469-WEEKDAY(B469,2)+1),B$5:B468,"&lt;="&amp;B469,BJ$5:BJ468,BJ469),2))</f>
        <v/>
      </c>
      <c r="BB469" s="68" t="str">
        <f aca="false">IF(B469="","",IF(AND(AF469&lt;&gt;"",AV469&lt;&gt;"",N(AF469)&gt;N(AV469)*(1+Settings!$C$13)),"Oversized",IF(AX469&gt;Settings!$C$10,"Overtraded",IF(AY469&lt;=-Settings!$C$11*(AW469-AY469),"Daily loss hit",IF(BA469&lt;=-Settings!$C$12*(AW469-BA469),"Weekly loss hit","OK")))))</f>
        <v/>
      </c>
      <c r="BC469" s="69"/>
      <c r="BD469" s="69"/>
      <c r="BE469" s="69"/>
      <c r="BF469" s="73"/>
      <c r="BG469" s="73"/>
      <c r="BH469" s="71"/>
      <c r="BI469" s="71"/>
      <c r="BJ469" s="68" t="str">
        <f aca="false">IF(B469="","",IF(E469="",Settings!$F$5,E469))</f>
        <v/>
      </c>
      <c r="BK469" s="76" t="str">
        <f aca="false">IF(B469="","",IFERROR(INDEX(Settings!$G$5:$G$10,MATCH(BJ469,Settings!$F$5:$F$10,0)),Settings!$G$5))</f>
        <v/>
      </c>
      <c r="BL469" s="82" t="str">
        <f aca="false">IF(I469="","",IFERROR(1/(1/INDEX(Lists!$C$6:$C$17,MATCH(I469,Lists!$B$6:$B$17,0))),""))</f>
        <v/>
      </c>
      <c r="BM469" s="81" t="str">
        <f aca="false">IF(I469="","",IFERROR(1/(1/INDEX(Lists!$D$6:$D$17,MATCH(I469,Lists!$B$6:$B$17,0))),""))</f>
        <v/>
      </c>
      <c r="BN469" s="76" t="str">
        <f aca="false">IF(AN469="","",MAX(BK469,_xlfn.MAXIFS(AN$6:AN469,BJ$6:BJ469,BJ469)))</f>
        <v/>
      </c>
      <c r="BO469" s="83" t="str">
        <f aca="false">IF(AN469="","",(AN469-BN469)/BN469)</f>
        <v/>
      </c>
      <c r="BP469" s="66" t="n">
        <f aca="false">IF(OR(B469="",AL469=""),0,IF(OR(Settings!$C$28="All Accounts",BJ469=Settings!$C$28),1,0))</f>
        <v>0</v>
      </c>
      <c r="BQ469" s="66" t="str">
        <f aca="false">IF(BP469=1,SUM(BP$6:BP469),"")</f>
        <v/>
      </c>
      <c r="BR469" s="76" t="str">
        <f aca="false">IF(BP469=1,ROUND(Settings!$C$29+SUMIFS(AM$6:AM469,BP$6:BP469,1),2),"")</f>
        <v/>
      </c>
      <c r="BS469" s="76" t="str">
        <f aca="false">IF(BP469=1,MAX(Settings!$C$29,MAX(BR$6:BR469)),"")</f>
        <v/>
      </c>
      <c r="BT469" s="83" t="str">
        <f aca="false">IF(BP469=1,(BR469-BS469)/BS469,"")</f>
        <v/>
      </c>
      <c r="BU469" s="66" t="str">
        <f aca="false">IF(BP469=1,IF(AL469="Win",1+IF(BQ469=1,0,INDEX(BU$5:BU468,MATCH(BQ469-1,BQ$5:BQ468,0))),0),"")</f>
        <v/>
      </c>
      <c r="BV469" s="66" t="str">
        <f aca="false">IF(BP469=1,IF(AL469="Loss",1+IF(BQ469=1,0,INDEX(BV$5:BV468,MATCH(BQ469-1,BQ$5:BQ468,0))),0),"")</f>
        <v/>
      </c>
    </row>
    <row r="470" customFormat="false" ht="15" hidden="false" customHeight="false" outlineLevel="0" collapsed="false">
      <c r="A470" s="66" t="str">
        <f aca="false">IF(B470="","",ROW()-5)</f>
        <v/>
      </c>
      <c r="B470" s="67"/>
      <c r="C470" s="68" t="str">
        <f aca="false">IF(B470="","",CHOOSE(WEEKDAY(B470,2),"Mon","Tue","Wed","Thu","Fri","Sat","Sun"))</f>
        <v/>
      </c>
      <c r="D470" s="66" t="str">
        <f aca="false">IF(B470="","",WEEKNUM(B470,2))</f>
        <v/>
      </c>
      <c r="E470" s="69"/>
      <c r="F470" s="69"/>
      <c r="G470" s="70"/>
      <c r="H470" s="70"/>
      <c r="I470" s="69"/>
      <c r="J470" s="69"/>
      <c r="K470" s="69"/>
      <c r="L470" s="71"/>
      <c r="M470" s="69"/>
      <c r="N470" s="69"/>
      <c r="O470" s="69"/>
      <c r="P470" s="71"/>
      <c r="Q470" s="69"/>
      <c r="R470" s="69"/>
      <c r="S470" s="69"/>
      <c r="T470" s="69"/>
      <c r="U470" s="69"/>
      <c r="V470" s="69"/>
      <c r="W470" s="69"/>
      <c r="X470" s="66" t="str">
        <f aca="false">IF(B470="","",COUNTIF(Q470:W470,"Yes"))</f>
        <v/>
      </c>
      <c r="Y470" s="68" t="str">
        <f aca="false">IF(B470="","",IF(X470&gt;=Settings!$C$16,"A+",IF(X470&gt;=Settings!$C$17,"A",IF(X470&gt;=Settings!$C$18,"B","C"))))</f>
        <v/>
      </c>
      <c r="Z470" s="72"/>
      <c r="AA470" s="72"/>
      <c r="AB470" s="72"/>
      <c r="AC470" s="72"/>
      <c r="AD470" s="72"/>
      <c r="AE470" s="72"/>
      <c r="AF470" s="73"/>
      <c r="AG470" s="74"/>
      <c r="AH470" s="75"/>
      <c r="AI470" s="76" t="str">
        <f aca="false">IF(B470="","",ROUND(IF(AG470="",Settings!$C$5,AG470)*AW470,2))</f>
        <v/>
      </c>
      <c r="AJ470" s="77" t="str">
        <f aca="false">IF(OR(B470="",AB470="",AC470="",AD470=""),"",IFERROR(ROUND(ABS(AD470-AB470)/ABS(AB470-AC470),2),""))</f>
        <v/>
      </c>
      <c r="AK470" s="78" t="str">
        <f aca="false">IF(OR(B470="",AB470="",AC470="",AE470=""),"",IFERROR(ROUND(IF(J470="Short",AB470-AE470,AE470-AB470)/ABS(AB470-AC470),2),""))</f>
        <v/>
      </c>
      <c r="AL470" s="68" t="str">
        <f aca="false">IF(AK470="","",IF(ABS(AK470)&lt;=Settings!$C$6,"BE",IF(AK470&gt;0,"Win","Loss")))</f>
        <v/>
      </c>
      <c r="AM470" s="79" t="str">
        <f aca="false">IF(OR(AK470="",AI470=""),"",ROUND(AK470*AI470-N(AH470),2))</f>
        <v/>
      </c>
      <c r="AN470" s="76" t="str">
        <f aca="false">IF(AM470="","",ROUND(BK470+SUMIFS(AM$6:AM470,BJ$6:BJ470,BJ470),2))</f>
        <v/>
      </c>
      <c r="AO470" s="78" t="str">
        <f aca="false">IF(AK470="","",ROUND(SUMIFS(AK$6:AK470,BJ$6:BJ470,BJ470),2))</f>
        <v/>
      </c>
      <c r="AP470" s="80" t="str">
        <f aca="false">IF(OR(AK470="",BL470=""),"",IFERROR(ROUND(IF(J470="Short",AB470-AE470,AE470-AB470)/BL470,1),""))</f>
        <v/>
      </c>
      <c r="AQ470" s="66" t="str">
        <f aca="false">IF(OR(G470="",H470=""),"",ROUND(MOD(H470-G470,1)*1440,0))</f>
        <v/>
      </c>
      <c r="AR470" s="68" t="str">
        <f aca="false">IF(AQ470="","",IF(AQ470&lt;15,"Under 15m",IF(AQ470&lt;60,"15-60m",IF(AQ470&lt;240,"1-4 hours","4+ hours"))))</f>
        <v/>
      </c>
      <c r="AS470" s="66" t="str">
        <f aca="false">IF(G470="","",HOUR(G470))</f>
        <v/>
      </c>
      <c r="AT470" s="80" t="str">
        <f aca="false">IF(OR(Z470="",AB470="",BL470=""),"",IFERROR(ROUND(IF(J470="Short",Z470-AB470,AB470-Z470)/BL470,1),""))</f>
        <v/>
      </c>
      <c r="AU470" s="68" t="str">
        <f aca="false">IF(OR(AA470="",AC470=""),"",IF(AA470=AC470,"No","Yes"))</f>
        <v/>
      </c>
      <c r="AV470" s="81" t="str">
        <f aca="false">IF(OR(B470="",BL470="",BM470="",AB470="",AC470=""),"",IFERROR(ROUND(AI470/(ABS(AB470-AC470)/BL470*BM470),2),""))</f>
        <v/>
      </c>
      <c r="AW470" s="76" t="str">
        <f aca="false">IF(B470="","",ROUND(BK470+SUMIFS(AM$5:AM469,BJ$5:BJ469,BJ470),2))</f>
        <v/>
      </c>
      <c r="AX470" s="66" t="str">
        <f aca="false">IF(B470="","",COUNTIFS(B$6:B470,B470,BJ$6:BJ470,BJ470))</f>
        <v/>
      </c>
      <c r="AY470" s="79" t="str">
        <f aca="false">IF(B470="","",ROUND(SUMIFS(AM$5:AM469,B$5:B469,B470,BJ$5:BJ469,BJ470),2))</f>
        <v/>
      </c>
      <c r="AZ470" s="79" t="str">
        <f aca="false">IF(AM470="","",ROUND(AY470+AM470,2))</f>
        <v/>
      </c>
      <c r="BA470" s="79" t="str">
        <f aca="false">IF(B470="","",ROUND(SUMIFS(AM$5:AM469,B$5:B469,"&gt;="&amp;(B470-WEEKDAY(B470,2)+1),B$5:B469,"&lt;="&amp;B470,BJ$5:BJ469,BJ470),2))</f>
        <v/>
      </c>
      <c r="BB470" s="68" t="str">
        <f aca="false">IF(B470="","",IF(AND(AF470&lt;&gt;"",AV470&lt;&gt;"",N(AF470)&gt;N(AV470)*(1+Settings!$C$13)),"Oversized",IF(AX470&gt;Settings!$C$10,"Overtraded",IF(AY470&lt;=-Settings!$C$11*(AW470-AY470),"Daily loss hit",IF(BA470&lt;=-Settings!$C$12*(AW470-BA470),"Weekly loss hit","OK")))))</f>
        <v/>
      </c>
      <c r="BC470" s="69"/>
      <c r="BD470" s="69"/>
      <c r="BE470" s="69"/>
      <c r="BF470" s="73"/>
      <c r="BG470" s="73"/>
      <c r="BH470" s="71"/>
      <c r="BI470" s="71"/>
      <c r="BJ470" s="68" t="str">
        <f aca="false">IF(B470="","",IF(E470="",Settings!$F$5,E470))</f>
        <v/>
      </c>
      <c r="BK470" s="76" t="str">
        <f aca="false">IF(B470="","",IFERROR(INDEX(Settings!$G$5:$G$10,MATCH(BJ470,Settings!$F$5:$F$10,0)),Settings!$G$5))</f>
        <v/>
      </c>
      <c r="BL470" s="82" t="str">
        <f aca="false">IF(I470="","",IFERROR(1/(1/INDEX(Lists!$C$6:$C$17,MATCH(I470,Lists!$B$6:$B$17,0))),""))</f>
        <v/>
      </c>
      <c r="BM470" s="81" t="str">
        <f aca="false">IF(I470="","",IFERROR(1/(1/INDEX(Lists!$D$6:$D$17,MATCH(I470,Lists!$B$6:$B$17,0))),""))</f>
        <v/>
      </c>
      <c r="BN470" s="76" t="str">
        <f aca="false">IF(AN470="","",MAX(BK470,_xlfn.MAXIFS(AN$6:AN470,BJ$6:BJ470,BJ470)))</f>
        <v/>
      </c>
      <c r="BO470" s="83" t="str">
        <f aca="false">IF(AN470="","",(AN470-BN470)/BN470)</f>
        <v/>
      </c>
      <c r="BP470" s="66" t="n">
        <f aca="false">IF(OR(B470="",AL470=""),0,IF(OR(Settings!$C$28="All Accounts",BJ470=Settings!$C$28),1,0))</f>
        <v>0</v>
      </c>
      <c r="BQ470" s="66" t="str">
        <f aca="false">IF(BP470=1,SUM(BP$6:BP470),"")</f>
        <v/>
      </c>
      <c r="BR470" s="76" t="str">
        <f aca="false">IF(BP470=1,ROUND(Settings!$C$29+SUMIFS(AM$6:AM470,BP$6:BP470,1),2),"")</f>
        <v/>
      </c>
      <c r="BS470" s="76" t="str">
        <f aca="false">IF(BP470=1,MAX(Settings!$C$29,MAX(BR$6:BR470)),"")</f>
        <v/>
      </c>
      <c r="BT470" s="83" t="str">
        <f aca="false">IF(BP470=1,(BR470-BS470)/BS470,"")</f>
        <v/>
      </c>
      <c r="BU470" s="66" t="str">
        <f aca="false">IF(BP470=1,IF(AL470="Win",1+IF(BQ470=1,0,INDEX(BU$5:BU469,MATCH(BQ470-1,BQ$5:BQ469,0))),0),"")</f>
        <v/>
      </c>
      <c r="BV470" s="66" t="str">
        <f aca="false">IF(BP470=1,IF(AL470="Loss",1+IF(BQ470=1,0,INDEX(BV$5:BV469,MATCH(BQ470-1,BQ$5:BQ469,0))),0),"")</f>
        <v/>
      </c>
    </row>
    <row r="471" customFormat="false" ht="15" hidden="false" customHeight="false" outlineLevel="0" collapsed="false">
      <c r="A471" s="66" t="str">
        <f aca="false">IF(B471="","",ROW()-5)</f>
        <v/>
      </c>
      <c r="B471" s="67"/>
      <c r="C471" s="68" t="str">
        <f aca="false">IF(B471="","",CHOOSE(WEEKDAY(B471,2),"Mon","Tue","Wed","Thu","Fri","Sat","Sun"))</f>
        <v/>
      </c>
      <c r="D471" s="66" t="str">
        <f aca="false">IF(B471="","",WEEKNUM(B471,2))</f>
        <v/>
      </c>
      <c r="E471" s="69"/>
      <c r="F471" s="69"/>
      <c r="G471" s="70"/>
      <c r="H471" s="70"/>
      <c r="I471" s="69"/>
      <c r="J471" s="69"/>
      <c r="K471" s="69"/>
      <c r="L471" s="71"/>
      <c r="M471" s="69"/>
      <c r="N471" s="69"/>
      <c r="O471" s="69"/>
      <c r="P471" s="71"/>
      <c r="Q471" s="69"/>
      <c r="R471" s="69"/>
      <c r="S471" s="69"/>
      <c r="T471" s="69"/>
      <c r="U471" s="69"/>
      <c r="V471" s="69"/>
      <c r="W471" s="69"/>
      <c r="X471" s="66" t="str">
        <f aca="false">IF(B471="","",COUNTIF(Q471:W471,"Yes"))</f>
        <v/>
      </c>
      <c r="Y471" s="68" t="str">
        <f aca="false">IF(B471="","",IF(X471&gt;=Settings!$C$16,"A+",IF(X471&gt;=Settings!$C$17,"A",IF(X471&gt;=Settings!$C$18,"B","C"))))</f>
        <v/>
      </c>
      <c r="Z471" s="72"/>
      <c r="AA471" s="72"/>
      <c r="AB471" s="72"/>
      <c r="AC471" s="72"/>
      <c r="AD471" s="72"/>
      <c r="AE471" s="72"/>
      <c r="AF471" s="73"/>
      <c r="AG471" s="74"/>
      <c r="AH471" s="75"/>
      <c r="AI471" s="76" t="str">
        <f aca="false">IF(B471="","",ROUND(IF(AG471="",Settings!$C$5,AG471)*AW471,2))</f>
        <v/>
      </c>
      <c r="AJ471" s="77" t="str">
        <f aca="false">IF(OR(B471="",AB471="",AC471="",AD471=""),"",IFERROR(ROUND(ABS(AD471-AB471)/ABS(AB471-AC471),2),""))</f>
        <v/>
      </c>
      <c r="AK471" s="78" t="str">
        <f aca="false">IF(OR(B471="",AB471="",AC471="",AE471=""),"",IFERROR(ROUND(IF(J471="Short",AB471-AE471,AE471-AB471)/ABS(AB471-AC471),2),""))</f>
        <v/>
      </c>
      <c r="AL471" s="68" t="str">
        <f aca="false">IF(AK471="","",IF(ABS(AK471)&lt;=Settings!$C$6,"BE",IF(AK471&gt;0,"Win","Loss")))</f>
        <v/>
      </c>
      <c r="AM471" s="79" t="str">
        <f aca="false">IF(OR(AK471="",AI471=""),"",ROUND(AK471*AI471-N(AH471),2))</f>
        <v/>
      </c>
      <c r="AN471" s="76" t="str">
        <f aca="false">IF(AM471="","",ROUND(BK471+SUMIFS(AM$6:AM471,BJ$6:BJ471,BJ471),2))</f>
        <v/>
      </c>
      <c r="AO471" s="78" t="str">
        <f aca="false">IF(AK471="","",ROUND(SUMIFS(AK$6:AK471,BJ$6:BJ471,BJ471),2))</f>
        <v/>
      </c>
      <c r="AP471" s="80" t="str">
        <f aca="false">IF(OR(AK471="",BL471=""),"",IFERROR(ROUND(IF(J471="Short",AB471-AE471,AE471-AB471)/BL471,1),""))</f>
        <v/>
      </c>
      <c r="AQ471" s="66" t="str">
        <f aca="false">IF(OR(G471="",H471=""),"",ROUND(MOD(H471-G471,1)*1440,0))</f>
        <v/>
      </c>
      <c r="AR471" s="68" t="str">
        <f aca="false">IF(AQ471="","",IF(AQ471&lt;15,"Under 15m",IF(AQ471&lt;60,"15-60m",IF(AQ471&lt;240,"1-4 hours","4+ hours"))))</f>
        <v/>
      </c>
      <c r="AS471" s="66" t="str">
        <f aca="false">IF(G471="","",HOUR(G471))</f>
        <v/>
      </c>
      <c r="AT471" s="80" t="str">
        <f aca="false">IF(OR(Z471="",AB471="",BL471=""),"",IFERROR(ROUND(IF(J471="Short",Z471-AB471,AB471-Z471)/BL471,1),""))</f>
        <v/>
      </c>
      <c r="AU471" s="68" t="str">
        <f aca="false">IF(OR(AA471="",AC471=""),"",IF(AA471=AC471,"No","Yes"))</f>
        <v/>
      </c>
      <c r="AV471" s="81" t="str">
        <f aca="false">IF(OR(B471="",BL471="",BM471="",AB471="",AC471=""),"",IFERROR(ROUND(AI471/(ABS(AB471-AC471)/BL471*BM471),2),""))</f>
        <v/>
      </c>
      <c r="AW471" s="76" t="str">
        <f aca="false">IF(B471="","",ROUND(BK471+SUMIFS(AM$5:AM470,BJ$5:BJ470,BJ471),2))</f>
        <v/>
      </c>
      <c r="AX471" s="66" t="str">
        <f aca="false">IF(B471="","",COUNTIFS(B$6:B471,B471,BJ$6:BJ471,BJ471))</f>
        <v/>
      </c>
      <c r="AY471" s="79" t="str">
        <f aca="false">IF(B471="","",ROUND(SUMIFS(AM$5:AM470,B$5:B470,B471,BJ$5:BJ470,BJ471),2))</f>
        <v/>
      </c>
      <c r="AZ471" s="79" t="str">
        <f aca="false">IF(AM471="","",ROUND(AY471+AM471,2))</f>
        <v/>
      </c>
      <c r="BA471" s="79" t="str">
        <f aca="false">IF(B471="","",ROUND(SUMIFS(AM$5:AM470,B$5:B470,"&gt;="&amp;(B471-WEEKDAY(B471,2)+1),B$5:B470,"&lt;="&amp;B471,BJ$5:BJ470,BJ471),2))</f>
        <v/>
      </c>
      <c r="BB471" s="68" t="str">
        <f aca="false">IF(B471="","",IF(AND(AF471&lt;&gt;"",AV471&lt;&gt;"",N(AF471)&gt;N(AV471)*(1+Settings!$C$13)),"Oversized",IF(AX471&gt;Settings!$C$10,"Overtraded",IF(AY471&lt;=-Settings!$C$11*(AW471-AY471),"Daily loss hit",IF(BA471&lt;=-Settings!$C$12*(AW471-BA471),"Weekly loss hit","OK")))))</f>
        <v/>
      </c>
      <c r="BC471" s="69"/>
      <c r="BD471" s="69"/>
      <c r="BE471" s="69"/>
      <c r="BF471" s="73"/>
      <c r="BG471" s="73"/>
      <c r="BH471" s="71"/>
      <c r="BI471" s="71"/>
      <c r="BJ471" s="68" t="str">
        <f aca="false">IF(B471="","",IF(E471="",Settings!$F$5,E471))</f>
        <v/>
      </c>
      <c r="BK471" s="76" t="str">
        <f aca="false">IF(B471="","",IFERROR(INDEX(Settings!$G$5:$G$10,MATCH(BJ471,Settings!$F$5:$F$10,0)),Settings!$G$5))</f>
        <v/>
      </c>
      <c r="BL471" s="82" t="str">
        <f aca="false">IF(I471="","",IFERROR(1/(1/INDEX(Lists!$C$6:$C$17,MATCH(I471,Lists!$B$6:$B$17,0))),""))</f>
        <v/>
      </c>
      <c r="BM471" s="81" t="str">
        <f aca="false">IF(I471="","",IFERROR(1/(1/INDEX(Lists!$D$6:$D$17,MATCH(I471,Lists!$B$6:$B$17,0))),""))</f>
        <v/>
      </c>
      <c r="BN471" s="76" t="str">
        <f aca="false">IF(AN471="","",MAX(BK471,_xlfn.MAXIFS(AN$6:AN471,BJ$6:BJ471,BJ471)))</f>
        <v/>
      </c>
      <c r="BO471" s="83" t="str">
        <f aca="false">IF(AN471="","",(AN471-BN471)/BN471)</f>
        <v/>
      </c>
      <c r="BP471" s="66" t="n">
        <f aca="false">IF(OR(B471="",AL471=""),0,IF(OR(Settings!$C$28="All Accounts",BJ471=Settings!$C$28),1,0))</f>
        <v>0</v>
      </c>
      <c r="BQ471" s="66" t="str">
        <f aca="false">IF(BP471=1,SUM(BP$6:BP471),"")</f>
        <v/>
      </c>
      <c r="BR471" s="76" t="str">
        <f aca="false">IF(BP471=1,ROUND(Settings!$C$29+SUMIFS(AM$6:AM471,BP$6:BP471,1),2),"")</f>
        <v/>
      </c>
      <c r="BS471" s="76" t="str">
        <f aca="false">IF(BP471=1,MAX(Settings!$C$29,MAX(BR$6:BR471)),"")</f>
        <v/>
      </c>
      <c r="BT471" s="83" t="str">
        <f aca="false">IF(BP471=1,(BR471-BS471)/BS471,"")</f>
        <v/>
      </c>
      <c r="BU471" s="66" t="str">
        <f aca="false">IF(BP471=1,IF(AL471="Win",1+IF(BQ471=1,0,INDEX(BU$5:BU470,MATCH(BQ471-1,BQ$5:BQ470,0))),0),"")</f>
        <v/>
      </c>
      <c r="BV471" s="66" t="str">
        <f aca="false">IF(BP471=1,IF(AL471="Loss",1+IF(BQ471=1,0,INDEX(BV$5:BV470,MATCH(BQ471-1,BQ$5:BQ470,0))),0),"")</f>
        <v/>
      </c>
    </row>
    <row r="472" customFormat="false" ht="15" hidden="false" customHeight="false" outlineLevel="0" collapsed="false">
      <c r="A472" s="66" t="str">
        <f aca="false">IF(B472="","",ROW()-5)</f>
        <v/>
      </c>
      <c r="B472" s="67"/>
      <c r="C472" s="68" t="str">
        <f aca="false">IF(B472="","",CHOOSE(WEEKDAY(B472,2),"Mon","Tue","Wed","Thu","Fri","Sat","Sun"))</f>
        <v/>
      </c>
      <c r="D472" s="66" t="str">
        <f aca="false">IF(B472="","",WEEKNUM(B472,2))</f>
        <v/>
      </c>
      <c r="E472" s="69"/>
      <c r="F472" s="69"/>
      <c r="G472" s="70"/>
      <c r="H472" s="70"/>
      <c r="I472" s="69"/>
      <c r="J472" s="69"/>
      <c r="K472" s="69"/>
      <c r="L472" s="71"/>
      <c r="M472" s="69"/>
      <c r="N472" s="69"/>
      <c r="O472" s="69"/>
      <c r="P472" s="71"/>
      <c r="Q472" s="69"/>
      <c r="R472" s="69"/>
      <c r="S472" s="69"/>
      <c r="T472" s="69"/>
      <c r="U472" s="69"/>
      <c r="V472" s="69"/>
      <c r="W472" s="69"/>
      <c r="X472" s="66" t="str">
        <f aca="false">IF(B472="","",COUNTIF(Q472:W472,"Yes"))</f>
        <v/>
      </c>
      <c r="Y472" s="68" t="str">
        <f aca="false">IF(B472="","",IF(X472&gt;=Settings!$C$16,"A+",IF(X472&gt;=Settings!$C$17,"A",IF(X472&gt;=Settings!$C$18,"B","C"))))</f>
        <v/>
      </c>
      <c r="Z472" s="72"/>
      <c r="AA472" s="72"/>
      <c r="AB472" s="72"/>
      <c r="AC472" s="72"/>
      <c r="AD472" s="72"/>
      <c r="AE472" s="72"/>
      <c r="AF472" s="73"/>
      <c r="AG472" s="74"/>
      <c r="AH472" s="75"/>
      <c r="AI472" s="76" t="str">
        <f aca="false">IF(B472="","",ROUND(IF(AG472="",Settings!$C$5,AG472)*AW472,2))</f>
        <v/>
      </c>
      <c r="AJ472" s="77" t="str">
        <f aca="false">IF(OR(B472="",AB472="",AC472="",AD472=""),"",IFERROR(ROUND(ABS(AD472-AB472)/ABS(AB472-AC472),2),""))</f>
        <v/>
      </c>
      <c r="AK472" s="78" t="str">
        <f aca="false">IF(OR(B472="",AB472="",AC472="",AE472=""),"",IFERROR(ROUND(IF(J472="Short",AB472-AE472,AE472-AB472)/ABS(AB472-AC472),2),""))</f>
        <v/>
      </c>
      <c r="AL472" s="68" t="str">
        <f aca="false">IF(AK472="","",IF(ABS(AK472)&lt;=Settings!$C$6,"BE",IF(AK472&gt;0,"Win","Loss")))</f>
        <v/>
      </c>
      <c r="AM472" s="79" t="str">
        <f aca="false">IF(OR(AK472="",AI472=""),"",ROUND(AK472*AI472-N(AH472),2))</f>
        <v/>
      </c>
      <c r="AN472" s="76" t="str">
        <f aca="false">IF(AM472="","",ROUND(BK472+SUMIFS(AM$6:AM472,BJ$6:BJ472,BJ472),2))</f>
        <v/>
      </c>
      <c r="AO472" s="78" t="str">
        <f aca="false">IF(AK472="","",ROUND(SUMIFS(AK$6:AK472,BJ$6:BJ472,BJ472),2))</f>
        <v/>
      </c>
      <c r="AP472" s="80" t="str">
        <f aca="false">IF(OR(AK472="",BL472=""),"",IFERROR(ROUND(IF(J472="Short",AB472-AE472,AE472-AB472)/BL472,1),""))</f>
        <v/>
      </c>
      <c r="AQ472" s="66" t="str">
        <f aca="false">IF(OR(G472="",H472=""),"",ROUND(MOD(H472-G472,1)*1440,0))</f>
        <v/>
      </c>
      <c r="AR472" s="68" t="str">
        <f aca="false">IF(AQ472="","",IF(AQ472&lt;15,"Under 15m",IF(AQ472&lt;60,"15-60m",IF(AQ472&lt;240,"1-4 hours","4+ hours"))))</f>
        <v/>
      </c>
      <c r="AS472" s="66" t="str">
        <f aca="false">IF(G472="","",HOUR(G472))</f>
        <v/>
      </c>
      <c r="AT472" s="80" t="str">
        <f aca="false">IF(OR(Z472="",AB472="",BL472=""),"",IFERROR(ROUND(IF(J472="Short",Z472-AB472,AB472-Z472)/BL472,1),""))</f>
        <v/>
      </c>
      <c r="AU472" s="68" t="str">
        <f aca="false">IF(OR(AA472="",AC472=""),"",IF(AA472=AC472,"No","Yes"))</f>
        <v/>
      </c>
      <c r="AV472" s="81" t="str">
        <f aca="false">IF(OR(B472="",BL472="",BM472="",AB472="",AC472=""),"",IFERROR(ROUND(AI472/(ABS(AB472-AC472)/BL472*BM472),2),""))</f>
        <v/>
      </c>
      <c r="AW472" s="76" t="str">
        <f aca="false">IF(B472="","",ROUND(BK472+SUMIFS(AM$5:AM471,BJ$5:BJ471,BJ472),2))</f>
        <v/>
      </c>
      <c r="AX472" s="66" t="str">
        <f aca="false">IF(B472="","",COUNTIFS(B$6:B472,B472,BJ$6:BJ472,BJ472))</f>
        <v/>
      </c>
      <c r="AY472" s="79" t="str">
        <f aca="false">IF(B472="","",ROUND(SUMIFS(AM$5:AM471,B$5:B471,B472,BJ$5:BJ471,BJ472),2))</f>
        <v/>
      </c>
      <c r="AZ472" s="79" t="str">
        <f aca="false">IF(AM472="","",ROUND(AY472+AM472,2))</f>
        <v/>
      </c>
      <c r="BA472" s="79" t="str">
        <f aca="false">IF(B472="","",ROUND(SUMIFS(AM$5:AM471,B$5:B471,"&gt;="&amp;(B472-WEEKDAY(B472,2)+1),B$5:B471,"&lt;="&amp;B472,BJ$5:BJ471,BJ472),2))</f>
        <v/>
      </c>
      <c r="BB472" s="68" t="str">
        <f aca="false">IF(B472="","",IF(AND(AF472&lt;&gt;"",AV472&lt;&gt;"",N(AF472)&gt;N(AV472)*(1+Settings!$C$13)),"Oversized",IF(AX472&gt;Settings!$C$10,"Overtraded",IF(AY472&lt;=-Settings!$C$11*(AW472-AY472),"Daily loss hit",IF(BA472&lt;=-Settings!$C$12*(AW472-BA472),"Weekly loss hit","OK")))))</f>
        <v/>
      </c>
      <c r="BC472" s="69"/>
      <c r="BD472" s="69"/>
      <c r="BE472" s="69"/>
      <c r="BF472" s="73"/>
      <c r="BG472" s="73"/>
      <c r="BH472" s="71"/>
      <c r="BI472" s="71"/>
      <c r="BJ472" s="68" t="str">
        <f aca="false">IF(B472="","",IF(E472="",Settings!$F$5,E472))</f>
        <v/>
      </c>
      <c r="BK472" s="76" t="str">
        <f aca="false">IF(B472="","",IFERROR(INDEX(Settings!$G$5:$G$10,MATCH(BJ472,Settings!$F$5:$F$10,0)),Settings!$G$5))</f>
        <v/>
      </c>
      <c r="BL472" s="82" t="str">
        <f aca="false">IF(I472="","",IFERROR(1/(1/INDEX(Lists!$C$6:$C$17,MATCH(I472,Lists!$B$6:$B$17,0))),""))</f>
        <v/>
      </c>
      <c r="BM472" s="81" t="str">
        <f aca="false">IF(I472="","",IFERROR(1/(1/INDEX(Lists!$D$6:$D$17,MATCH(I472,Lists!$B$6:$B$17,0))),""))</f>
        <v/>
      </c>
      <c r="BN472" s="76" t="str">
        <f aca="false">IF(AN472="","",MAX(BK472,_xlfn.MAXIFS(AN$6:AN472,BJ$6:BJ472,BJ472)))</f>
        <v/>
      </c>
      <c r="BO472" s="83" t="str">
        <f aca="false">IF(AN472="","",(AN472-BN472)/BN472)</f>
        <v/>
      </c>
      <c r="BP472" s="66" t="n">
        <f aca="false">IF(OR(B472="",AL472=""),0,IF(OR(Settings!$C$28="All Accounts",BJ472=Settings!$C$28),1,0))</f>
        <v>0</v>
      </c>
      <c r="BQ472" s="66" t="str">
        <f aca="false">IF(BP472=1,SUM(BP$6:BP472),"")</f>
        <v/>
      </c>
      <c r="BR472" s="76" t="str">
        <f aca="false">IF(BP472=1,ROUND(Settings!$C$29+SUMIFS(AM$6:AM472,BP$6:BP472,1),2),"")</f>
        <v/>
      </c>
      <c r="BS472" s="76" t="str">
        <f aca="false">IF(BP472=1,MAX(Settings!$C$29,MAX(BR$6:BR472)),"")</f>
        <v/>
      </c>
      <c r="BT472" s="83" t="str">
        <f aca="false">IF(BP472=1,(BR472-BS472)/BS472,"")</f>
        <v/>
      </c>
      <c r="BU472" s="66" t="str">
        <f aca="false">IF(BP472=1,IF(AL472="Win",1+IF(BQ472=1,0,INDEX(BU$5:BU471,MATCH(BQ472-1,BQ$5:BQ471,0))),0),"")</f>
        <v/>
      </c>
      <c r="BV472" s="66" t="str">
        <f aca="false">IF(BP472=1,IF(AL472="Loss",1+IF(BQ472=1,0,INDEX(BV$5:BV471,MATCH(BQ472-1,BQ$5:BQ471,0))),0),"")</f>
        <v/>
      </c>
    </row>
    <row r="473" customFormat="false" ht="15" hidden="false" customHeight="false" outlineLevel="0" collapsed="false">
      <c r="A473" s="66" t="str">
        <f aca="false">IF(B473="","",ROW()-5)</f>
        <v/>
      </c>
      <c r="B473" s="67"/>
      <c r="C473" s="68" t="str">
        <f aca="false">IF(B473="","",CHOOSE(WEEKDAY(B473,2),"Mon","Tue","Wed","Thu","Fri","Sat","Sun"))</f>
        <v/>
      </c>
      <c r="D473" s="66" t="str">
        <f aca="false">IF(B473="","",WEEKNUM(B473,2))</f>
        <v/>
      </c>
      <c r="E473" s="69"/>
      <c r="F473" s="69"/>
      <c r="G473" s="70"/>
      <c r="H473" s="70"/>
      <c r="I473" s="69"/>
      <c r="J473" s="69"/>
      <c r="K473" s="69"/>
      <c r="L473" s="71"/>
      <c r="M473" s="69"/>
      <c r="N473" s="69"/>
      <c r="O473" s="69"/>
      <c r="P473" s="71"/>
      <c r="Q473" s="69"/>
      <c r="R473" s="69"/>
      <c r="S473" s="69"/>
      <c r="T473" s="69"/>
      <c r="U473" s="69"/>
      <c r="V473" s="69"/>
      <c r="W473" s="69"/>
      <c r="X473" s="66" t="str">
        <f aca="false">IF(B473="","",COUNTIF(Q473:W473,"Yes"))</f>
        <v/>
      </c>
      <c r="Y473" s="68" t="str">
        <f aca="false">IF(B473="","",IF(X473&gt;=Settings!$C$16,"A+",IF(X473&gt;=Settings!$C$17,"A",IF(X473&gt;=Settings!$C$18,"B","C"))))</f>
        <v/>
      </c>
      <c r="Z473" s="72"/>
      <c r="AA473" s="72"/>
      <c r="AB473" s="72"/>
      <c r="AC473" s="72"/>
      <c r="AD473" s="72"/>
      <c r="AE473" s="72"/>
      <c r="AF473" s="73"/>
      <c r="AG473" s="74"/>
      <c r="AH473" s="75"/>
      <c r="AI473" s="76" t="str">
        <f aca="false">IF(B473="","",ROUND(IF(AG473="",Settings!$C$5,AG473)*AW473,2))</f>
        <v/>
      </c>
      <c r="AJ473" s="77" t="str">
        <f aca="false">IF(OR(B473="",AB473="",AC473="",AD473=""),"",IFERROR(ROUND(ABS(AD473-AB473)/ABS(AB473-AC473),2),""))</f>
        <v/>
      </c>
      <c r="AK473" s="78" t="str">
        <f aca="false">IF(OR(B473="",AB473="",AC473="",AE473=""),"",IFERROR(ROUND(IF(J473="Short",AB473-AE473,AE473-AB473)/ABS(AB473-AC473),2),""))</f>
        <v/>
      </c>
      <c r="AL473" s="68" t="str">
        <f aca="false">IF(AK473="","",IF(ABS(AK473)&lt;=Settings!$C$6,"BE",IF(AK473&gt;0,"Win","Loss")))</f>
        <v/>
      </c>
      <c r="AM473" s="79" t="str">
        <f aca="false">IF(OR(AK473="",AI473=""),"",ROUND(AK473*AI473-N(AH473),2))</f>
        <v/>
      </c>
      <c r="AN473" s="76" t="str">
        <f aca="false">IF(AM473="","",ROUND(BK473+SUMIFS(AM$6:AM473,BJ$6:BJ473,BJ473),2))</f>
        <v/>
      </c>
      <c r="AO473" s="78" t="str">
        <f aca="false">IF(AK473="","",ROUND(SUMIFS(AK$6:AK473,BJ$6:BJ473,BJ473),2))</f>
        <v/>
      </c>
      <c r="AP473" s="80" t="str">
        <f aca="false">IF(OR(AK473="",BL473=""),"",IFERROR(ROUND(IF(J473="Short",AB473-AE473,AE473-AB473)/BL473,1),""))</f>
        <v/>
      </c>
      <c r="AQ473" s="66" t="str">
        <f aca="false">IF(OR(G473="",H473=""),"",ROUND(MOD(H473-G473,1)*1440,0))</f>
        <v/>
      </c>
      <c r="AR473" s="68" t="str">
        <f aca="false">IF(AQ473="","",IF(AQ473&lt;15,"Under 15m",IF(AQ473&lt;60,"15-60m",IF(AQ473&lt;240,"1-4 hours","4+ hours"))))</f>
        <v/>
      </c>
      <c r="AS473" s="66" t="str">
        <f aca="false">IF(G473="","",HOUR(G473))</f>
        <v/>
      </c>
      <c r="AT473" s="80" t="str">
        <f aca="false">IF(OR(Z473="",AB473="",BL473=""),"",IFERROR(ROUND(IF(J473="Short",Z473-AB473,AB473-Z473)/BL473,1),""))</f>
        <v/>
      </c>
      <c r="AU473" s="68" t="str">
        <f aca="false">IF(OR(AA473="",AC473=""),"",IF(AA473=AC473,"No","Yes"))</f>
        <v/>
      </c>
      <c r="AV473" s="81" t="str">
        <f aca="false">IF(OR(B473="",BL473="",BM473="",AB473="",AC473=""),"",IFERROR(ROUND(AI473/(ABS(AB473-AC473)/BL473*BM473),2),""))</f>
        <v/>
      </c>
      <c r="AW473" s="76" t="str">
        <f aca="false">IF(B473="","",ROUND(BK473+SUMIFS(AM$5:AM472,BJ$5:BJ472,BJ473),2))</f>
        <v/>
      </c>
      <c r="AX473" s="66" t="str">
        <f aca="false">IF(B473="","",COUNTIFS(B$6:B473,B473,BJ$6:BJ473,BJ473))</f>
        <v/>
      </c>
      <c r="AY473" s="79" t="str">
        <f aca="false">IF(B473="","",ROUND(SUMIFS(AM$5:AM472,B$5:B472,B473,BJ$5:BJ472,BJ473),2))</f>
        <v/>
      </c>
      <c r="AZ473" s="79" t="str">
        <f aca="false">IF(AM473="","",ROUND(AY473+AM473,2))</f>
        <v/>
      </c>
      <c r="BA473" s="79" t="str">
        <f aca="false">IF(B473="","",ROUND(SUMIFS(AM$5:AM472,B$5:B472,"&gt;="&amp;(B473-WEEKDAY(B473,2)+1),B$5:B472,"&lt;="&amp;B473,BJ$5:BJ472,BJ473),2))</f>
        <v/>
      </c>
      <c r="BB473" s="68" t="str">
        <f aca="false">IF(B473="","",IF(AND(AF473&lt;&gt;"",AV473&lt;&gt;"",N(AF473)&gt;N(AV473)*(1+Settings!$C$13)),"Oversized",IF(AX473&gt;Settings!$C$10,"Overtraded",IF(AY473&lt;=-Settings!$C$11*(AW473-AY473),"Daily loss hit",IF(BA473&lt;=-Settings!$C$12*(AW473-BA473),"Weekly loss hit","OK")))))</f>
        <v/>
      </c>
      <c r="BC473" s="69"/>
      <c r="BD473" s="69"/>
      <c r="BE473" s="69"/>
      <c r="BF473" s="73"/>
      <c r="BG473" s="73"/>
      <c r="BH473" s="71"/>
      <c r="BI473" s="71"/>
      <c r="BJ473" s="68" t="str">
        <f aca="false">IF(B473="","",IF(E473="",Settings!$F$5,E473))</f>
        <v/>
      </c>
      <c r="BK473" s="76" t="str">
        <f aca="false">IF(B473="","",IFERROR(INDEX(Settings!$G$5:$G$10,MATCH(BJ473,Settings!$F$5:$F$10,0)),Settings!$G$5))</f>
        <v/>
      </c>
      <c r="BL473" s="82" t="str">
        <f aca="false">IF(I473="","",IFERROR(1/(1/INDEX(Lists!$C$6:$C$17,MATCH(I473,Lists!$B$6:$B$17,0))),""))</f>
        <v/>
      </c>
      <c r="BM473" s="81" t="str">
        <f aca="false">IF(I473="","",IFERROR(1/(1/INDEX(Lists!$D$6:$D$17,MATCH(I473,Lists!$B$6:$B$17,0))),""))</f>
        <v/>
      </c>
      <c r="BN473" s="76" t="str">
        <f aca="false">IF(AN473="","",MAX(BK473,_xlfn.MAXIFS(AN$6:AN473,BJ$6:BJ473,BJ473)))</f>
        <v/>
      </c>
      <c r="BO473" s="83" t="str">
        <f aca="false">IF(AN473="","",(AN473-BN473)/BN473)</f>
        <v/>
      </c>
      <c r="BP473" s="66" t="n">
        <f aca="false">IF(OR(B473="",AL473=""),0,IF(OR(Settings!$C$28="All Accounts",BJ473=Settings!$C$28),1,0))</f>
        <v>0</v>
      </c>
      <c r="BQ473" s="66" t="str">
        <f aca="false">IF(BP473=1,SUM(BP$6:BP473),"")</f>
        <v/>
      </c>
      <c r="BR473" s="76" t="str">
        <f aca="false">IF(BP473=1,ROUND(Settings!$C$29+SUMIFS(AM$6:AM473,BP$6:BP473,1),2),"")</f>
        <v/>
      </c>
      <c r="BS473" s="76" t="str">
        <f aca="false">IF(BP473=1,MAX(Settings!$C$29,MAX(BR$6:BR473)),"")</f>
        <v/>
      </c>
      <c r="BT473" s="83" t="str">
        <f aca="false">IF(BP473=1,(BR473-BS473)/BS473,"")</f>
        <v/>
      </c>
      <c r="BU473" s="66" t="str">
        <f aca="false">IF(BP473=1,IF(AL473="Win",1+IF(BQ473=1,0,INDEX(BU$5:BU472,MATCH(BQ473-1,BQ$5:BQ472,0))),0),"")</f>
        <v/>
      </c>
      <c r="BV473" s="66" t="str">
        <f aca="false">IF(BP473=1,IF(AL473="Loss",1+IF(BQ473=1,0,INDEX(BV$5:BV472,MATCH(BQ473-1,BQ$5:BQ472,0))),0),"")</f>
        <v/>
      </c>
    </row>
    <row r="474" customFormat="false" ht="15" hidden="false" customHeight="false" outlineLevel="0" collapsed="false">
      <c r="A474" s="66" t="str">
        <f aca="false">IF(B474="","",ROW()-5)</f>
        <v/>
      </c>
      <c r="B474" s="67"/>
      <c r="C474" s="68" t="str">
        <f aca="false">IF(B474="","",CHOOSE(WEEKDAY(B474,2),"Mon","Tue","Wed","Thu","Fri","Sat","Sun"))</f>
        <v/>
      </c>
      <c r="D474" s="66" t="str">
        <f aca="false">IF(B474="","",WEEKNUM(B474,2))</f>
        <v/>
      </c>
      <c r="E474" s="69"/>
      <c r="F474" s="69"/>
      <c r="G474" s="70"/>
      <c r="H474" s="70"/>
      <c r="I474" s="69"/>
      <c r="J474" s="69"/>
      <c r="K474" s="69"/>
      <c r="L474" s="71"/>
      <c r="M474" s="69"/>
      <c r="N474" s="69"/>
      <c r="O474" s="69"/>
      <c r="P474" s="71"/>
      <c r="Q474" s="69"/>
      <c r="R474" s="69"/>
      <c r="S474" s="69"/>
      <c r="T474" s="69"/>
      <c r="U474" s="69"/>
      <c r="V474" s="69"/>
      <c r="W474" s="69"/>
      <c r="X474" s="66" t="str">
        <f aca="false">IF(B474="","",COUNTIF(Q474:W474,"Yes"))</f>
        <v/>
      </c>
      <c r="Y474" s="68" t="str">
        <f aca="false">IF(B474="","",IF(X474&gt;=Settings!$C$16,"A+",IF(X474&gt;=Settings!$C$17,"A",IF(X474&gt;=Settings!$C$18,"B","C"))))</f>
        <v/>
      </c>
      <c r="Z474" s="72"/>
      <c r="AA474" s="72"/>
      <c r="AB474" s="72"/>
      <c r="AC474" s="72"/>
      <c r="AD474" s="72"/>
      <c r="AE474" s="72"/>
      <c r="AF474" s="73"/>
      <c r="AG474" s="74"/>
      <c r="AH474" s="75"/>
      <c r="AI474" s="76" t="str">
        <f aca="false">IF(B474="","",ROUND(IF(AG474="",Settings!$C$5,AG474)*AW474,2))</f>
        <v/>
      </c>
      <c r="AJ474" s="77" t="str">
        <f aca="false">IF(OR(B474="",AB474="",AC474="",AD474=""),"",IFERROR(ROUND(ABS(AD474-AB474)/ABS(AB474-AC474),2),""))</f>
        <v/>
      </c>
      <c r="AK474" s="78" t="str">
        <f aca="false">IF(OR(B474="",AB474="",AC474="",AE474=""),"",IFERROR(ROUND(IF(J474="Short",AB474-AE474,AE474-AB474)/ABS(AB474-AC474),2),""))</f>
        <v/>
      </c>
      <c r="AL474" s="68" t="str">
        <f aca="false">IF(AK474="","",IF(ABS(AK474)&lt;=Settings!$C$6,"BE",IF(AK474&gt;0,"Win","Loss")))</f>
        <v/>
      </c>
      <c r="AM474" s="79" t="str">
        <f aca="false">IF(OR(AK474="",AI474=""),"",ROUND(AK474*AI474-N(AH474),2))</f>
        <v/>
      </c>
      <c r="AN474" s="76" t="str">
        <f aca="false">IF(AM474="","",ROUND(BK474+SUMIFS(AM$6:AM474,BJ$6:BJ474,BJ474),2))</f>
        <v/>
      </c>
      <c r="AO474" s="78" t="str">
        <f aca="false">IF(AK474="","",ROUND(SUMIFS(AK$6:AK474,BJ$6:BJ474,BJ474),2))</f>
        <v/>
      </c>
      <c r="AP474" s="80" t="str">
        <f aca="false">IF(OR(AK474="",BL474=""),"",IFERROR(ROUND(IF(J474="Short",AB474-AE474,AE474-AB474)/BL474,1),""))</f>
        <v/>
      </c>
      <c r="AQ474" s="66" t="str">
        <f aca="false">IF(OR(G474="",H474=""),"",ROUND(MOD(H474-G474,1)*1440,0))</f>
        <v/>
      </c>
      <c r="AR474" s="68" t="str">
        <f aca="false">IF(AQ474="","",IF(AQ474&lt;15,"Under 15m",IF(AQ474&lt;60,"15-60m",IF(AQ474&lt;240,"1-4 hours","4+ hours"))))</f>
        <v/>
      </c>
      <c r="AS474" s="66" t="str">
        <f aca="false">IF(G474="","",HOUR(G474))</f>
        <v/>
      </c>
      <c r="AT474" s="80" t="str">
        <f aca="false">IF(OR(Z474="",AB474="",BL474=""),"",IFERROR(ROUND(IF(J474="Short",Z474-AB474,AB474-Z474)/BL474,1),""))</f>
        <v/>
      </c>
      <c r="AU474" s="68" t="str">
        <f aca="false">IF(OR(AA474="",AC474=""),"",IF(AA474=AC474,"No","Yes"))</f>
        <v/>
      </c>
      <c r="AV474" s="81" t="str">
        <f aca="false">IF(OR(B474="",BL474="",BM474="",AB474="",AC474=""),"",IFERROR(ROUND(AI474/(ABS(AB474-AC474)/BL474*BM474),2),""))</f>
        <v/>
      </c>
      <c r="AW474" s="76" t="str">
        <f aca="false">IF(B474="","",ROUND(BK474+SUMIFS(AM$5:AM473,BJ$5:BJ473,BJ474),2))</f>
        <v/>
      </c>
      <c r="AX474" s="66" t="str">
        <f aca="false">IF(B474="","",COUNTIFS(B$6:B474,B474,BJ$6:BJ474,BJ474))</f>
        <v/>
      </c>
      <c r="AY474" s="79" t="str">
        <f aca="false">IF(B474="","",ROUND(SUMIFS(AM$5:AM473,B$5:B473,B474,BJ$5:BJ473,BJ474),2))</f>
        <v/>
      </c>
      <c r="AZ474" s="79" t="str">
        <f aca="false">IF(AM474="","",ROUND(AY474+AM474,2))</f>
        <v/>
      </c>
      <c r="BA474" s="79" t="str">
        <f aca="false">IF(B474="","",ROUND(SUMIFS(AM$5:AM473,B$5:B473,"&gt;="&amp;(B474-WEEKDAY(B474,2)+1),B$5:B473,"&lt;="&amp;B474,BJ$5:BJ473,BJ474),2))</f>
        <v/>
      </c>
      <c r="BB474" s="68" t="str">
        <f aca="false">IF(B474="","",IF(AND(AF474&lt;&gt;"",AV474&lt;&gt;"",N(AF474)&gt;N(AV474)*(1+Settings!$C$13)),"Oversized",IF(AX474&gt;Settings!$C$10,"Overtraded",IF(AY474&lt;=-Settings!$C$11*(AW474-AY474),"Daily loss hit",IF(BA474&lt;=-Settings!$C$12*(AW474-BA474),"Weekly loss hit","OK")))))</f>
        <v/>
      </c>
      <c r="BC474" s="69"/>
      <c r="BD474" s="69"/>
      <c r="BE474" s="69"/>
      <c r="BF474" s="73"/>
      <c r="BG474" s="73"/>
      <c r="BH474" s="71"/>
      <c r="BI474" s="71"/>
      <c r="BJ474" s="68" t="str">
        <f aca="false">IF(B474="","",IF(E474="",Settings!$F$5,E474))</f>
        <v/>
      </c>
      <c r="BK474" s="76" t="str">
        <f aca="false">IF(B474="","",IFERROR(INDEX(Settings!$G$5:$G$10,MATCH(BJ474,Settings!$F$5:$F$10,0)),Settings!$G$5))</f>
        <v/>
      </c>
      <c r="BL474" s="82" t="str">
        <f aca="false">IF(I474="","",IFERROR(1/(1/INDEX(Lists!$C$6:$C$17,MATCH(I474,Lists!$B$6:$B$17,0))),""))</f>
        <v/>
      </c>
      <c r="BM474" s="81" t="str">
        <f aca="false">IF(I474="","",IFERROR(1/(1/INDEX(Lists!$D$6:$D$17,MATCH(I474,Lists!$B$6:$B$17,0))),""))</f>
        <v/>
      </c>
      <c r="BN474" s="76" t="str">
        <f aca="false">IF(AN474="","",MAX(BK474,_xlfn.MAXIFS(AN$6:AN474,BJ$6:BJ474,BJ474)))</f>
        <v/>
      </c>
      <c r="BO474" s="83" t="str">
        <f aca="false">IF(AN474="","",(AN474-BN474)/BN474)</f>
        <v/>
      </c>
      <c r="BP474" s="66" t="n">
        <f aca="false">IF(OR(B474="",AL474=""),0,IF(OR(Settings!$C$28="All Accounts",BJ474=Settings!$C$28),1,0))</f>
        <v>0</v>
      </c>
      <c r="BQ474" s="66" t="str">
        <f aca="false">IF(BP474=1,SUM(BP$6:BP474),"")</f>
        <v/>
      </c>
      <c r="BR474" s="76" t="str">
        <f aca="false">IF(BP474=1,ROUND(Settings!$C$29+SUMIFS(AM$6:AM474,BP$6:BP474,1),2),"")</f>
        <v/>
      </c>
      <c r="BS474" s="76" t="str">
        <f aca="false">IF(BP474=1,MAX(Settings!$C$29,MAX(BR$6:BR474)),"")</f>
        <v/>
      </c>
      <c r="BT474" s="83" t="str">
        <f aca="false">IF(BP474=1,(BR474-BS474)/BS474,"")</f>
        <v/>
      </c>
      <c r="BU474" s="66" t="str">
        <f aca="false">IF(BP474=1,IF(AL474="Win",1+IF(BQ474=1,0,INDEX(BU$5:BU473,MATCH(BQ474-1,BQ$5:BQ473,0))),0),"")</f>
        <v/>
      </c>
      <c r="BV474" s="66" t="str">
        <f aca="false">IF(BP474=1,IF(AL474="Loss",1+IF(BQ474=1,0,INDEX(BV$5:BV473,MATCH(BQ474-1,BQ$5:BQ473,0))),0),"")</f>
        <v/>
      </c>
    </row>
    <row r="475" customFormat="false" ht="15" hidden="false" customHeight="false" outlineLevel="0" collapsed="false">
      <c r="A475" s="66" t="str">
        <f aca="false">IF(B475="","",ROW()-5)</f>
        <v/>
      </c>
      <c r="B475" s="67"/>
      <c r="C475" s="68" t="str">
        <f aca="false">IF(B475="","",CHOOSE(WEEKDAY(B475,2),"Mon","Tue","Wed","Thu","Fri","Sat","Sun"))</f>
        <v/>
      </c>
      <c r="D475" s="66" t="str">
        <f aca="false">IF(B475="","",WEEKNUM(B475,2))</f>
        <v/>
      </c>
      <c r="E475" s="69"/>
      <c r="F475" s="69"/>
      <c r="G475" s="70"/>
      <c r="H475" s="70"/>
      <c r="I475" s="69"/>
      <c r="J475" s="69"/>
      <c r="K475" s="69"/>
      <c r="L475" s="71"/>
      <c r="M475" s="69"/>
      <c r="N475" s="69"/>
      <c r="O475" s="69"/>
      <c r="P475" s="71"/>
      <c r="Q475" s="69"/>
      <c r="R475" s="69"/>
      <c r="S475" s="69"/>
      <c r="T475" s="69"/>
      <c r="U475" s="69"/>
      <c r="V475" s="69"/>
      <c r="W475" s="69"/>
      <c r="X475" s="66" t="str">
        <f aca="false">IF(B475="","",COUNTIF(Q475:W475,"Yes"))</f>
        <v/>
      </c>
      <c r="Y475" s="68" t="str">
        <f aca="false">IF(B475="","",IF(X475&gt;=Settings!$C$16,"A+",IF(X475&gt;=Settings!$C$17,"A",IF(X475&gt;=Settings!$C$18,"B","C"))))</f>
        <v/>
      </c>
      <c r="Z475" s="72"/>
      <c r="AA475" s="72"/>
      <c r="AB475" s="72"/>
      <c r="AC475" s="72"/>
      <c r="AD475" s="72"/>
      <c r="AE475" s="72"/>
      <c r="AF475" s="73"/>
      <c r="AG475" s="74"/>
      <c r="AH475" s="75"/>
      <c r="AI475" s="76" t="str">
        <f aca="false">IF(B475="","",ROUND(IF(AG475="",Settings!$C$5,AG475)*AW475,2))</f>
        <v/>
      </c>
      <c r="AJ475" s="77" t="str">
        <f aca="false">IF(OR(B475="",AB475="",AC475="",AD475=""),"",IFERROR(ROUND(ABS(AD475-AB475)/ABS(AB475-AC475),2),""))</f>
        <v/>
      </c>
      <c r="AK475" s="78" t="str">
        <f aca="false">IF(OR(B475="",AB475="",AC475="",AE475=""),"",IFERROR(ROUND(IF(J475="Short",AB475-AE475,AE475-AB475)/ABS(AB475-AC475),2),""))</f>
        <v/>
      </c>
      <c r="AL475" s="68" t="str">
        <f aca="false">IF(AK475="","",IF(ABS(AK475)&lt;=Settings!$C$6,"BE",IF(AK475&gt;0,"Win","Loss")))</f>
        <v/>
      </c>
      <c r="AM475" s="79" t="str">
        <f aca="false">IF(OR(AK475="",AI475=""),"",ROUND(AK475*AI475-N(AH475),2))</f>
        <v/>
      </c>
      <c r="AN475" s="76" t="str">
        <f aca="false">IF(AM475="","",ROUND(BK475+SUMIFS(AM$6:AM475,BJ$6:BJ475,BJ475),2))</f>
        <v/>
      </c>
      <c r="AO475" s="78" t="str">
        <f aca="false">IF(AK475="","",ROUND(SUMIFS(AK$6:AK475,BJ$6:BJ475,BJ475),2))</f>
        <v/>
      </c>
      <c r="AP475" s="80" t="str">
        <f aca="false">IF(OR(AK475="",BL475=""),"",IFERROR(ROUND(IF(J475="Short",AB475-AE475,AE475-AB475)/BL475,1),""))</f>
        <v/>
      </c>
      <c r="AQ475" s="66" t="str">
        <f aca="false">IF(OR(G475="",H475=""),"",ROUND(MOD(H475-G475,1)*1440,0))</f>
        <v/>
      </c>
      <c r="AR475" s="68" t="str">
        <f aca="false">IF(AQ475="","",IF(AQ475&lt;15,"Under 15m",IF(AQ475&lt;60,"15-60m",IF(AQ475&lt;240,"1-4 hours","4+ hours"))))</f>
        <v/>
      </c>
      <c r="AS475" s="66" t="str">
        <f aca="false">IF(G475="","",HOUR(G475))</f>
        <v/>
      </c>
      <c r="AT475" s="80" t="str">
        <f aca="false">IF(OR(Z475="",AB475="",BL475=""),"",IFERROR(ROUND(IF(J475="Short",Z475-AB475,AB475-Z475)/BL475,1),""))</f>
        <v/>
      </c>
      <c r="AU475" s="68" t="str">
        <f aca="false">IF(OR(AA475="",AC475=""),"",IF(AA475=AC475,"No","Yes"))</f>
        <v/>
      </c>
      <c r="AV475" s="81" t="str">
        <f aca="false">IF(OR(B475="",BL475="",BM475="",AB475="",AC475=""),"",IFERROR(ROUND(AI475/(ABS(AB475-AC475)/BL475*BM475),2),""))</f>
        <v/>
      </c>
      <c r="AW475" s="76" t="str">
        <f aca="false">IF(B475="","",ROUND(BK475+SUMIFS(AM$5:AM474,BJ$5:BJ474,BJ475),2))</f>
        <v/>
      </c>
      <c r="AX475" s="66" t="str">
        <f aca="false">IF(B475="","",COUNTIFS(B$6:B475,B475,BJ$6:BJ475,BJ475))</f>
        <v/>
      </c>
      <c r="AY475" s="79" t="str">
        <f aca="false">IF(B475="","",ROUND(SUMIFS(AM$5:AM474,B$5:B474,B475,BJ$5:BJ474,BJ475),2))</f>
        <v/>
      </c>
      <c r="AZ475" s="79" t="str">
        <f aca="false">IF(AM475="","",ROUND(AY475+AM475,2))</f>
        <v/>
      </c>
      <c r="BA475" s="79" t="str">
        <f aca="false">IF(B475="","",ROUND(SUMIFS(AM$5:AM474,B$5:B474,"&gt;="&amp;(B475-WEEKDAY(B475,2)+1),B$5:B474,"&lt;="&amp;B475,BJ$5:BJ474,BJ475),2))</f>
        <v/>
      </c>
      <c r="BB475" s="68" t="str">
        <f aca="false">IF(B475="","",IF(AND(AF475&lt;&gt;"",AV475&lt;&gt;"",N(AF475)&gt;N(AV475)*(1+Settings!$C$13)),"Oversized",IF(AX475&gt;Settings!$C$10,"Overtraded",IF(AY475&lt;=-Settings!$C$11*(AW475-AY475),"Daily loss hit",IF(BA475&lt;=-Settings!$C$12*(AW475-BA475),"Weekly loss hit","OK")))))</f>
        <v/>
      </c>
      <c r="BC475" s="69"/>
      <c r="BD475" s="69"/>
      <c r="BE475" s="69"/>
      <c r="BF475" s="73"/>
      <c r="BG475" s="73"/>
      <c r="BH475" s="71"/>
      <c r="BI475" s="71"/>
      <c r="BJ475" s="68" t="str">
        <f aca="false">IF(B475="","",IF(E475="",Settings!$F$5,E475))</f>
        <v/>
      </c>
      <c r="BK475" s="76" t="str">
        <f aca="false">IF(B475="","",IFERROR(INDEX(Settings!$G$5:$G$10,MATCH(BJ475,Settings!$F$5:$F$10,0)),Settings!$G$5))</f>
        <v/>
      </c>
      <c r="BL475" s="82" t="str">
        <f aca="false">IF(I475="","",IFERROR(1/(1/INDEX(Lists!$C$6:$C$17,MATCH(I475,Lists!$B$6:$B$17,0))),""))</f>
        <v/>
      </c>
      <c r="BM475" s="81" t="str">
        <f aca="false">IF(I475="","",IFERROR(1/(1/INDEX(Lists!$D$6:$D$17,MATCH(I475,Lists!$B$6:$B$17,0))),""))</f>
        <v/>
      </c>
      <c r="BN475" s="76" t="str">
        <f aca="false">IF(AN475="","",MAX(BK475,_xlfn.MAXIFS(AN$6:AN475,BJ$6:BJ475,BJ475)))</f>
        <v/>
      </c>
      <c r="BO475" s="83" t="str">
        <f aca="false">IF(AN475="","",(AN475-BN475)/BN475)</f>
        <v/>
      </c>
      <c r="BP475" s="66" t="n">
        <f aca="false">IF(OR(B475="",AL475=""),0,IF(OR(Settings!$C$28="All Accounts",BJ475=Settings!$C$28),1,0))</f>
        <v>0</v>
      </c>
      <c r="BQ475" s="66" t="str">
        <f aca="false">IF(BP475=1,SUM(BP$6:BP475),"")</f>
        <v/>
      </c>
      <c r="BR475" s="76" t="str">
        <f aca="false">IF(BP475=1,ROUND(Settings!$C$29+SUMIFS(AM$6:AM475,BP$6:BP475,1),2),"")</f>
        <v/>
      </c>
      <c r="BS475" s="76" t="str">
        <f aca="false">IF(BP475=1,MAX(Settings!$C$29,MAX(BR$6:BR475)),"")</f>
        <v/>
      </c>
      <c r="BT475" s="83" t="str">
        <f aca="false">IF(BP475=1,(BR475-BS475)/BS475,"")</f>
        <v/>
      </c>
      <c r="BU475" s="66" t="str">
        <f aca="false">IF(BP475=1,IF(AL475="Win",1+IF(BQ475=1,0,INDEX(BU$5:BU474,MATCH(BQ475-1,BQ$5:BQ474,0))),0),"")</f>
        <v/>
      </c>
      <c r="BV475" s="66" t="str">
        <f aca="false">IF(BP475=1,IF(AL475="Loss",1+IF(BQ475=1,0,INDEX(BV$5:BV474,MATCH(BQ475-1,BQ$5:BQ474,0))),0),"")</f>
        <v/>
      </c>
    </row>
    <row r="476" customFormat="false" ht="15" hidden="false" customHeight="false" outlineLevel="0" collapsed="false">
      <c r="A476" s="66" t="str">
        <f aca="false">IF(B476="","",ROW()-5)</f>
        <v/>
      </c>
      <c r="B476" s="67"/>
      <c r="C476" s="68" t="str">
        <f aca="false">IF(B476="","",CHOOSE(WEEKDAY(B476,2),"Mon","Tue","Wed","Thu","Fri","Sat","Sun"))</f>
        <v/>
      </c>
      <c r="D476" s="66" t="str">
        <f aca="false">IF(B476="","",WEEKNUM(B476,2))</f>
        <v/>
      </c>
      <c r="E476" s="69"/>
      <c r="F476" s="69"/>
      <c r="G476" s="70"/>
      <c r="H476" s="70"/>
      <c r="I476" s="69"/>
      <c r="J476" s="69"/>
      <c r="K476" s="69"/>
      <c r="L476" s="71"/>
      <c r="M476" s="69"/>
      <c r="N476" s="69"/>
      <c r="O476" s="69"/>
      <c r="P476" s="71"/>
      <c r="Q476" s="69"/>
      <c r="R476" s="69"/>
      <c r="S476" s="69"/>
      <c r="T476" s="69"/>
      <c r="U476" s="69"/>
      <c r="V476" s="69"/>
      <c r="W476" s="69"/>
      <c r="X476" s="66" t="str">
        <f aca="false">IF(B476="","",COUNTIF(Q476:W476,"Yes"))</f>
        <v/>
      </c>
      <c r="Y476" s="68" t="str">
        <f aca="false">IF(B476="","",IF(X476&gt;=Settings!$C$16,"A+",IF(X476&gt;=Settings!$C$17,"A",IF(X476&gt;=Settings!$C$18,"B","C"))))</f>
        <v/>
      </c>
      <c r="Z476" s="72"/>
      <c r="AA476" s="72"/>
      <c r="AB476" s="72"/>
      <c r="AC476" s="72"/>
      <c r="AD476" s="72"/>
      <c r="AE476" s="72"/>
      <c r="AF476" s="73"/>
      <c r="AG476" s="74"/>
      <c r="AH476" s="75"/>
      <c r="AI476" s="76" t="str">
        <f aca="false">IF(B476="","",ROUND(IF(AG476="",Settings!$C$5,AG476)*AW476,2))</f>
        <v/>
      </c>
      <c r="AJ476" s="77" t="str">
        <f aca="false">IF(OR(B476="",AB476="",AC476="",AD476=""),"",IFERROR(ROUND(ABS(AD476-AB476)/ABS(AB476-AC476),2),""))</f>
        <v/>
      </c>
      <c r="AK476" s="78" t="str">
        <f aca="false">IF(OR(B476="",AB476="",AC476="",AE476=""),"",IFERROR(ROUND(IF(J476="Short",AB476-AE476,AE476-AB476)/ABS(AB476-AC476),2),""))</f>
        <v/>
      </c>
      <c r="AL476" s="68" t="str">
        <f aca="false">IF(AK476="","",IF(ABS(AK476)&lt;=Settings!$C$6,"BE",IF(AK476&gt;0,"Win","Loss")))</f>
        <v/>
      </c>
      <c r="AM476" s="79" t="str">
        <f aca="false">IF(OR(AK476="",AI476=""),"",ROUND(AK476*AI476-N(AH476),2))</f>
        <v/>
      </c>
      <c r="AN476" s="76" t="str">
        <f aca="false">IF(AM476="","",ROUND(BK476+SUMIFS(AM$6:AM476,BJ$6:BJ476,BJ476),2))</f>
        <v/>
      </c>
      <c r="AO476" s="78" t="str">
        <f aca="false">IF(AK476="","",ROUND(SUMIFS(AK$6:AK476,BJ$6:BJ476,BJ476),2))</f>
        <v/>
      </c>
      <c r="AP476" s="80" t="str">
        <f aca="false">IF(OR(AK476="",BL476=""),"",IFERROR(ROUND(IF(J476="Short",AB476-AE476,AE476-AB476)/BL476,1),""))</f>
        <v/>
      </c>
      <c r="AQ476" s="66" t="str">
        <f aca="false">IF(OR(G476="",H476=""),"",ROUND(MOD(H476-G476,1)*1440,0))</f>
        <v/>
      </c>
      <c r="AR476" s="68" t="str">
        <f aca="false">IF(AQ476="","",IF(AQ476&lt;15,"Under 15m",IF(AQ476&lt;60,"15-60m",IF(AQ476&lt;240,"1-4 hours","4+ hours"))))</f>
        <v/>
      </c>
      <c r="AS476" s="66" t="str">
        <f aca="false">IF(G476="","",HOUR(G476))</f>
        <v/>
      </c>
      <c r="AT476" s="80" t="str">
        <f aca="false">IF(OR(Z476="",AB476="",BL476=""),"",IFERROR(ROUND(IF(J476="Short",Z476-AB476,AB476-Z476)/BL476,1),""))</f>
        <v/>
      </c>
      <c r="AU476" s="68" t="str">
        <f aca="false">IF(OR(AA476="",AC476=""),"",IF(AA476=AC476,"No","Yes"))</f>
        <v/>
      </c>
      <c r="AV476" s="81" t="str">
        <f aca="false">IF(OR(B476="",BL476="",BM476="",AB476="",AC476=""),"",IFERROR(ROUND(AI476/(ABS(AB476-AC476)/BL476*BM476),2),""))</f>
        <v/>
      </c>
      <c r="AW476" s="76" t="str">
        <f aca="false">IF(B476="","",ROUND(BK476+SUMIFS(AM$5:AM475,BJ$5:BJ475,BJ476),2))</f>
        <v/>
      </c>
      <c r="AX476" s="66" t="str">
        <f aca="false">IF(B476="","",COUNTIFS(B$6:B476,B476,BJ$6:BJ476,BJ476))</f>
        <v/>
      </c>
      <c r="AY476" s="79" t="str">
        <f aca="false">IF(B476="","",ROUND(SUMIFS(AM$5:AM475,B$5:B475,B476,BJ$5:BJ475,BJ476),2))</f>
        <v/>
      </c>
      <c r="AZ476" s="79" t="str">
        <f aca="false">IF(AM476="","",ROUND(AY476+AM476,2))</f>
        <v/>
      </c>
      <c r="BA476" s="79" t="str">
        <f aca="false">IF(B476="","",ROUND(SUMIFS(AM$5:AM475,B$5:B475,"&gt;="&amp;(B476-WEEKDAY(B476,2)+1),B$5:B475,"&lt;="&amp;B476,BJ$5:BJ475,BJ476),2))</f>
        <v/>
      </c>
      <c r="BB476" s="68" t="str">
        <f aca="false">IF(B476="","",IF(AND(AF476&lt;&gt;"",AV476&lt;&gt;"",N(AF476)&gt;N(AV476)*(1+Settings!$C$13)),"Oversized",IF(AX476&gt;Settings!$C$10,"Overtraded",IF(AY476&lt;=-Settings!$C$11*(AW476-AY476),"Daily loss hit",IF(BA476&lt;=-Settings!$C$12*(AW476-BA476),"Weekly loss hit","OK")))))</f>
        <v/>
      </c>
      <c r="BC476" s="69"/>
      <c r="BD476" s="69"/>
      <c r="BE476" s="69"/>
      <c r="BF476" s="73"/>
      <c r="BG476" s="73"/>
      <c r="BH476" s="71"/>
      <c r="BI476" s="71"/>
      <c r="BJ476" s="68" t="str">
        <f aca="false">IF(B476="","",IF(E476="",Settings!$F$5,E476))</f>
        <v/>
      </c>
      <c r="BK476" s="76" t="str">
        <f aca="false">IF(B476="","",IFERROR(INDEX(Settings!$G$5:$G$10,MATCH(BJ476,Settings!$F$5:$F$10,0)),Settings!$G$5))</f>
        <v/>
      </c>
      <c r="BL476" s="82" t="str">
        <f aca="false">IF(I476="","",IFERROR(1/(1/INDEX(Lists!$C$6:$C$17,MATCH(I476,Lists!$B$6:$B$17,0))),""))</f>
        <v/>
      </c>
      <c r="BM476" s="81" t="str">
        <f aca="false">IF(I476="","",IFERROR(1/(1/INDEX(Lists!$D$6:$D$17,MATCH(I476,Lists!$B$6:$B$17,0))),""))</f>
        <v/>
      </c>
      <c r="BN476" s="76" t="str">
        <f aca="false">IF(AN476="","",MAX(BK476,_xlfn.MAXIFS(AN$6:AN476,BJ$6:BJ476,BJ476)))</f>
        <v/>
      </c>
      <c r="BO476" s="83" t="str">
        <f aca="false">IF(AN476="","",(AN476-BN476)/BN476)</f>
        <v/>
      </c>
      <c r="BP476" s="66" t="n">
        <f aca="false">IF(OR(B476="",AL476=""),0,IF(OR(Settings!$C$28="All Accounts",BJ476=Settings!$C$28),1,0))</f>
        <v>0</v>
      </c>
      <c r="BQ476" s="66" t="str">
        <f aca="false">IF(BP476=1,SUM(BP$6:BP476),"")</f>
        <v/>
      </c>
      <c r="BR476" s="76" t="str">
        <f aca="false">IF(BP476=1,ROUND(Settings!$C$29+SUMIFS(AM$6:AM476,BP$6:BP476,1),2),"")</f>
        <v/>
      </c>
      <c r="BS476" s="76" t="str">
        <f aca="false">IF(BP476=1,MAX(Settings!$C$29,MAX(BR$6:BR476)),"")</f>
        <v/>
      </c>
      <c r="BT476" s="83" t="str">
        <f aca="false">IF(BP476=1,(BR476-BS476)/BS476,"")</f>
        <v/>
      </c>
      <c r="BU476" s="66" t="str">
        <f aca="false">IF(BP476=1,IF(AL476="Win",1+IF(BQ476=1,0,INDEX(BU$5:BU475,MATCH(BQ476-1,BQ$5:BQ475,0))),0),"")</f>
        <v/>
      </c>
      <c r="BV476" s="66" t="str">
        <f aca="false">IF(BP476=1,IF(AL476="Loss",1+IF(BQ476=1,0,INDEX(BV$5:BV475,MATCH(BQ476-1,BQ$5:BQ475,0))),0),"")</f>
        <v/>
      </c>
    </row>
    <row r="477" customFormat="false" ht="15" hidden="false" customHeight="false" outlineLevel="0" collapsed="false">
      <c r="A477" s="66" t="str">
        <f aca="false">IF(B477="","",ROW()-5)</f>
        <v/>
      </c>
      <c r="B477" s="67"/>
      <c r="C477" s="68" t="str">
        <f aca="false">IF(B477="","",CHOOSE(WEEKDAY(B477,2),"Mon","Tue","Wed","Thu","Fri","Sat","Sun"))</f>
        <v/>
      </c>
      <c r="D477" s="66" t="str">
        <f aca="false">IF(B477="","",WEEKNUM(B477,2))</f>
        <v/>
      </c>
      <c r="E477" s="69"/>
      <c r="F477" s="69"/>
      <c r="G477" s="70"/>
      <c r="H477" s="70"/>
      <c r="I477" s="69"/>
      <c r="J477" s="69"/>
      <c r="K477" s="69"/>
      <c r="L477" s="71"/>
      <c r="M477" s="69"/>
      <c r="N477" s="69"/>
      <c r="O477" s="69"/>
      <c r="P477" s="71"/>
      <c r="Q477" s="69"/>
      <c r="R477" s="69"/>
      <c r="S477" s="69"/>
      <c r="T477" s="69"/>
      <c r="U477" s="69"/>
      <c r="V477" s="69"/>
      <c r="W477" s="69"/>
      <c r="X477" s="66" t="str">
        <f aca="false">IF(B477="","",COUNTIF(Q477:W477,"Yes"))</f>
        <v/>
      </c>
      <c r="Y477" s="68" t="str">
        <f aca="false">IF(B477="","",IF(X477&gt;=Settings!$C$16,"A+",IF(X477&gt;=Settings!$C$17,"A",IF(X477&gt;=Settings!$C$18,"B","C"))))</f>
        <v/>
      </c>
      <c r="Z477" s="72"/>
      <c r="AA477" s="72"/>
      <c r="AB477" s="72"/>
      <c r="AC477" s="72"/>
      <c r="AD477" s="72"/>
      <c r="AE477" s="72"/>
      <c r="AF477" s="73"/>
      <c r="AG477" s="74"/>
      <c r="AH477" s="75"/>
      <c r="AI477" s="76" t="str">
        <f aca="false">IF(B477="","",ROUND(IF(AG477="",Settings!$C$5,AG477)*AW477,2))</f>
        <v/>
      </c>
      <c r="AJ477" s="77" t="str">
        <f aca="false">IF(OR(B477="",AB477="",AC477="",AD477=""),"",IFERROR(ROUND(ABS(AD477-AB477)/ABS(AB477-AC477),2),""))</f>
        <v/>
      </c>
      <c r="AK477" s="78" t="str">
        <f aca="false">IF(OR(B477="",AB477="",AC477="",AE477=""),"",IFERROR(ROUND(IF(J477="Short",AB477-AE477,AE477-AB477)/ABS(AB477-AC477),2),""))</f>
        <v/>
      </c>
      <c r="AL477" s="68" t="str">
        <f aca="false">IF(AK477="","",IF(ABS(AK477)&lt;=Settings!$C$6,"BE",IF(AK477&gt;0,"Win","Loss")))</f>
        <v/>
      </c>
      <c r="AM477" s="79" t="str">
        <f aca="false">IF(OR(AK477="",AI477=""),"",ROUND(AK477*AI477-N(AH477),2))</f>
        <v/>
      </c>
      <c r="AN477" s="76" t="str">
        <f aca="false">IF(AM477="","",ROUND(BK477+SUMIFS(AM$6:AM477,BJ$6:BJ477,BJ477),2))</f>
        <v/>
      </c>
      <c r="AO477" s="78" t="str">
        <f aca="false">IF(AK477="","",ROUND(SUMIFS(AK$6:AK477,BJ$6:BJ477,BJ477),2))</f>
        <v/>
      </c>
      <c r="AP477" s="80" t="str">
        <f aca="false">IF(OR(AK477="",BL477=""),"",IFERROR(ROUND(IF(J477="Short",AB477-AE477,AE477-AB477)/BL477,1),""))</f>
        <v/>
      </c>
      <c r="AQ477" s="66" t="str">
        <f aca="false">IF(OR(G477="",H477=""),"",ROUND(MOD(H477-G477,1)*1440,0))</f>
        <v/>
      </c>
      <c r="AR477" s="68" t="str">
        <f aca="false">IF(AQ477="","",IF(AQ477&lt;15,"Under 15m",IF(AQ477&lt;60,"15-60m",IF(AQ477&lt;240,"1-4 hours","4+ hours"))))</f>
        <v/>
      </c>
      <c r="AS477" s="66" t="str">
        <f aca="false">IF(G477="","",HOUR(G477))</f>
        <v/>
      </c>
      <c r="AT477" s="80" t="str">
        <f aca="false">IF(OR(Z477="",AB477="",BL477=""),"",IFERROR(ROUND(IF(J477="Short",Z477-AB477,AB477-Z477)/BL477,1),""))</f>
        <v/>
      </c>
      <c r="AU477" s="68" t="str">
        <f aca="false">IF(OR(AA477="",AC477=""),"",IF(AA477=AC477,"No","Yes"))</f>
        <v/>
      </c>
      <c r="AV477" s="81" t="str">
        <f aca="false">IF(OR(B477="",BL477="",BM477="",AB477="",AC477=""),"",IFERROR(ROUND(AI477/(ABS(AB477-AC477)/BL477*BM477),2),""))</f>
        <v/>
      </c>
      <c r="AW477" s="76" t="str">
        <f aca="false">IF(B477="","",ROUND(BK477+SUMIFS(AM$5:AM476,BJ$5:BJ476,BJ477),2))</f>
        <v/>
      </c>
      <c r="AX477" s="66" t="str">
        <f aca="false">IF(B477="","",COUNTIFS(B$6:B477,B477,BJ$6:BJ477,BJ477))</f>
        <v/>
      </c>
      <c r="AY477" s="79" t="str">
        <f aca="false">IF(B477="","",ROUND(SUMIFS(AM$5:AM476,B$5:B476,B477,BJ$5:BJ476,BJ477),2))</f>
        <v/>
      </c>
      <c r="AZ477" s="79" t="str">
        <f aca="false">IF(AM477="","",ROUND(AY477+AM477,2))</f>
        <v/>
      </c>
      <c r="BA477" s="79" t="str">
        <f aca="false">IF(B477="","",ROUND(SUMIFS(AM$5:AM476,B$5:B476,"&gt;="&amp;(B477-WEEKDAY(B477,2)+1),B$5:B476,"&lt;="&amp;B477,BJ$5:BJ476,BJ477),2))</f>
        <v/>
      </c>
      <c r="BB477" s="68" t="str">
        <f aca="false">IF(B477="","",IF(AND(AF477&lt;&gt;"",AV477&lt;&gt;"",N(AF477)&gt;N(AV477)*(1+Settings!$C$13)),"Oversized",IF(AX477&gt;Settings!$C$10,"Overtraded",IF(AY477&lt;=-Settings!$C$11*(AW477-AY477),"Daily loss hit",IF(BA477&lt;=-Settings!$C$12*(AW477-BA477),"Weekly loss hit","OK")))))</f>
        <v/>
      </c>
      <c r="BC477" s="69"/>
      <c r="BD477" s="69"/>
      <c r="BE477" s="69"/>
      <c r="BF477" s="73"/>
      <c r="BG477" s="73"/>
      <c r="BH477" s="71"/>
      <c r="BI477" s="71"/>
      <c r="BJ477" s="68" t="str">
        <f aca="false">IF(B477="","",IF(E477="",Settings!$F$5,E477))</f>
        <v/>
      </c>
      <c r="BK477" s="76" t="str">
        <f aca="false">IF(B477="","",IFERROR(INDEX(Settings!$G$5:$G$10,MATCH(BJ477,Settings!$F$5:$F$10,0)),Settings!$G$5))</f>
        <v/>
      </c>
      <c r="BL477" s="82" t="str">
        <f aca="false">IF(I477="","",IFERROR(1/(1/INDEX(Lists!$C$6:$C$17,MATCH(I477,Lists!$B$6:$B$17,0))),""))</f>
        <v/>
      </c>
      <c r="BM477" s="81" t="str">
        <f aca="false">IF(I477="","",IFERROR(1/(1/INDEX(Lists!$D$6:$D$17,MATCH(I477,Lists!$B$6:$B$17,0))),""))</f>
        <v/>
      </c>
      <c r="BN477" s="76" t="str">
        <f aca="false">IF(AN477="","",MAX(BK477,_xlfn.MAXIFS(AN$6:AN477,BJ$6:BJ477,BJ477)))</f>
        <v/>
      </c>
      <c r="BO477" s="83" t="str">
        <f aca="false">IF(AN477="","",(AN477-BN477)/BN477)</f>
        <v/>
      </c>
      <c r="BP477" s="66" t="n">
        <f aca="false">IF(OR(B477="",AL477=""),0,IF(OR(Settings!$C$28="All Accounts",BJ477=Settings!$C$28),1,0))</f>
        <v>0</v>
      </c>
      <c r="BQ477" s="66" t="str">
        <f aca="false">IF(BP477=1,SUM(BP$6:BP477),"")</f>
        <v/>
      </c>
      <c r="BR477" s="76" t="str">
        <f aca="false">IF(BP477=1,ROUND(Settings!$C$29+SUMIFS(AM$6:AM477,BP$6:BP477,1),2),"")</f>
        <v/>
      </c>
      <c r="BS477" s="76" t="str">
        <f aca="false">IF(BP477=1,MAX(Settings!$C$29,MAX(BR$6:BR477)),"")</f>
        <v/>
      </c>
      <c r="BT477" s="83" t="str">
        <f aca="false">IF(BP477=1,(BR477-BS477)/BS477,"")</f>
        <v/>
      </c>
      <c r="BU477" s="66" t="str">
        <f aca="false">IF(BP477=1,IF(AL477="Win",1+IF(BQ477=1,0,INDEX(BU$5:BU476,MATCH(BQ477-1,BQ$5:BQ476,0))),0),"")</f>
        <v/>
      </c>
      <c r="BV477" s="66" t="str">
        <f aca="false">IF(BP477=1,IF(AL477="Loss",1+IF(BQ477=1,0,INDEX(BV$5:BV476,MATCH(BQ477-1,BQ$5:BQ476,0))),0),"")</f>
        <v/>
      </c>
    </row>
    <row r="478" customFormat="false" ht="15" hidden="false" customHeight="false" outlineLevel="0" collapsed="false">
      <c r="A478" s="66" t="str">
        <f aca="false">IF(B478="","",ROW()-5)</f>
        <v/>
      </c>
      <c r="B478" s="67"/>
      <c r="C478" s="68" t="str">
        <f aca="false">IF(B478="","",CHOOSE(WEEKDAY(B478,2),"Mon","Tue","Wed","Thu","Fri","Sat","Sun"))</f>
        <v/>
      </c>
      <c r="D478" s="66" t="str">
        <f aca="false">IF(B478="","",WEEKNUM(B478,2))</f>
        <v/>
      </c>
      <c r="E478" s="69"/>
      <c r="F478" s="69"/>
      <c r="G478" s="70"/>
      <c r="H478" s="70"/>
      <c r="I478" s="69"/>
      <c r="J478" s="69"/>
      <c r="K478" s="69"/>
      <c r="L478" s="71"/>
      <c r="M478" s="69"/>
      <c r="N478" s="69"/>
      <c r="O478" s="69"/>
      <c r="P478" s="71"/>
      <c r="Q478" s="69"/>
      <c r="R478" s="69"/>
      <c r="S478" s="69"/>
      <c r="T478" s="69"/>
      <c r="U478" s="69"/>
      <c r="V478" s="69"/>
      <c r="W478" s="69"/>
      <c r="X478" s="66" t="str">
        <f aca="false">IF(B478="","",COUNTIF(Q478:W478,"Yes"))</f>
        <v/>
      </c>
      <c r="Y478" s="68" t="str">
        <f aca="false">IF(B478="","",IF(X478&gt;=Settings!$C$16,"A+",IF(X478&gt;=Settings!$C$17,"A",IF(X478&gt;=Settings!$C$18,"B","C"))))</f>
        <v/>
      </c>
      <c r="Z478" s="72"/>
      <c r="AA478" s="72"/>
      <c r="AB478" s="72"/>
      <c r="AC478" s="72"/>
      <c r="AD478" s="72"/>
      <c r="AE478" s="72"/>
      <c r="AF478" s="73"/>
      <c r="AG478" s="74"/>
      <c r="AH478" s="75"/>
      <c r="AI478" s="76" t="str">
        <f aca="false">IF(B478="","",ROUND(IF(AG478="",Settings!$C$5,AG478)*AW478,2))</f>
        <v/>
      </c>
      <c r="AJ478" s="77" t="str">
        <f aca="false">IF(OR(B478="",AB478="",AC478="",AD478=""),"",IFERROR(ROUND(ABS(AD478-AB478)/ABS(AB478-AC478),2),""))</f>
        <v/>
      </c>
      <c r="AK478" s="78" t="str">
        <f aca="false">IF(OR(B478="",AB478="",AC478="",AE478=""),"",IFERROR(ROUND(IF(J478="Short",AB478-AE478,AE478-AB478)/ABS(AB478-AC478),2),""))</f>
        <v/>
      </c>
      <c r="AL478" s="68" t="str">
        <f aca="false">IF(AK478="","",IF(ABS(AK478)&lt;=Settings!$C$6,"BE",IF(AK478&gt;0,"Win","Loss")))</f>
        <v/>
      </c>
      <c r="AM478" s="79" t="str">
        <f aca="false">IF(OR(AK478="",AI478=""),"",ROUND(AK478*AI478-N(AH478),2))</f>
        <v/>
      </c>
      <c r="AN478" s="76" t="str">
        <f aca="false">IF(AM478="","",ROUND(BK478+SUMIFS(AM$6:AM478,BJ$6:BJ478,BJ478),2))</f>
        <v/>
      </c>
      <c r="AO478" s="78" t="str">
        <f aca="false">IF(AK478="","",ROUND(SUMIFS(AK$6:AK478,BJ$6:BJ478,BJ478),2))</f>
        <v/>
      </c>
      <c r="AP478" s="80" t="str">
        <f aca="false">IF(OR(AK478="",BL478=""),"",IFERROR(ROUND(IF(J478="Short",AB478-AE478,AE478-AB478)/BL478,1),""))</f>
        <v/>
      </c>
      <c r="AQ478" s="66" t="str">
        <f aca="false">IF(OR(G478="",H478=""),"",ROUND(MOD(H478-G478,1)*1440,0))</f>
        <v/>
      </c>
      <c r="AR478" s="68" t="str">
        <f aca="false">IF(AQ478="","",IF(AQ478&lt;15,"Under 15m",IF(AQ478&lt;60,"15-60m",IF(AQ478&lt;240,"1-4 hours","4+ hours"))))</f>
        <v/>
      </c>
      <c r="AS478" s="66" t="str">
        <f aca="false">IF(G478="","",HOUR(G478))</f>
        <v/>
      </c>
      <c r="AT478" s="80" t="str">
        <f aca="false">IF(OR(Z478="",AB478="",BL478=""),"",IFERROR(ROUND(IF(J478="Short",Z478-AB478,AB478-Z478)/BL478,1),""))</f>
        <v/>
      </c>
      <c r="AU478" s="68" t="str">
        <f aca="false">IF(OR(AA478="",AC478=""),"",IF(AA478=AC478,"No","Yes"))</f>
        <v/>
      </c>
      <c r="AV478" s="81" t="str">
        <f aca="false">IF(OR(B478="",BL478="",BM478="",AB478="",AC478=""),"",IFERROR(ROUND(AI478/(ABS(AB478-AC478)/BL478*BM478),2),""))</f>
        <v/>
      </c>
      <c r="AW478" s="76" t="str">
        <f aca="false">IF(B478="","",ROUND(BK478+SUMIFS(AM$5:AM477,BJ$5:BJ477,BJ478),2))</f>
        <v/>
      </c>
      <c r="AX478" s="66" t="str">
        <f aca="false">IF(B478="","",COUNTIFS(B$6:B478,B478,BJ$6:BJ478,BJ478))</f>
        <v/>
      </c>
      <c r="AY478" s="79" t="str">
        <f aca="false">IF(B478="","",ROUND(SUMIFS(AM$5:AM477,B$5:B477,B478,BJ$5:BJ477,BJ478),2))</f>
        <v/>
      </c>
      <c r="AZ478" s="79" t="str">
        <f aca="false">IF(AM478="","",ROUND(AY478+AM478,2))</f>
        <v/>
      </c>
      <c r="BA478" s="79" t="str">
        <f aca="false">IF(B478="","",ROUND(SUMIFS(AM$5:AM477,B$5:B477,"&gt;="&amp;(B478-WEEKDAY(B478,2)+1),B$5:B477,"&lt;="&amp;B478,BJ$5:BJ477,BJ478),2))</f>
        <v/>
      </c>
      <c r="BB478" s="68" t="str">
        <f aca="false">IF(B478="","",IF(AND(AF478&lt;&gt;"",AV478&lt;&gt;"",N(AF478)&gt;N(AV478)*(1+Settings!$C$13)),"Oversized",IF(AX478&gt;Settings!$C$10,"Overtraded",IF(AY478&lt;=-Settings!$C$11*(AW478-AY478),"Daily loss hit",IF(BA478&lt;=-Settings!$C$12*(AW478-BA478),"Weekly loss hit","OK")))))</f>
        <v/>
      </c>
      <c r="BC478" s="69"/>
      <c r="BD478" s="69"/>
      <c r="BE478" s="69"/>
      <c r="BF478" s="73"/>
      <c r="BG478" s="73"/>
      <c r="BH478" s="71"/>
      <c r="BI478" s="71"/>
      <c r="BJ478" s="68" t="str">
        <f aca="false">IF(B478="","",IF(E478="",Settings!$F$5,E478))</f>
        <v/>
      </c>
      <c r="BK478" s="76" t="str">
        <f aca="false">IF(B478="","",IFERROR(INDEX(Settings!$G$5:$G$10,MATCH(BJ478,Settings!$F$5:$F$10,0)),Settings!$G$5))</f>
        <v/>
      </c>
      <c r="BL478" s="82" t="str">
        <f aca="false">IF(I478="","",IFERROR(1/(1/INDEX(Lists!$C$6:$C$17,MATCH(I478,Lists!$B$6:$B$17,0))),""))</f>
        <v/>
      </c>
      <c r="BM478" s="81" t="str">
        <f aca="false">IF(I478="","",IFERROR(1/(1/INDEX(Lists!$D$6:$D$17,MATCH(I478,Lists!$B$6:$B$17,0))),""))</f>
        <v/>
      </c>
      <c r="BN478" s="76" t="str">
        <f aca="false">IF(AN478="","",MAX(BK478,_xlfn.MAXIFS(AN$6:AN478,BJ$6:BJ478,BJ478)))</f>
        <v/>
      </c>
      <c r="BO478" s="83" t="str">
        <f aca="false">IF(AN478="","",(AN478-BN478)/BN478)</f>
        <v/>
      </c>
      <c r="BP478" s="66" t="n">
        <f aca="false">IF(OR(B478="",AL478=""),0,IF(OR(Settings!$C$28="All Accounts",BJ478=Settings!$C$28),1,0))</f>
        <v>0</v>
      </c>
      <c r="BQ478" s="66" t="str">
        <f aca="false">IF(BP478=1,SUM(BP$6:BP478),"")</f>
        <v/>
      </c>
      <c r="BR478" s="76" t="str">
        <f aca="false">IF(BP478=1,ROUND(Settings!$C$29+SUMIFS(AM$6:AM478,BP$6:BP478,1),2),"")</f>
        <v/>
      </c>
      <c r="BS478" s="76" t="str">
        <f aca="false">IF(BP478=1,MAX(Settings!$C$29,MAX(BR$6:BR478)),"")</f>
        <v/>
      </c>
      <c r="BT478" s="83" t="str">
        <f aca="false">IF(BP478=1,(BR478-BS478)/BS478,"")</f>
        <v/>
      </c>
      <c r="BU478" s="66" t="str">
        <f aca="false">IF(BP478=1,IF(AL478="Win",1+IF(BQ478=1,0,INDEX(BU$5:BU477,MATCH(BQ478-1,BQ$5:BQ477,0))),0),"")</f>
        <v/>
      </c>
      <c r="BV478" s="66" t="str">
        <f aca="false">IF(BP478=1,IF(AL478="Loss",1+IF(BQ478=1,0,INDEX(BV$5:BV477,MATCH(BQ478-1,BQ$5:BQ477,0))),0),"")</f>
        <v/>
      </c>
    </row>
    <row r="479" customFormat="false" ht="15" hidden="false" customHeight="false" outlineLevel="0" collapsed="false">
      <c r="A479" s="66" t="str">
        <f aca="false">IF(B479="","",ROW()-5)</f>
        <v/>
      </c>
      <c r="B479" s="67"/>
      <c r="C479" s="68" t="str">
        <f aca="false">IF(B479="","",CHOOSE(WEEKDAY(B479,2),"Mon","Tue","Wed","Thu","Fri","Sat","Sun"))</f>
        <v/>
      </c>
      <c r="D479" s="66" t="str">
        <f aca="false">IF(B479="","",WEEKNUM(B479,2))</f>
        <v/>
      </c>
      <c r="E479" s="69"/>
      <c r="F479" s="69"/>
      <c r="G479" s="70"/>
      <c r="H479" s="70"/>
      <c r="I479" s="69"/>
      <c r="J479" s="69"/>
      <c r="K479" s="69"/>
      <c r="L479" s="71"/>
      <c r="M479" s="69"/>
      <c r="N479" s="69"/>
      <c r="O479" s="69"/>
      <c r="P479" s="71"/>
      <c r="Q479" s="69"/>
      <c r="R479" s="69"/>
      <c r="S479" s="69"/>
      <c r="T479" s="69"/>
      <c r="U479" s="69"/>
      <c r="V479" s="69"/>
      <c r="W479" s="69"/>
      <c r="X479" s="66" t="str">
        <f aca="false">IF(B479="","",COUNTIF(Q479:W479,"Yes"))</f>
        <v/>
      </c>
      <c r="Y479" s="68" t="str">
        <f aca="false">IF(B479="","",IF(X479&gt;=Settings!$C$16,"A+",IF(X479&gt;=Settings!$C$17,"A",IF(X479&gt;=Settings!$C$18,"B","C"))))</f>
        <v/>
      </c>
      <c r="Z479" s="72"/>
      <c r="AA479" s="72"/>
      <c r="AB479" s="72"/>
      <c r="AC479" s="72"/>
      <c r="AD479" s="72"/>
      <c r="AE479" s="72"/>
      <c r="AF479" s="73"/>
      <c r="AG479" s="74"/>
      <c r="AH479" s="75"/>
      <c r="AI479" s="76" t="str">
        <f aca="false">IF(B479="","",ROUND(IF(AG479="",Settings!$C$5,AG479)*AW479,2))</f>
        <v/>
      </c>
      <c r="AJ479" s="77" t="str">
        <f aca="false">IF(OR(B479="",AB479="",AC479="",AD479=""),"",IFERROR(ROUND(ABS(AD479-AB479)/ABS(AB479-AC479),2),""))</f>
        <v/>
      </c>
      <c r="AK479" s="78" t="str">
        <f aca="false">IF(OR(B479="",AB479="",AC479="",AE479=""),"",IFERROR(ROUND(IF(J479="Short",AB479-AE479,AE479-AB479)/ABS(AB479-AC479),2),""))</f>
        <v/>
      </c>
      <c r="AL479" s="68" t="str">
        <f aca="false">IF(AK479="","",IF(ABS(AK479)&lt;=Settings!$C$6,"BE",IF(AK479&gt;0,"Win","Loss")))</f>
        <v/>
      </c>
      <c r="AM479" s="79" t="str">
        <f aca="false">IF(OR(AK479="",AI479=""),"",ROUND(AK479*AI479-N(AH479),2))</f>
        <v/>
      </c>
      <c r="AN479" s="76" t="str">
        <f aca="false">IF(AM479="","",ROUND(BK479+SUMIFS(AM$6:AM479,BJ$6:BJ479,BJ479),2))</f>
        <v/>
      </c>
      <c r="AO479" s="78" t="str">
        <f aca="false">IF(AK479="","",ROUND(SUMIFS(AK$6:AK479,BJ$6:BJ479,BJ479),2))</f>
        <v/>
      </c>
      <c r="AP479" s="80" t="str">
        <f aca="false">IF(OR(AK479="",BL479=""),"",IFERROR(ROUND(IF(J479="Short",AB479-AE479,AE479-AB479)/BL479,1),""))</f>
        <v/>
      </c>
      <c r="AQ479" s="66" t="str">
        <f aca="false">IF(OR(G479="",H479=""),"",ROUND(MOD(H479-G479,1)*1440,0))</f>
        <v/>
      </c>
      <c r="AR479" s="68" t="str">
        <f aca="false">IF(AQ479="","",IF(AQ479&lt;15,"Under 15m",IF(AQ479&lt;60,"15-60m",IF(AQ479&lt;240,"1-4 hours","4+ hours"))))</f>
        <v/>
      </c>
      <c r="AS479" s="66" t="str">
        <f aca="false">IF(G479="","",HOUR(G479))</f>
        <v/>
      </c>
      <c r="AT479" s="80" t="str">
        <f aca="false">IF(OR(Z479="",AB479="",BL479=""),"",IFERROR(ROUND(IF(J479="Short",Z479-AB479,AB479-Z479)/BL479,1),""))</f>
        <v/>
      </c>
      <c r="AU479" s="68" t="str">
        <f aca="false">IF(OR(AA479="",AC479=""),"",IF(AA479=AC479,"No","Yes"))</f>
        <v/>
      </c>
      <c r="AV479" s="81" t="str">
        <f aca="false">IF(OR(B479="",BL479="",BM479="",AB479="",AC479=""),"",IFERROR(ROUND(AI479/(ABS(AB479-AC479)/BL479*BM479),2),""))</f>
        <v/>
      </c>
      <c r="AW479" s="76" t="str">
        <f aca="false">IF(B479="","",ROUND(BK479+SUMIFS(AM$5:AM478,BJ$5:BJ478,BJ479),2))</f>
        <v/>
      </c>
      <c r="AX479" s="66" t="str">
        <f aca="false">IF(B479="","",COUNTIFS(B$6:B479,B479,BJ$6:BJ479,BJ479))</f>
        <v/>
      </c>
      <c r="AY479" s="79" t="str">
        <f aca="false">IF(B479="","",ROUND(SUMIFS(AM$5:AM478,B$5:B478,B479,BJ$5:BJ478,BJ479),2))</f>
        <v/>
      </c>
      <c r="AZ479" s="79" t="str">
        <f aca="false">IF(AM479="","",ROUND(AY479+AM479,2))</f>
        <v/>
      </c>
      <c r="BA479" s="79" t="str">
        <f aca="false">IF(B479="","",ROUND(SUMIFS(AM$5:AM478,B$5:B478,"&gt;="&amp;(B479-WEEKDAY(B479,2)+1),B$5:B478,"&lt;="&amp;B479,BJ$5:BJ478,BJ479),2))</f>
        <v/>
      </c>
      <c r="BB479" s="68" t="str">
        <f aca="false">IF(B479="","",IF(AND(AF479&lt;&gt;"",AV479&lt;&gt;"",N(AF479)&gt;N(AV479)*(1+Settings!$C$13)),"Oversized",IF(AX479&gt;Settings!$C$10,"Overtraded",IF(AY479&lt;=-Settings!$C$11*(AW479-AY479),"Daily loss hit",IF(BA479&lt;=-Settings!$C$12*(AW479-BA479),"Weekly loss hit","OK")))))</f>
        <v/>
      </c>
      <c r="BC479" s="69"/>
      <c r="BD479" s="69"/>
      <c r="BE479" s="69"/>
      <c r="BF479" s="73"/>
      <c r="BG479" s="73"/>
      <c r="BH479" s="71"/>
      <c r="BI479" s="71"/>
      <c r="BJ479" s="68" t="str">
        <f aca="false">IF(B479="","",IF(E479="",Settings!$F$5,E479))</f>
        <v/>
      </c>
      <c r="BK479" s="76" t="str">
        <f aca="false">IF(B479="","",IFERROR(INDEX(Settings!$G$5:$G$10,MATCH(BJ479,Settings!$F$5:$F$10,0)),Settings!$G$5))</f>
        <v/>
      </c>
      <c r="BL479" s="82" t="str">
        <f aca="false">IF(I479="","",IFERROR(1/(1/INDEX(Lists!$C$6:$C$17,MATCH(I479,Lists!$B$6:$B$17,0))),""))</f>
        <v/>
      </c>
      <c r="BM479" s="81" t="str">
        <f aca="false">IF(I479="","",IFERROR(1/(1/INDEX(Lists!$D$6:$D$17,MATCH(I479,Lists!$B$6:$B$17,0))),""))</f>
        <v/>
      </c>
      <c r="BN479" s="76" t="str">
        <f aca="false">IF(AN479="","",MAX(BK479,_xlfn.MAXIFS(AN$6:AN479,BJ$6:BJ479,BJ479)))</f>
        <v/>
      </c>
      <c r="BO479" s="83" t="str">
        <f aca="false">IF(AN479="","",(AN479-BN479)/BN479)</f>
        <v/>
      </c>
      <c r="BP479" s="66" t="n">
        <f aca="false">IF(OR(B479="",AL479=""),0,IF(OR(Settings!$C$28="All Accounts",BJ479=Settings!$C$28),1,0))</f>
        <v>0</v>
      </c>
      <c r="BQ479" s="66" t="str">
        <f aca="false">IF(BP479=1,SUM(BP$6:BP479),"")</f>
        <v/>
      </c>
      <c r="BR479" s="76" t="str">
        <f aca="false">IF(BP479=1,ROUND(Settings!$C$29+SUMIFS(AM$6:AM479,BP$6:BP479,1),2),"")</f>
        <v/>
      </c>
      <c r="BS479" s="76" t="str">
        <f aca="false">IF(BP479=1,MAX(Settings!$C$29,MAX(BR$6:BR479)),"")</f>
        <v/>
      </c>
      <c r="BT479" s="83" t="str">
        <f aca="false">IF(BP479=1,(BR479-BS479)/BS479,"")</f>
        <v/>
      </c>
      <c r="BU479" s="66" t="str">
        <f aca="false">IF(BP479=1,IF(AL479="Win",1+IF(BQ479=1,0,INDEX(BU$5:BU478,MATCH(BQ479-1,BQ$5:BQ478,0))),0),"")</f>
        <v/>
      </c>
      <c r="BV479" s="66" t="str">
        <f aca="false">IF(BP479=1,IF(AL479="Loss",1+IF(BQ479=1,0,INDEX(BV$5:BV478,MATCH(BQ479-1,BQ$5:BQ478,0))),0),"")</f>
        <v/>
      </c>
    </row>
    <row r="480" customFormat="false" ht="15" hidden="false" customHeight="false" outlineLevel="0" collapsed="false">
      <c r="A480" s="66" t="str">
        <f aca="false">IF(B480="","",ROW()-5)</f>
        <v/>
      </c>
      <c r="B480" s="67"/>
      <c r="C480" s="68" t="str">
        <f aca="false">IF(B480="","",CHOOSE(WEEKDAY(B480,2),"Mon","Tue","Wed","Thu","Fri","Sat","Sun"))</f>
        <v/>
      </c>
      <c r="D480" s="66" t="str">
        <f aca="false">IF(B480="","",WEEKNUM(B480,2))</f>
        <v/>
      </c>
      <c r="E480" s="69"/>
      <c r="F480" s="69"/>
      <c r="G480" s="70"/>
      <c r="H480" s="70"/>
      <c r="I480" s="69"/>
      <c r="J480" s="69"/>
      <c r="K480" s="69"/>
      <c r="L480" s="71"/>
      <c r="M480" s="69"/>
      <c r="N480" s="69"/>
      <c r="O480" s="69"/>
      <c r="P480" s="71"/>
      <c r="Q480" s="69"/>
      <c r="R480" s="69"/>
      <c r="S480" s="69"/>
      <c r="T480" s="69"/>
      <c r="U480" s="69"/>
      <c r="V480" s="69"/>
      <c r="W480" s="69"/>
      <c r="X480" s="66" t="str">
        <f aca="false">IF(B480="","",COUNTIF(Q480:W480,"Yes"))</f>
        <v/>
      </c>
      <c r="Y480" s="68" t="str">
        <f aca="false">IF(B480="","",IF(X480&gt;=Settings!$C$16,"A+",IF(X480&gt;=Settings!$C$17,"A",IF(X480&gt;=Settings!$C$18,"B","C"))))</f>
        <v/>
      </c>
      <c r="Z480" s="72"/>
      <c r="AA480" s="72"/>
      <c r="AB480" s="72"/>
      <c r="AC480" s="72"/>
      <c r="AD480" s="72"/>
      <c r="AE480" s="72"/>
      <c r="AF480" s="73"/>
      <c r="AG480" s="74"/>
      <c r="AH480" s="75"/>
      <c r="AI480" s="76" t="str">
        <f aca="false">IF(B480="","",ROUND(IF(AG480="",Settings!$C$5,AG480)*AW480,2))</f>
        <v/>
      </c>
      <c r="AJ480" s="77" t="str">
        <f aca="false">IF(OR(B480="",AB480="",AC480="",AD480=""),"",IFERROR(ROUND(ABS(AD480-AB480)/ABS(AB480-AC480),2),""))</f>
        <v/>
      </c>
      <c r="AK480" s="78" t="str">
        <f aca="false">IF(OR(B480="",AB480="",AC480="",AE480=""),"",IFERROR(ROUND(IF(J480="Short",AB480-AE480,AE480-AB480)/ABS(AB480-AC480),2),""))</f>
        <v/>
      </c>
      <c r="AL480" s="68" t="str">
        <f aca="false">IF(AK480="","",IF(ABS(AK480)&lt;=Settings!$C$6,"BE",IF(AK480&gt;0,"Win","Loss")))</f>
        <v/>
      </c>
      <c r="AM480" s="79" t="str">
        <f aca="false">IF(OR(AK480="",AI480=""),"",ROUND(AK480*AI480-N(AH480),2))</f>
        <v/>
      </c>
      <c r="AN480" s="76" t="str">
        <f aca="false">IF(AM480="","",ROUND(BK480+SUMIFS(AM$6:AM480,BJ$6:BJ480,BJ480),2))</f>
        <v/>
      </c>
      <c r="AO480" s="78" t="str">
        <f aca="false">IF(AK480="","",ROUND(SUMIFS(AK$6:AK480,BJ$6:BJ480,BJ480),2))</f>
        <v/>
      </c>
      <c r="AP480" s="80" t="str">
        <f aca="false">IF(OR(AK480="",BL480=""),"",IFERROR(ROUND(IF(J480="Short",AB480-AE480,AE480-AB480)/BL480,1),""))</f>
        <v/>
      </c>
      <c r="AQ480" s="66" t="str">
        <f aca="false">IF(OR(G480="",H480=""),"",ROUND(MOD(H480-G480,1)*1440,0))</f>
        <v/>
      </c>
      <c r="AR480" s="68" t="str">
        <f aca="false">IF(AQ480="","",IF(AQ480&lt;15,"Under 15m",IF(AQ480&lt;60,"15-60m",IF(AQ480&lt;240,"1-4 hours","4+ hours"))))</f>
        <v/>
      </c>
      <c r="AS480" s="66" t="str">
        <f aca="false">IF(G480="","",HOUR(G480))</f>
        <v/>
      </c>
      <c r="AT480" s="80" t="str">
        <f aca="false">IF(OR(Z480="",AB480="",BL480=""),"",IFERROR(ROUND(IF(J480="Short",Z480-AB480,AB480-Z480)/BL480,1),""))</f>
        <v/>
      </c>
      <c r="AU480" s="68" t="str">
        <f aca="false">IF(OR(AA480="",AC480=""),"",IF(AA480=AC480,"No","Yes"))</f>
        <v/>
      </c>
      <c r="AV480" s="81" t="str">
        <f aca="false">IF(OR(B480="",BL480="",BM480="",AB480="",AC480=""),"",IFERROR(ROUND(AI480/(ABS(AB480-AC480)/BL480*BM480),2),""))</f>
        <v/>
      </c>
      <c r="AW480" s="76" t="str">
        <f aca="false">IF(B480="","",ROUND(BK480+SUMIFS(AM$5:AM479,BJ$5:BJ479,BJ480),2))</f>
        <v/>
      </c>
      <c r="AX480" s="66" t="str">
        <f aca="false">IF(B480="","",COUNTIFS(B$6:B480,B480,BJ$6:BJ480,BJ480))</f>
        <v/>
      </c>
      <c r="AY480" s="79" t="str">
        <f aca="false">IF(B480="","",ROUND(SUMIFS(AM$5:AM479,B$5:B479,B480,BJ$5:BJ479,BJ480),2))</f>
        <v/>
      </c>
      <c r="AZ480" s="79" t="str">
        <f aca="false">IF(AM480="","",ROUND(AY480+AM480,2))</f>
        <v/>
      </c>
      <c r="BA480" s="79" t="str">
        <f aca="false">IF(B480="","",ROUND(SUMIFS(AM$5:AM479,B$5:B479,"&gt;="&amp;(B480-WEEKDAY(B480,2)+1),B$5:B479,"&lt;="&amp;B480,BJ$5:BJ479,BJ480),2))</f>
        <v/>
      </c>
      <c r="BB480" s="68" t="str">
        <f aca="false">IF(B480="","",IF(AND(AF480&lt;&gt;"",AV480&lt;&gt;"",N(AF480)&gt;N(AV480)*(1+Settings!$C$13)),"Oversized",IF(AX480&gt;Settings!$C$10,"Overtraded",IF(AY480&lt;=-Settings!$C$11*(AW480-AY480),"Daily loss hit",IF(BA480&lt;=-Settings!$C$12*(AW480-BA480),"Weekly loss hit","OK")))))</f>
        <v/>
      </c>
      <c r="BC480" s="69"/>
      <c r="BD480" s="69"/>
      <c r="BE480" s="69"/>
      <c r="BF480" s="73"/>
      <c r="BG480" s="73"/>
      <c r="BH480" s="71"/>
      <c r="BI480" s="71"/>
      <c r="BJ480" s="68" t="str">
        <f aca="false">IF(B480="","",IF(E480="",Settings!$F$5,E480))</f>
        <v/>
      </c>
      <c r="BK480" s="76" t="str">
        <f aca="false">IF(B480="","",IFERROR(INDEX(Settings!$G$5:$G$10,MATCH(BJ480,Settings!$F$5:$F$10,0)),Settings!$G$5))</f>
        <v/>
      </c>
      <c r="BL480" s="82" t="str">
        <f aca="false">IF(I480="","",IFERROR(1/(1/INDEX(Lists!$C$6:$C$17,MATCH(I480,Lists!$B$6:$B$17,0))),""))</f>
        <v/>
      </c>
      <c r="BM480" s="81" t="str">
        <f aca="false">IF(I480="","",IFERROR(1/(1/INDEX(Lists!$D$6:$D$17,MATCH(I480,Lists!$B$6:$B$17,0))),""))</f>
        <v/>
      </c>
      <c r="BN480" s="76" t="str">
        <f aca="false">IF(AN480="","",MAX(BK480,_xlfn.MAXIFS(AN$6:AN480,BJ$6:BJ480,BJ480)))</f>
        <v/>
      </c>
      <c r="BO480" s="83" t="str">
        <f aca="false">IF(AN480="","",(AN480-BN480)/BN480)</f>
        <v/>
      </c>
      <c r="BP480" s="66" t="n">
        <f aca="false">IF(OR(B480="",AL480=""),0,IF(OR(Settings!$C$28="All Accounts",BJ480=Settings!$C$28),1,0))</f>
        <v>0</v>
      </c>
      <c r="BQ480" s="66" t="str">
        <f aca="false">IF(BP480=1,SUM(BP$6:BP480),"")</f>
        <v/>
      </c>
      <c r="BR480" s="76" t="str">
        <f aca="false">IF(BP480=1,ROUND(Settings!$C$29+SUMIFS(AM$6:AM480,BP$6:BP480,1),2),"")</f>
        <v/>
      </c>
      <c r="BS480" s="76" t="str">
        <f aca="false">IF(BP480=1,MAX(Settings!$C$29,MAX(BR$6:BR480)),"")</f>
        <v/>
      </c>
      <c r="BT480" s="83" t="str">
        <f aca="false">IF(BP480=1,(BR480-BS480)/BS480,"")</f>
        <v/>
      </c>
      <c r="BU480" s="66" t="str">
        <f aca="false">IF(BP480=1,IF(AL480="Win",1+IF(BQ480=1,0,INDEX(BU$5:BU479,MATCH(BQ480-1,BQ$5:BQ479,0))),0),"")</f>
        <v/>
      </c>
      <c r="BV480" s="66" t="str">
        <f aca="false">IF(BP480=1,IF(AL480="Loss",1+IF(BQ480=1,0,INDEX(BV$5:BV479,MATCH(BQ480-1,BQ$5:BQ479,0))),0),"")</f>
        <v/>
      </c>
    </row>
    <row r="481" customFormat="false" ht="15" hidden="false" customHeight="false" outlineLevel="0" collapsed="false">
      <c r="A481" s="66" t="str">
        <f aca="false">IF(B481="","",ROW()-5)</f>
        <v/>
      </c>
      <c r="B481" s="67"/>
      <c r="C481" s="68" t="str">
        <f aca="false">IF(B481="","",CHOOSE(WEEKDAY(B481,2),"Mon","Tue","Wed","Thu","Fri","Sat","Sun"))</f>
        <v/>
      </c>
      <c r="D481" s="66" t="str">
        <f aca="false">IF(B481="","",WEEKNUM(B481,2))</f>
        <v/>
      </c>
      <c r="E481" s="69"/>
      <c r="F481" s="69"/>
      <c r="G481" s="70"/>
      <c r="H481" s="70"/>
      <c r="I481" s="69"/>
      <c r="J481" s="69"/>
      <c r="K481" s="69"/>
      <c r="L481" s="71"/>
      <c r="M481" s="69"/>
      <c r="N481" s="69"/>
      <c r="O481" s="69"/>
      <c r="P481" s="71"/>
      <c r="Q481" s="69"/>
      <c r="R481" s="69"/>
      <c r="S481" s="69"/>
      <c r="T481" s="69"/>
      <c r="U481" s="69"/>
      <c r="V481" s="69"/>
      <c r="W481" s="69"/>
      <c r="X481" s="66" t="str">
        <f aca="false">IF(B481="","",COUNTIF(Q481:W481,"Yes"))</f>
        <v/>
      </c>
      <c r="Y481" s="68" t="str">
        <f aca="false">IF(B481="","",IF(X481&gt;=Settings!$C$16,"A+",IF(X481&gt;=Settings!$C$17,"A",IF(X481&gt;=Settings!$C$18,"B","C"))))</f>
        <v/>
      </c>
      <c r="Z481" s="72"/>
      <c r="AA481" s="72"/>
      <c r="AB481" s="72"/>
      <c r="AC481" s="72"/>
      <c r="AD481" s="72"/>
      <c r="AE481" s="72"/>
      <c r="AF481" s="73"/>
      <c r="AG481" s="74"/>
      <c r="AH481" s="75"/>
      <c r="AI481" s="76" t="str">
        <f aca="false">IF(B481="","",ROUND(IF(AG481="",Settings!$C$5,AG481)*AW481,2))</f>
        <v/>
      </c>
      <c r="AJ481" s="77" t="str">
        <f aca="false">IF(OR(B481="",AB481="",AC481="",AD481=""),"",IFERROR(ROUND(ABS(AD481-AB481)/ABS(AB481-AC481),2),""))</f>
        <v/>
      </c>
      <c r="AK481" s="78" t="str">
        <f aca="false">IF(OR(B481="",AB481="",AC481="",AE481=""),"",IFERROR(ROUND(IF(J481="Short",AB481-AE481,AE481-AB481)/ABS(AB481-AC481),2),""))</f>
        <v/>
      </c>
      <c r="AL481" s="68" t="str">
        <f aca="false">IF(AK481="","",IF(ABS(AK481)&lt;=Settings!$C$6,"BE",IF(AK481&gt;0,"Win","Loss")))</f>
        <v/>
      </c>
      <c r="AM481" s="79" t="str">
        <f aca="false">IF(OR(AK481="",AI481=""),"",ROUND(AK481*AI481-N(AH481),2))</f>
        <v/>
      </c>
      <c r="AN481" s="76" t="str">
        <f aca="false">IF(AM481="","",ROUND(BK481+SUMIFS(AM$6:AM481,BJ$6:BJ481,BJ481),2))</f>
        <v/>
      </c>
      <c r="AO481" s="78" t="str">
        <f aca="false">IF(AK481="","",ROUND(SUMIFS(AK$6:AK481,BJ$6:BJ481,BJ481),2))</f>
        <v/>
      </c>
      <c r="AP481" s="80" t="str">
        <f aca="false">IF(OR(AK481="",BL481=""),"",IFERROR(ROUND(IF(J481="Short",AB481-AE481,AE481-AB481)/BL481,1),""))</f>
        <v/>
      </c>
      <c r="AQ481" s="66" t="str">
        <f aca="false">IF(OR(G481="",H481=""),"",ROUND(MOD(H481-G481,1)*1440,0))</f>
        <v/>
      </c>
      <c r="AR481" s="68" t="str">
        <f aca="false">IF(AQ481="","",IF(AQ481&lt;15,"Under 15m",IF(AQ481&lt;60,"15-60m",IF(AQ481&lt;240,"1-4 hours","4+ hours"))))</f>
        <v/>
      </c>
      <c r="AS481" s="66" t="str">
        <f aca="false">IF(G481="","",HOUR(G481))</f>
        <v/>
      </c>
      <c r="AT481" s="80" t="str">
        <f aca="false">IF(OR(Z481="",AB481="",BL481=""),"",IFERROR(ROUND(IF(J481="Short",Z481-AB481,AB481-Z481)/BL481,1),""))</f>
        <v/>
      </c>
      <c r="AU481" s="68" t="str">
        <f aca="false">IF(OR(AA481="",AC481=""),"",IF(AA481=AC481,"No","Yes"))</f>
        <v/>
      </c>
      <c r="AV481" s="81" t="str">
        <f aca="false">IF(OR(B481="",BL481="",BM481="",AB481="",AC481=""),"",IFERROR(ROUND(AI481/(ABS(AB481-AC481)/BL481*BM481),2),""))</f>
        <v/>
      </c>
      <c r="AW481" s="76" t="str">
        <f aca="false">IF(B481="","",ROUND(BK481+SUMIFS(AM$5:AM480,BJ$5:BJ480,BJ481),2))</f>
        <v/>
      </c>
      <c r="AX481" s="66" t="str">
        <f aca="false">IF(B481="","",COUNTIFS(B$6:B481,B481,BJ$6:BJ481,BJ481))</f>
        <v/>
      </c>
      <c r="AY481" s="79" t="str">
        <f aca="false">IF(B481="","",ROUND(SUMIFS(AM$5:AM480,B$5:B480,B481,BJ$5:BJ480,BJ481),2))</f>
        <v/>
      </c>
      <c r="AZ481" s="79" t="str">
        <f aca="false">IF(AM481="","",ROUND(AY481+AM481,2))</f>
        <v/>
      </c>
      <c r="BA481" s="79" t="str">
        <f aca="false">IF(B481="","",ROUND(SUMIFS(AM$5:AM480,B$5:B480,"&gt;="&amp;(B481-WEEKDAY(B481,2)+1),B$5:B480,"&lt;="&amp;B481,BJ$5:BJ480,BJ481),2))</f>
        <v/>
      </c>
      <c r="BB481" s="68" t="str">
        <f aca="false">IF(B481="","",IF(AND(AF481&lt;&gt;"",AV481&lt;&gt;"",N(AF481)&gt;N(AV481)*(1+Settings!$C$13)),"Oversized",IF(AX481&gt;Settings!$C$10,"Overtraded",IF(AY481&lt;=-Settings!$C$11*(AW481-AY481),"Daily loss hit",IF(BA481&lt;=-Settings!$C$12*(AW481-BA481),"Weekly loss hit","OK")))))</f>
        <v/>
      </c>
      <c r="BC481" s="69"/>
      <c r="BD481" s="69"/>
      <c r="BE481" s="69"/>
      <c r="BF481" s="73"/>
      <c r="BG481" s="73"/>
      <c r="BH481" s="71"/>
      <c r="BI481" s="71"/>
      <c r="BJ481" s="68" t="str">
        <f aca="false">IF(B481="","",IF(E481="",Settings!$F$5,E481))</f>
        <v/>
      </c>
      <c r="BK481" s="76" t="str">
        <f aca="false">IF(B481="","",IFERROR(INDEX(Settings!$G$5:$G$10,MATCH(BJ481,Settings!$F$5:$F$10,0)),Settings!$G$5))</f>
        <v/>
      </c>
      <c r="BL481" s="82" t="str">
        <f aca="false">IF(I481="","",IFERROR(1/(1/INDEX(Lists!$C$6:$C$17,MATCH(I481,Lists!$B$6:$B$17,0))),""))</f>
        <v/>
      </c>
      <c r="BM481" s="81" t="str">
        <f aca="false">IF(I481="","",IFERROR(1/(1/INDEX(Lists!$D$6:$D$17,MATCH(I481,Lists!$B$6:$B$17,0))),""))</f>
        <v/>
      </c>
      <c r="BN481" s="76" t="str">
        <f aca="false">IF(AN481="","",MAX(BK481,_xlfn.MAXIFS(AN$6:AN481,BJ$6:BJ481,BJ481)))</f>
        <v/>
      </c>
      <c r="BO481" s="83" t="str">
        <f aca="false">IF(AN481="","",(AN481-BN481)/BN481)</f>
        <v/>
      </c>
      <c r="BP481" s="66" t="n">
        <f aca="false">IF(OR(B481="",AL481=""),0,IF(OR(Settings!$C$28="All Accounts",BJ481=Settings!$C$28),1,0))</f>
        <v>0</v>
      </c>
      <c r="BQ481" s="66" t="str">
        <f aca="false">IF(BP481=1,SUM(BP$6:BP481),"")</f>
        <v/>
      </c>
      <c r="BR481" s="76" t="str">
        <f aca="false">IF(BP481=1,ROUND(Settings!$C$29+SUMIFS(AM$6:AM481,BP$6:BP481,1),2),"")</f>
        <v/>
      </c>
      <c r="BS481" s="76" t="str">
        <f aca="false">IF(BP481=1,MAX(Settings!$C$29,MAX(BR$6:BR481)),"")</f>
        <v/>
      </c>
      <c r="BT481" s="83" t="str">
        <f aca="false">IF(BP481=1,(BR481-BS481)/BS481,"")</f>
        <v/>
      </c>
      <c r="BU481" s="66" t="str">
        <f aca="false">IF(BP481=1,IF(AL481="Win",1+IF(BQ481=1,0,INDEX(BU$5:BU480,MATCH(BQ481-1,BQ$5:BQ480,0))),0),"")</f>
        <v/>
      </c>
      <c r="BV481" s="66" t="str">
        <f aca="false">IF(BP481=1,IF(AL481="Loss",1+IF(BQ481=1,0,INDEX(BV$5:BV480,MATCH(BQ481-1,BQ$5:BQ480,0))),0),"")</f>
        <v/>
      </c>
    </row>
    <row r="482" customFormat="false" ht="15" hidden="false" customHeight="false" outlineLevel="0" collapsed="false">
      <c r="A482" s="66" t="str">
        <f aca="false">IF(B482="","",ROW()-5)</f>
        <v/>
      </c>
      <c r="B482" s="67"/>
      <c r="C482" s="68" t="str">
        <f aca="false">IF(B482="","",CHOOSE(WEEKDAY(B482,2),"Mon","Tue","Wed","Thu","Fri","Sat","Sun"))</f>
        <v/>
      </c>
      <c r="D482" s="66" t="str">
        <f aca="false">IF(B482="","",WEEKNUM(B482,2))</f>
        <v/>
      </c>
      <c r="E482" s="69"/>
      <c r="F482" s="69"/>
      <c r="G482" s="70"/>
      <c r="H482" s="70"/>
      <c r="I482" s="69"/>
      <c r="J482" s="69"/>
      <c r="K482" s="69"/>
      <c r="L482" s="71"/>
      <c r="M482" s="69"/>
      <c r="N482" s="69"/>
      <c r="O482" s="69"/>
      <c r="P482" s="71"/>
      <c r="Q482" s="69"/>
      <c r="R482" s="69"/>
      <c r="S482" s="69"/>
      <c r="T482" s="69"/>
      <c r="U482" s="69"/>
      <c r="V482" s="69"/>
      <c r="W482" s="69"/>
      <c r="X482" s="66" t="str">
        <f aca="false">IF(B482="","",COUNTIF(Q482:W482,"Yes"))</f>
        <v/>
      </c>
      <c r="Y482" s="68" t="str">
        <f aca="false">IF(B482="","",IF(X482&gt;=Settings!$C$16,"A+",IF(X482&gt;=Settings!$C$17,"A",IF(X482&gt;=Settings!$C$18,"B","C"))))</f>
        <v/>
      </c>
      <c r="Z482" s="72"/>
      <c r="AA482" s="72"/>
      <c r="AB482" s="72"/>
      <c r="AC482" s="72"/>
      <c r="AD482" s="72"/>
      <c r="AE482" s="72"/>
      <c r="AF482" s="73"/>
      <c r="AG482" s="74"/>
      <c r="AH482" s="75"/>
      <c r="AI482" s="76" t="str">
        <f aca="false">IF(B482="","",ROUND(IF(AG482="",Settings!$C$5,AG482)*AW482,2))</f>
        <v/>
      </c>
      <c r="AJ482" s="77" t="str">
        <f aca="false">IF(OR(B482="",AB482="",AC482="",AD482=""),"",IFERROR(ROUND(ABS(AD482-AB482)/ABS(AB482-AC482),2),""))</f>
        <v/>
      </c>
      <c r="AK482" s="78" t="str">
        <f aca="false">IF(OR(B482="",AB482="",AC482="",AE482=""),"",IFERROR(ROUND(IF(J482="Short",AB482-AE482,AE482-AB482)/ABS(AB482-AC482),2),""))</f>
        <v/>
      </c>
      <c r="AL482" s="68" t="str">
        <f aca="false">IF(AK482="","",IF(ABS(AK482)&lt;=Settings!$C$6,"BE",IF(AK482&gt;0,"Win","Loss")))</f>
        <v/>
      </c>
      <c r="AM482" s="79" t="str">
        <f aca="false">IF(OR(AK482="",AI482=""),"",ROUND(AK482*AI482-N(AH482),2))</f>
        <v/>
      </c>
      <c r="AN482" s="76" t="str">
        <f aca="false">IF(AM482="","",ROUND(BK482+SUMIFS(AM$6:AM482,BJ$6:BJ482,BJ482),2))</f>
        <v/>
      </c>
      <c r="AO482" s="78" t="str">
        <f aca="false">IF(AK482="","",ROUND(SUMIFS(AK$6:AK482,BJ$6:BJ482,BJ482),2))</f>
        <v/>
      </c>
      <c r="AP482" s="80" t="str">
        <f aca="false">IF(OR(AK482="",BL482=""),"",IFERROR(ROUND(IF(J482="Short",AB482-AE482,AE482-AB482)/BL482,1),""))</f>
        <v/>
      </c>
      <c r="AQ482" s="66" t="str">
        <f aca="false">IF(OR(G482="",H482=""),"",ROUND(MOD(H482-G482,1)*1440,0))</f>
        <v/>
      </c>
      <c r="AR482" s="68" t="str">
        <f aca="false">IF(AQ482="","",IF(AQ482&lt;15,"Under 15m",IF(AQ482&lt;60,"15-60m",IF(AQ482&lt;240,"1-4 hours","4+ hours"))))</f>
        <v/>
      </c>
      <c r="AS482" s="66" t="str">
        <f aca="false">IF(G482="","",HOUR(G482))</f>
        <v/>
      </c>
      <c r="AT482" s="80" t="str">
        <f aca="false">IF(OR(Z482="",AB482="",BL482=""),"",IFERROR(ROUND(IF(J482="Short",Z482-AB482,AB482-Z482)/BL482,1),""))</f>
        <v/>
      </c>
      <c r="AU482" s="68" t="str">
        <f aca="false">IF(OR(AA482="",AC482=""),"",IF(AA482=AC482,"No","Yes"))</f>
        <v/>
      </c>
      <c r="AV482" s="81" t="str">
        <f aca="false">IF(OR(B482="",BL482="",BM482="",AB482="",AC482=""),"",IFERROR(ROUND(AI482/(ABS(AB482-AC482)/BL482*BM482),2),""))</f>
        <v/>
      </c>
      <c r="AW482" s="76" t="str">
        <f aca="false">IF(B482="","",ROUND(BK482+SUMIFS(AM$5:AM481,BJ$5:BJ481,BJ482),2))</f>
        <v/>
      </c>
      <c r="AX482" s="66" t="str">
        <f aca="false">IF(B482="","",COUNTIFS(B$6:B482,B482,BJ$6:BJ482,BJ482))</f>
        <v/>
      </c>
      <c r="AY482" s="79" t="str">
        <f aca="false">IF(B482="","",ROUND(SUMIFS(AM$5:AM481,B$5:B481,B482,BJ$5:BJ481,BJ482),2))</f>
        <v/>
      </c>
      <c r="AZ482" s="79" t="str">
        <f aca="false">IF(AM482="","",ROUND(AY482+AM482,2))</f>
        <v/>
      </c>
      <c r="BA482" s="79" t="str">
        <f aca="false">IF(B482="","",ROUND(SUMIFS(AM$5:AM481,B$5:B481,"&gt;="&amp;(B482-WEEKDAY(B482,2)+1),B$5:B481,"&lt;="&amp;B482,BJ$5:BJ481,BJ482),2))</f>
        <v/>
      </c>
      <c r="BB482" s="68" t="str">
        <f aca="false">IF(B482="","",IF(AND(AF482&lt;&gt;"",AV482&lt;&gt;"",N(AF482)&gt;N(AV482)*(1+Settings!$C$13)),"Oversized",IF(AX482&gt;Settings!$C$10,"Overtraded",IF(AY482&lt;=-Settings!$C$11*(AW482-AY482),"Daily loss hit",IF(BA482&lt;=-Settings!$C$12*(AW482-BA482),"Weekly loss hit","OK")))))</f>
        <v/>
      </c>
      <c r="BC482" s="69"/>
      <c r="BD482" s="69"/>
      <c r="BE482" s="69"/>
      <c r="BF482" s="73"/>
      <c r="BG482" s="73"/>
      <c r="BH482" s="71"/>
      <c r="BI482" s="71"/>
      <c r="BJ482" s="68" t="str">
        <f aca="false">IF(B482="","",IF(E482="",Settings!$F$5,E482))</f>
        <v/>
      </c>
      <c r="BK482" s="76" t="str">
        <f aca="false">IF(B482="","",IFERROR(INDEX(Settings!$G$5:$G$10,MATCH(BJ482,Settings!$F$5:$F$10,0)),Settings!$G$5))</f>
        <v/>
      </c>
      <c r="BL482" s="82" t="str">
        <f aca="false">IF(I482="","",IFERROR(1/(1/INDEX(Lists!$C$6:$C$17,MATCH(I482,Lists!$B$6:$B$17,0))),""))</f>
        <v/>
      </c>
      <c r="BM482" s="81" t="str">
        <f aca="false">IF(I482="","",IFERROR(1/(1/INDEX(Lists!$D$6:$D$17,MATCH(I482,Lists!$B$6:$B$17,0))),""))</f>
        <v/>
      </c>
      <c r="BN482" s="76" t="str">
        <f aca="false">IF(AN482="","",MAX(BK482,_xlfn.MAXIFS(AN$6:AN482,BJ$6:BJ482,BJ482)))</f>
        <v/>
      </c>
      <c r="BO482" s="83" t="str">
        <f aca="false">IF(AN482="","",(AN482-BN482)/BN482)</f>
        <v/>
      </c>
      <c r="BP482" s="66" t="n">
        <f aca="false">IF(OR(B482="",AL482=""),0,IF(OR(Settings!$C$28="All Accounts",BJ482=Settings!$C$28),1,0))</f>
        <v>0</v>
      </c>
      <c r="BQ482" s="66" t="str">
        <f aca="false">IF(BP482=1,SUM(BP$6:BP482),"")</f>
        <v/>
      </c>
      <c r="BR482" s="76" t="str">
        <f aca="false">IF(BP482=1,ROUND(Settings!$C$29+SUMIFS(AM$6:AM482,BP$6:BP482,1),2),"")</f>
        <v/>
      </c>
      <c r="BS482" s="76" t="str">
        <f aca="false">IF(BP482=1,MAX(Settings!$C$29,MAX(BR$6:BR482)),"")</f>
        <v/>
      </c>
      <c r="BT482" s="83" t="str">
        <f aca="false">IF(BP482=1,(BR482-BS482)/BS482,"")</f>
        <v/>
      </c>
      <c r="BU482" s="66" t="str">
        <f aca="false">IF(BP482=1,IF(AL482="Win",1+IF(BQ482=1,0,INDEX(BU$5:BU481,MATCH(BQ482-1,BQ$5:BQ481,0))),0),"")</f>
        <v/>
      </c>
      <c r="BV482" s="66" t="str">
        <f aca="false">IF(BP482=1,IF(AL482="Loss",1+IF(BQ482=1,0,INDEX(BV$5:BV481,MATCH(BQ482-1,BQ$5:BQ481,0))),0),"")</f>
        <v/>
      </c>
    </row>
    <row r="483" customFormat="false" ht="15" hidden="false" customHeight="false" outlineLevel="0" collapsed="false">
      <c r="A483" s="66" t="str">
        <f aca="false">IF(B483="","",ROW()-5)</f>
        <v/>
      </c>
      <c r="B483" s="67"/>
      <c r="C483" s="68" t="str">
        <f aca="false">IF(B483="","",CHOOSE(WEEKDAY(B483,2),"Mon","Tue","Wed","Thu","Fri","Sat","Sun"))</f>
        <v/>
      </c>
      <c r="D483" s="66" t="str">
        <f aca="false">IF(B483="","",WEEKNUM(B483,2))</f>
        <v/>
      </c>
      <c r="E483" s="69"/>
      <c r="F483" s="69"/>
      <c r="G483" s="70"/>
      <c r="H483" s="70"/>
      <c r="I483" s="69"/>
      <c r="J483" s="69"/>
      <c r="K483" s="69"/>
      <c r="L483" s="71"/>
      <c r="M483" s="69"/>
      <c r="N483" s="69"/>
      <c r="O483" s="69"/>
      <c r="P483" s="71"/>
      <c r="Q483" s="69"/>
      <c r="R483" s="69"/>
      <c r="S483" s="69"/>
      <c r="T483" s="69"/>
      <c r="U483" s="69"/>
      <c r="V483" s="69"/>
      <c r="W483" s="69"/>
      <c r="X483" s="66" t="str">
        <f aca="false">IF(B483="","",COUNTIF(Q483:W483,"Yes"))</f>
        <v/>
      </c>
      <c r="Y483" s="68" t="str">
        <f aca="false">IF(B483="","",IF(X483&gt;=Settings!$C$16,"A+",IF(X483&gt;=Settings!$C$17,"A",IF(X483&gt;=Settings!$C$18,"B","C"))))</f>
        <v/>
      </c>
      <c r="Z483" s="72"/>
      <c r="AA483" s="72"/>
      <c r="AB483" s="72"/>
      <c r="AC483" s="72"/>
      <c r="AD483" s="72"/>
      <c r="AE483" s="72"/>
      <c r="AF483" s="73"/>
      <c r="AG483" s="74"/>
      <c r="AH483" s="75"/>
      <c r="AI483" s="76" t="str">
        <f aca="false">IF(B483="","",ROUND(IF(AG483="",Settings!$C$5,AG483)*AW483,2))</f>
        <v/>
      </c>
      <c r="AJ483" s="77" t="str">
        <f aca="false">IF(OR(B483="",AB483="",AC483="",AD483=""),"",IFERROR(ROUND(ABS(AD483-AB483)/ABS(AB483-AC483),2),""))</f>
        <v/>
      </c>
      <c r="AK483" s="78" t="str">
        <f aca="false">IF(OR(B483="",AB483="",AC483="",AE483=""),"",IFERROR(ROUND(IF(J483="Short",AB483-AE483,AE483-AB483)/ABS(AB483-AC483),2),""))</f>
        <v/>
      </c>
      <c r="AL483" s="68" t="str">
        <f aca="false">IF(AK483="","",IF(ABS(AK483)&lt;=Settings!$C$6,"BE",IF(AK483&gt;0,"Win","Loss")))</f>
        <v/>
      </c>
      <c r="AM483" s="79" t="str">
        <f aca="false">IF(OR(AK483="",AI483=""),"",ROUND(AK483*AI483-N(AH483),2))</f>
        <v/>
      </c>
      <c r="AN483" s="76" t="str">
        <f aca="false">IF(AM483="","",ROUND(BK483+SUMIFS(AM$6:AM483,BJ$6:BJ483,BJ483),2))</f>
        <v/>
      </c>
      <c r="AO483" s="78" t="str">
        <f aca="false">IF(AK483="","",ROUND(SUMIFS(AK$6:AK483,BJ$6:BJ483,BJ483),2))</f>
        <v/>
      </c>
      <c r="AP483" s="80" t="str">
        <f aca="false">IF(OR(AK483="",BL483=""),"",IFERROR(ROUND(IF(J483="Short",AB483-AE483,AE483-AB483)/BL483,1),""))</f>
        <v/>
      </c>
      <c r="AQ483" s="66" t="str">
        <f aca="false">IF(OR(G483="",H483=""),"",ROUND(MOD(H483-G483,1)*1440,0))</f>
        <v/>
      </c>
      <c r="AR483" s="68" t="str">
        <f aca="false">IF(AQ483="","",IF(AQ483&lt;15,"Under 15m",IF(AQ483&lt;60,"15-60m",IF(AQ483&lt;240,"1-4 hours","4+ hours"))))</f>
        <v/>
      </c>
      <c r="AS483" s="66" t="str">
        <f aca="false">IF(G483="","",HOUR(G483))</f>
        <v/>
      </c>
      <c r="AT483" s="80" t="str">
        <f aca="false">IF(OR(Z483="",AB483="",BL483=""),"",IFERROR(ROUND(IF(J483="Short",Z483-AB483,AB483-Z483)/BL483,1),""))</f>
        <v/>
      </c>
      <c r="AU483" s="68" t="str">
        <f aca="false">IF(OR(AA483="",AC483=""),"",IF(AA483=AC483,"No","Yes"))</f>
        <v/>
      </c>
      <c r="AV483" s="81" t="str">
        <f aca="false">IF(OR(B483="",BL483="",BM483="",AB483="",AC483=""),"",IFERROR(ROUND(AI483/(ABS(AB483-AC483)/BL483*BM483),2),""))</f>
        <v/>
      </c>
      <c r="AW483" s="76" t="str">
        <f aca="false">IF(B483="","",ROUND(BK483+SUMIFS(AM$5:AM482,BJ$5:BJ482,BJ483),2))</f>
        <v/>
      </c>
      <c r="AX483" s="66" t="str">
        <f aca="false">IF(B483="","",COUNTIFS(B$6:B483,B483,BJ$6:BJ483,BJ483))</f>
        <v/>
      </c>
      <c r="AY483" s="79" t="str">
        <f aca="false">IF(B483="","",ROUND(SUMIFS(AM$5:AM482,B$5:B482,B483,BJ$5:BJ482,BJ483),2))</f>
        <v/>
      </c>
      <c r="AZ483" s="79" t="str">
        <f aca="false">IF(AM483="","",ROUND(AY483+AM483,2))</f>
        <v/>
      </c>
      <c r="BA483" s="79" t="str">
        <f aca="false">IF(B483="","",ROUND(SUMIFS(AM$5:AM482,B$5:B482,"&gt;="&amp;(B483-WEEKDAY(B483,2)+1),B$5:B482,"&lt;="&amp;B483,BJ$5:BJ482,BJ483),2))</f>
        <v/>
      </c>
      <c r="BB483" s="68" t="str">
        <f aca="false">IF(B483="","",IF(AND(AF483&lt;&gt;"",AV483&lt;&gt;"",N(AF483)&gt;N(AV483)*(1+Settings!$C$13)),"Oversized",IF(AX483&gt;Settings!$C$10,"Overtraded",IF(AY483&lt;=-Settings!$C$11*(AW483-AY483),"Daily loss hit",IF(BA483&lt;=-Settings!$C$12*(AW483-BA483),"Weekly loss hit","OK")))))</f>
        <v/>
      </c>
      <c r="BC483" s="69"/>
      <c r="BD483" s="69"/>
      <c r="BE483" s="69"/>
      <c r="BF483" s="73"/>
      <c r="BG483" s="73"/>
      <c r="BH483" s="71"/>
      <c r="BI483" s="71"/>
      <c r="BJ483" s="68" t="str">
        <f aca="false">IF(B483="","",IF(E483="",Settings!$F$5,E483))</f>
        <v/>
      </c>
      <c r="BK483" s="76" t="str">
        <f aca="false">IF(B483="","",IFERROR(INDEX(Settings!$G$5:$G$10,MATCH(BJ483,Settings!$F$5:$F$10,0)),Settings!$G$5))</f>
        <v/>
      </c>
      <c r="BL483" s="82" t="str">
        <f aca="false">IF(I483="","",IFERROR(1/(1/INDEX(Lists!$C$6:$C$17,MATCH(I483,Lists!$B$6:$B$17,0))),""))</f>
        <v/>
      </c>
      <c r="BM483" s="81" t="str">
        <f aca="false">IF(I483="","",IFERROR(1/(1/INDEX(Lists!$D$6:$D$17,MATCH(I483,Lists!$B$6:$B$17,0))),""))</f>
        <v/>
      </c>
      <c r="BN483" s="76" t="str">
        <f aca="false">IF(AN483="","",MAX(BK483,_xlfn.MAXIFS(AN$6:AN483,BJ$6:BJ483,BJ483)))</f>
        <v/>
      </c>
      <c r="BO483" s="83" t="str">
        <f aca="false">IF(AN483="","",(AN483-BN483)/BN483)</f>
        <v/>
      </c>
      <c r="BP483" s="66" t="n">
        <f aca="false">IF(OR(B483="",AL483=""),0,IF(OR(Settings!$C$28="All Accounts",BJ483=Settings!$C$28),1,0))</f>
        <v>0</v>
      </c>
      <c r="BQ483" s="66" t="str">
        <f aca="false">IF(BP483=1,SUM(BP$6:BP483),"")</f>
        <v/>
      </c>
      <c r="BR483" s="76" t="str">
        <f aca="false">IF(BP483=1,ROUND(Settings!$C$29+SUMIFS(AM$6:AM483,BP$6:BP483,1),2),"")</f>
        <v/>
      </c>
      <c r="BS483" s="76" t="str">
        <f aca="false">IF(BP483=1,MAX(Settings!$C$29,MAX(BR$6:BR483)),"")</f>
        <v/>
      </c>
      <c r="BT483" s="83" t="str">
        <f aca="false">IF(BP483=1,(BR483-BS483)/BS483,"")</f>
        <v/>
      </c>
      <c r="BU483" s="66" t="str">
        <f aca="false">IF(BP483=1,IF(AL483="Win",1+IF(BQ483=1,0,INDEX(BU$5:BU482,MATCH(BQ483-1,BQ$5:BQ482,0))),0),"")</f>
        <v/>
      </c>
      <c r="BV483" s="66" t="str">
        <f aca="false">IF(BP483=1,IF(AL483="Loss",1+IF(BQ483=1,0,INDEX(BV$5:BV482,MATCH(BQ483-1,BQ$5:BQ482,0))),0),"")</f>
        <v/>
      </c>
    </row>
    <row r="484" customFormat="false" ht="15" hidden="false" customHeight="false" outlineLevel="0" collapsed="false">
      <c r="A484" s="66" t="str">
        <f aca="false">IF(B484="","",ROW()-5)</f>
        <v/>
      </c>
      <c r="B484" s="67"/>
      <c r="C484" s="68" t="str">
        <f aca="false">IF(B484="","",CHOOSE(WEEKDAY(B484,2),"Mon","Tue","Wed","Thu","Fri","Sat","Sun"))</f>
        <v/>
      </c>
      <c r="D484" s="66" t="str">
        <f aca="false">IF(B484="","",WEEKNUM(B484,2))</f>
        <v/>
      </c>
      <c r="E484" s="69"/>
      <c r="F484" s="69"/>
      <c r="G484" s="70"/>
      <c r="H484" s="70"/>
      <c r="I484" s="69"/>
      <c r="J484" s="69"/>
      <c r="K484" s="69"/>
      <c r="L484" s="71"/>
      <c r="M484" s="69"/>
      <c r="N484" s="69"/>
      <c r="O484" s="69"/>
      <c r="P484" s="71"/>
      <c r="Q484" s="69"/>
      <c r="R484" s="69"/>
      <c r="S484" s="69"/>
      <c r="T484" s="69"/>
      <c r="U484" s="69"/>
      <c r="V484" s="69"/>
      <c r="W484" s="69"/>
      <c r="X484" s="66" t="str">
        <f aca="false">IF(B484="","",COUNTIF(Q484:W484,"Yes"))</f>
        <v/>
      </c>
      <c r="Y484" s="68" t="str">
        <f aca="false">IF(B484="","",IF(X484&gt;=Settings!$C$16,"A+",IF(X484&gt;=Settings!$C$17,"A",IF(X484&gt;=Settings!$C$18,"B","C"))))</f>
        <v/>
      </c>
      <c r="Z484" s="72"/>
      <c r="AA484" s="72"/>
      <c r="AB484" s="72"/>
      <c r="AC484" s="72"/>
      <c r="AD484" s="72"/>
      <c r="AE484" s="72"/>
      <c r="AF484" s="73"/>
      <c r="AG484" s="74"/>
      <c r="AH484" s="75"/>
      <c r="AI484" s="76" t="str">
        <f aca="false">IF(B484="","",ROUND(IF(AG484="",Settings!$C$5,AG484)*AW484,2))</f>
        <v/>
      </c>
      <c r="AJ484" s="77" t="str">
        <f aca="false">IF(OR(B484="",AB484="",AC484="",AD484=""),"",IFERROR(ROUND(ABS(AD484-AB484)/ABS(AB484-AC484),2),""))</f>
        <v/>
      </c>
      <c r="AK484" s="78" t="str">
        <f aca="false">IF(OR(B484="",AB484="",AC484="",AE484=""),"",IFERROR(ROUND(IF(J484="Short",AB484-AE484,AE484-AB484)/ABS(AB484-AC484),2),""))</f>
        <v/>
      </c>
      <c r="AL484" s="68" t="str">
        <f aca="false">IF(AK484="","",IF(ABS(AK484)&lt;=Settings!$C$6,"BE",IF(AK484&gt;0,"Win","Loss")))</f>
        <v/>
      </c>
      <c r="AM484" s="79" t="str">
        <f aca="false">IF(OR(AK484="",AI484=""),"",ROUND(AK484*AI484-N(AH484),2))</f>
        <v/>
      </c>
      <c r="AN484" s="76" t="str">
        <f aca="false">IF(AM484="","",ROUND(BK484+SUMIFS(AM$6:AM484,BJ$6:BJ484,BJ484),2))</f>
        <v/>
      </c>
      <c r="AO484" s="78" t="str">
        <f aca="false">IF(AK484="","",ROUND(SUMIFS(AK$6:AK484,BJ$6:BJ484,BJ484),2))</f>
        <v/>
      </c>
      <c r="AP484" s="80" t="str">
        <f aca="false">IF(OR(AK484="",BL484=""),"",IFERROR(ROUND(IF(J484="Short",AB484-AE484,AE484-AB484)/BL484,1),""))</f>
        <v/>
      </c>
      <c r="AQ484" s="66" t="str">
        <f aca="false">IF(OR(G484="",H484=""),"",ROUND(MOD(H484-G484,1)*1440,0))</f>
        <v/>
      </c>
      <c r="AR484" s="68" t="str">
        <f aca="false">IF(AQ484="","",IF(AQ484&lt;15,"Under 15m",IF(AQ484&lt;60,"15-60m",IF(AQ484&lt;240,"1-4 hours","4+ hours"))))</f>
        <v/>
      </c>
      <c r="AS484" s="66" t="str">
        <f aca="false">IF(G484="","",HOUR(G484))</f>
        <v/>
      </c>
      <c r="AT484" s="80" t="str">
        <f aca="false">IF(OR(Z484="",AB484="",BL484=""),"",IFERROR(ROUND(IF(J484="Short",Z484-AB484,AB484-Z484)/BL484,1),""))</f>
        <v/>
      </c>
      <c r="AU484" s="68" t="str">
        <f aca="false">IF(OR(AA484="",AC484=""),"",IF(AA484=AC484,"No","Yes"))</f>
        <v/>
      </c>
      <c r="AV484" s="81" t="str">
        <f aca="false">IF(OR(B484="",BL484="",BM484="",AB484="",AC484=""),"",IFERROR(ROUND(AI484/(ABS(AB484-AC484)/BL484*BM484),2),""))</f>
        <v/>
      </c>
      <c r="AW484" s="76" t="str">
        <f aca="false">IF(B484="","",ROUND(BK484+SUMIFS(AM$5:AM483,BJ$5:BJ483,BJ484),2))</f>
        <v/>
      </c>
      <c r="AX484" s="66" t="str">
        <f aca="false">IF(B484="","",COUNTIFS(B$6:B484,B484,BJ$6:BJ484,BJ484))</f>
        <v/>
      </c>
      <c r="AY484" s="79" t="str">
        <f aca="false">IF(B484="","",ROUND(SUMIFS(AM$5:AM483,B$5:B483,B484,BJ$5:BJ483,BJ484),2))</f>
        <v/>
      </c>
      <c r="AZ484" s="79" t="str">
        <f aca="false">IF(AM484="","",ROUND(AY484+AM484,2))</f>
        <v/>
      </c>
      <c r="BA484" s="79" t="str">
        <f aca="false">IF(B484="","",ROUND(SUMIFS(AM$5:AM483,B$5:B483,"&gt;="&amp;(B484-WEEKDAY(B484,2)+1),B$5:B483,"&lt;="&amp;B484,BJ$5:BJ483,BJ484),2))</f>
        <v/>
      </c>
      <c r="BB484" s="68" t="str">
        <f aca="false">IF(B484="","",IF(AND(AF484&lt;&gt;"",AV484&lt;&gt;"",N(AF484)&gt;N(AV484)*(1+Settings!$C$13)),"Oversized",IF(AX484&gt;Settings!$C$10,"Overtraded",IF(AY484&lt;=-Settings!$C$11*(AW484-AY484),"Daily loss hit",IF(BA484&lt;=-Settings!$C$12*(AW484-BA484),"Weekly loss hit","OK")))))</f>
        <v/>
      </c>
      <c r="BC484" s="69"/>
      <c r="BD484" s="69"/>
      <c r="BE484" s="69"/>
      <c r="BF484" s="73"/>
      <c r="BG484" s="73"/>
      <c r="BH484" s="71"/>
      <c r="BI484" s="71"/>
      <c r="BJ484" s="68" t="str">
        <f aca="false">IF(B484="","",IF(E484="",Settings!$F$5,E484))</f>
        <v/>
      </c>
      <c r="BK484" s="76" t="str">
        <f aca="false">IF(B484="","",IFERROR(INDEX(Settings!$G$5:$G$10,MATCH(BJ484,Settings!$F$5:$F$10,0)),Settings!$G$5))</f>
        <v/>
      </c>
      <c r="BL484" s="82" t="str">
        <f aca="false">IF(I484="","",IFERROR(1/(1/INDEX(Lists!$C$6:$C$17,MATCH(I484,Lists!$B$6:$B$17,0))),""))</f>
        <v/>
      </c>
      <c r="BM484" s="81" t="str">
        <f aca="false">IF(I484="","",IFERROR(1/(1/INDEX(Lists!$D$6:$D$17,MATCH(I484,Lists!$B$6:$B$17,0))),""))</f>
        <v/>
      </c>
      <c r="BN484" s="76" t="str">
        <f aca="false">IF(AN484="","",MAX(BK484,_xlfn.MAXIFS(AN$6:AN484,BJ$6:BJ484,BJ484)))</f>
        <v/>
      </c>
      <c r="BO484" s="83" t="str">
        <f aca="false">IF(AN484="","",(AN484-BN484)/BN484)</f>
        <v/>
      </c>
      <c r="BP484" s="66" t="n">
        <f aca="false">IF(OR(B484="",AL484=""),0,IF(OR(Settings!$C$28="All Accounts",BJ484=Settings!$C$28),1,0))</f>
        <v>0</v>
      </c>
      <c r="BQ484" s="66" t="str">
        <f aca="false">IF(BP484=1,SUM(BP$6:BP484),"")</f>
        <v/>
      </c>
      <c r="BR484" s="76" t="str">
        <f aca="false">IF(BP484=1,ROUND(Settings!$C$29+SUMIFS(AM$6:AM484,BP$6:BP484,1),2),"")</f>
        <v/>
      </c>
      <c r="BS484" s="76" t="str">
        <f aca="false">IF(BP484=1,MAX(Settings!$C$29,MAX(BR$6:BR484)),"")</f>
        <v/>
      </c>
      <c r="BT484" s="83" t="str">
        <f aca="false">IF(BP484=1,(BR484-BS484)/BS484,"")</f>
        <v/>
      </c>
      <c r="BU484" s="66" t="str">
        <f aca="false">IF(BP484=1,IF(AL484="Win",1+IF(BQ484=1,0,INDEX(BU$5:BU483,MATCH(BQ484-1,BQ$5:BQ483,0))),0),"")</f>
        <v/>
      </c>
      <c r="BV484" s="66" t="str">
        <f aca="false">IF(BP484=1,IF(AL484="Loss",1+IF(BQ484=1,0,INDEX(BV$5:BV483,MATCH(BQ484-1,BQ$5:BQ483,0))),0),"")</f>
        <v/>
      </c>
    </row>
    <row r="485" customFormat="false" ht="15" hidden="false" customHeight="false" outlineLevel="0" collapsed="false">
      <c r="A485" s="66" t="str">
        <f aca="false">IF(B485="","",ROW()-5)</f>
        <v/>
      </c>
      <c r="B485" s="67"/>
      <c r="C485" s="68" t="str">
        <f aca="false">IF(B485="","",CHOOSE(WEEKDAY(B485,2),"Mon","Tue","Wed","Thu","Fri","Sat","Sun"))</f>
        <v/>
      </c>
      <c r="D485" s="66" t="str">
        <f aca="false">IF(B485="","",WEEKNUM(B485,2))</f>
        <v/>
      </c>
      <c r="E485" s="69"/>
      <c r="F485" s="69"/>
      <c r="G485" s="70"/>
      <c r="H485" s="70"/>
      <c r="I485" s="69"/>
      <c r="J485" s="69"/>
      <c r="K485" s="69"/>
      <c r="L485" s="71"/>
      <c r="M485" s="69"/>
      <c r="N485" s="69"/>
      <c r="O485" s="69"/>
      <c r="P485" s="71"/>
      <c r="Q485" s="69"/>
      <c r="R485" s="69"/>
      <c r="S485" s="69"/>
      <c r="T485" s="69"/>
      <c r="U485" s="69"/>
      <c r="V485" s="69"/>
      <c r="W485" s="69"/>
      <c r="X485" s="66" t="str">
        <f aca="false">IF(B485="","",COUNTIF(Q485:W485,"Yes"))</f>
        <v/>
      </c>
      <c r="Y485" s="68" t="str">
        <f aca="false">IF(B485="","",IF(X485&gt;=Settings!$C$16,"A+",IF(X485&gt;=Settings!$C$17,"A",IF(X485&gt;=Settings!$C$18,"B","C"))))</f>
        <v/>
      </c>
      <c r="Z485" s="72"/>
      <c r="AA485" s="72"/>
      <c r="AB485" s="72"/>
      <c r="AC485" s="72"/>
      <c r="AD485" s="72"/>
      <c r="AE485" s="72"/>
      <c r="AF485" s="73"/>
      <c r="AG485" s="74"/>
      <c r="AH485" s="75"/>
      <c r="AI485" s="76" t="str">
        <f aca="false">IF(B485="","",ROUND(IF(AG485="",Settings!$C$5,AG485)*AW485,2))</f>
        <v/>
      </c>
      <c r="AJ485" s="77" t="str">
        <f aca="false">IF(OR(B485="",AB485="",AC485="",AD485=""),"",IFERROR(ROUND(ABS(AD485-AB485)/ABS(AB485-AC485),2),""))</f>
        <v/>
      </c>
      <c r="AK485" s="78" t="str">
        <f aca="false">IF(OR(B485="",AB485="",AC485="",AE485=""),"",IFERROR(ROUND(IF(J485="Short",AB485-AE485,AE485-AB485)/ABS(AB485-AC485),2),""))</f>
        <v/>
      </c>
      <c r="AL485" s="68" t="str">
        <f aca="false">IF(AK485="","",IF(ABS(AK485)&lt;=Settings!$C$6,"BE",IF(AK485&gt;0,"Win","Loss")))</f>
        <v/>
      </c>
      <c r="AM485" s="79" t="str">
        <f aca="false">IF(OR(AK485="",AI485=""),"",ROUND(AK485*AI485-N(AH485),2))</f>
        <v/>
      </c>
      <c r="AN485" s="76" t="str">
        <f aca="false">IF(AM485="","",ROUND(BK485+SUMIFS(AM$6:AM485,BJ$6:BJ485,BJ485),2))</f>
        <v/>
      </c>
      <c r="AO485" s="78" t="str">
        <f aca="false">IF(AK485="","",ROUND(SUMIFS(AK$6:AK485,BJ$6:BJ485,BJ485),2))</f>
        <v/>
      </c>
      <c r="AP485" s="80" t="str">
        <f aca="false">IF(OR(AK485="",BL485=""),"",IFERROR(ROUND(IF(J485="Short",AB485-AE485,AE485-AB485)/BL485,1),""))</f>
        <v/>
      </c>
      <c r="AQ485" s="66" t="str">
        <f aca="false">IF(OR(G485="",H485=""),"",ROUND(MOD(H485-G485,1)*1440,0))</f>
        <v/>
      </c>
      <c r="AR485" s="68" t="str">
        <f aca="false">IF(AQ485="","",IF(AQ485&lt;15,"Under 15m",IF(AQ485&lt;60,"15-60m",IF(AQ485&lt;240,"1-4 hours","4+ hours"))))</f>
        <v/>
      </c>
      <c r="AS485" s="66" t="str">
        <f aca="false">IF(G485="","",HOUR(G485))</f>
        <v/>
      </c>
      <c r="AT485" s="80" t="str">
        <f aca="false">IF(OR(Z485="",AB485="",BL485=""),"",IFERROR(ROUND(IF(J485="Short",Z485-AB485,AB485-Z485)/BL485,1),""))</f>
        <v/>
      </c>
      <c r="AU485" s="68" t="str">
        <f aca="false">IF(OR(AA485="",AC485=""),"",IF(AA485=AC485,"No","Yes"))</f>
        <v/>
      </c>
      <c r="AV485" s="81" t="str">
        <f aca="false">IF(OR(B485="",BL485="",BM485="",AB485="",AC485=""),"",IFERROR(ROUND(AI485/(ABS(AB485-AC485)/BL485*BM485),2),""))</f>
        <v/>
      </c>
      <c r="AW485" s="76" t="str">
        <f aca="false">IF(B485="","",ROUND(BK485+SUMIFS(AM$5:AM484,BJ$5:BJ484,BJ485),2))</f>
        <v/>
      </c>
      <c r="AX485" s="66" t="str">
        <f aca="false">IF(B485="","",COUNTIFS(B$6:B485,B485,BJ$6:BJ485,BJ485))</f>
        <v/>
      </c>
      <c r="AY485" s="79" t="str">
        <f aca="false">IF(B485="","",ROUND(SUMIFS(AM$5:AM484,B$5:B484,B485,BJ$5:BJ484,BJ485),2))</f>
        <v/>
      </c>
      <c r="AZ485" s="79" t="str">
        <f aca="false">IF(AM485="","",ROUND(AY485+AM485,2))</f>
        <v/>
      </c>
      <c r="BA485" s="79" t="str">
        <f aca="false">IF(B485="","",ROUND(SUMIFS(AM$5:AM484,B$5:B484,"&gt;="&amp;(B485-WEEKDAY(B485,2)+1),B$5:B484,"&lt;="&amp;B485,BJ$5:BJ484,BJ485),2))</f>
        <v/>
      </c>
      <c r="BB485" s="68" t="str">
        <f aca="false">IF(B485="","",IF(AND(AF485&lt;&gt;"",AV485&lt;&gt;"",N(AF485)&gt;N(AV485)*(1+Settings!$C$13)),"Oversized",IF(AX485&gt;Settings!$C$10,"Overtraded",IF(AY485&lt;=-Settings!$C$11*(AW485-AY485),"Daily loss hit",IF(BA485&lt;=-Settings!$C$12*(AW485-BA485),"Weekly loss hit","OK")))))</f>
        <v/>
      </c>
      <c r="BC485" s="69"/>
      <c r="BD485" s="69"/>
      <c r="BE485" s="69"/>
      <c r="BF485" s="73"/>
      <c r="BG485" s="73"/>
      <c r="BH485" s="71"/>
      <c r="BI485" s="71"/>
      <c r="BJ485" s="68" t="str">
        <f aca="false">IF(B485="","",IF(E485="",Settings!$F$5,E485))</f>
        <v/>
      </c>
      <c r="BK485" s="76" t="str">
        <f aca="false">IF(B485="","",IFERROR(INDEX(Settings!$G$5:$G$10,MATCH(BJ485,Settings!$F$5:$F$10,0)),Settings!$G$5))</f>
        <v/>
      </c>
      <c r="BL485" s="82" t="str">
        <f aca="false">IF(I485="","",IFERROR(1/(1/INDEX(Lists!$C$6:$C$17,MATCH(I485,Lists!$B$6:$B$17,0))),""))</f>
        <v/>
      </c>
      <c r="BM485" s="81" t="str">
        <f aca="false">IF(I485="","",IFERROR(1/(1/INDEX(Lists!$D$6:$D$17,MATCH(I485,Lists!$B$6:$B$17,0))),""))</f>
        <v/>
      </c>
      <c r="BN485" s="76" t="str">
        <f aca="false">IF(AN485="","",MAX(BK485,_xlfn.MAXIFS(AN$6:AN485,BJ$6:BJ485,BJ485)))</f>
        <v/>
      </c>
      <c r="BO485" s="83" t="str">
        <f aca="false">IF(AN485="","",(AN485-BN485)/BN485)</f>
        <v/>
      </c>
      <c r="BP485" s="66" t="n">
        <f aca="false">IF(OR(B485="",AL485=""),0,IF(OR(Settings!$C$28="All Accounts",BJ485=Settings!$C$28),1,0))</f>
        <v>0</v>
      </c>
      <c r="BQ485" s="66" t="str">
        <f aca="false">IF(BP485=1,SUM(BP$6:BP485),"")</f>
        <v/>
      </c>
      <c r="BR485" s="76" t="str">
        <f aca="false">IF(BP485=1,ROUND(Settings!$C$29+SUMIFS(AM$6:AM485,BP$6:BP485,1),2),"")</f>
        <v/>
      </c>
      <c r="BS485" s="76" t="str">
        <f aca="false">IF(BP485=1,MAX(Settings!$C$29,MAX(BR$6:BR485)),"")</f>
        <v/>
      </c>
      <c r="BT485" s="83" t="str">
        <f aca="false">IF(BP485=1,(BR485-BS485)/BS485,"")</f>
        <v/>
      </c>
      <c r="BU485" s="66" t="str">
        <f aca="false">IF(BP485=1,IF(AL485="Win",1+IF(BQ485=1,0,INDEX(BU$5:BU484,MATCH(BQ485-1,BQ$5:BQ484,0))),0),"")</f>
        <v/>
      </c>
      <c r="BV485" s="66" t="str">
        <f aca="false">IF(BP485=1,IF(AL485="Loss",1+IF(BQ485=1,0,INDEX(BV$5:BV484,MATCH(BQ485-1,BQ$5:BQ484,0))),0),"")</f>
        <v/>
      </c>
    </row>
    <row r="486" customFormat="false" ht="15" hidden="false" customHeight="false" outlineLevel="0" collapsed="false">
      <c r="A486" s="66" t="str">
        <f aca="false">IF(B486="","",ROW()-5)</f>
        <v/>
      </c>
      <c r="B486" s="67"/>
      <c r="C486" s="68" t="str">
        <f aca="false">IF(B486="","",CHOOSE(WEEKDAY(B486,2),"Mon","Tue","Wed","Thu","Fri","Sat","Sun"))</f>
        <v/>
      </c>
      <c r="D486" s="66" t="str">
        <f aca="false">IF(B486="","",WEEKNUM(B486,2))</f>
        <v/>
      </c>
      <c r="E486" s="69"/>
      <c r="F486" s="69"/>
      <c r="G486" s="70"/>
      <c r="H486" s="70"/>
      <c r="I486" s="69"/>
      <c r="J486" s="69"/>
      <c r="K486" s="69"/>
      <c r="L486" s="71"/>
      <c r="M486" s="69"/>
      <c r="N486" s="69"/>
      <c r="O486" s="69"/>
      <c r="P486" s="71"/>
      <c r="Q486" s="69"/>
      <c r="R486" s="69"/>
      <c r="S486" s="69"/>
      <c r="T486" s="69"/>
      <c r="U486" s="69"/>
      <c r="V486" s="69"/>
      <c r="W486" s="69"/>
      <c r="X486" s="66" t="str">
        <f aca="false">IF(B486="","",COUNTIF(Q486:W486,"Yes"))</f>
        <v/>
      </c>
      <c r="Y486" s="68" t="str">
        <f aca="false">IF(B486="","",IF(X486&gt;=Settings!$C$16,"A+",IF(X486&gt;=Settings!$C$17,"A",IF(X486&gt;=Settings!$C$18,"B","C"))))</f>
        <v/>
      </c>
      <c r="Z486" s="72"/>
      <c r="AA486" s="72"/>
      <c r="AB486" s="72"/>
      <c r="AC486" s="72"/>
      <c r="AD486" s="72"/>
      <c r="AE486" s="72"/>
      <c r="AF486" s="73"/>
      <c r="AG486" s="74"/>
      <c r="AH486" s="75"/>
      <c r="AI486" s="76" t="str">
        <f aca="false">IF(B486="","",ROUND(IF(AG486="",Settings!$C$5,AG486)*AW486,2))</f>
        <v/>
      </c>
      <c r="AJ486" s="77" t="str">
        <f aca="false">IF(OR(B486="",AB486="",AC486="",AD486=""),"",IFERROR(ROUND(ABS(AD486-AB486)/ABS(AB486-AC486),2),""))</f>
        <v/>
      </c>
      <c r="AK486" s="78" t="str">
        <f aca="false">IF(OR(B486="",AB486="",AC486="",AE486=""),"",IFERROR(ROUND(IF(J486="Short",AB486-AE486,AE486-AB486)/ABS(AB486-AC486),2),""))</f>
        <v/>
      </c>
      <c r="AL486" s="68" t="str">
        <f aca="false">IF(AK486="","",IF(ABS(AK486)&lt;=Settings!$C$6,"BE",IF(AK486&gt;0,"Win","Loss")))</f>
        <v/>
      </c>
      <c r="AM486" s="79" t="str">
        <f aca="false">IF(OR(AK486="",AI486=""),"",ROUND(AK486*AI486-N(AH486),2))</f>
        <v/>
      </c>
      <c r="AN486" s="76" t="str">
        <f aca="false">IF(AM486="","",ROUND(BK486+SUMIFS(AM$6:AM486,BJ$6:BJ486,BJ486),2))</f>
        <v/>
      </c>
      <c r="AO486" s="78" t="str">
        <f aca="false">IF(AK486="","",ROUND(SUMIFS(AK$6:AK486,BJ$6:BJ486,BJ486),2))</f>
        <v/>
      </c>
      <c r="AP486" s="80" t="str">
        <f aca="false">IF(OR(AK486="",BL486=""),"",IFERROR(ROUND(IF(J486="Short",AB486-AE486,AE486-AB486)/BL486,1),""))</f>
        <v/>
      </c>
      <c r="AQ486" s="66" t="str">
        <f aca="false">IF(OR(G486="",H486=""),"",ROUND(MOD(H486-G486,1)*1440,0))</f>
        <v/>
      </c>
      <c r="AR486" s="68" t="str">
        <f aca="false">IF(AQ486="","",IF(AQ486&lt;15,"Under 15m",IF(AQ486&lt;60,"15-60m",IF(AQ486&lt;240,"1-4 hours","4+ hours"))))</f>
        <v/>
      </c>
      <c r="AS486" s="66" t="str">
        <f aca="false">IF(G486="","",HOUR(G486))</f>
        <v/>
      </c>
      <c r="AT486" s="80" t="str">
        <f aca="false">IF(OR(Z486="",AB486="",BL486=""),"",IFERROR(ROUND(IF(J486="Short",Z486-AB486,AB486-Z486)/BL486,1),""))</f>
        <v/>
      </c>
      <c r="AU486" s="68" t="str">
        <f aca="false">IF(OR(AA486="",AC486=""),"",IF(AA486=AC486,"No","Yes"))</f>
        <v/>
      </c>
      <c r="AV486" s="81" t="str">
        <f aca="false">IF(OR(B486="",BL486="",BM486="",AB486="",AC486=""),"",IFERROR(ROUND(AI486/(ABS(AB486-AC486)/BL486*BM486),2),""))</f>
        <v/>
      </c>
      <c r="AW486" s="76" t="str">
        <f aca="false">IF(B486="","",ROUND(BK486+SUMIFS(AM$5:AM485,BJ$5:BJ485,BJ486),2))</f>
        <v/>
      </c>
      <c r="AX486" s="66" t="str">
        <f aca="false">IF(B486="","",COUNTIFS(B$6:B486,B486,BJ$6:BJ486,BJ486))</f>
        <v/>
      </c>
      <c r="AY486" s="79" t="str">
        <f aca="false">IF(B486="","",ROUND(SUMIFS(AM$5:AM485,B$5:B485,B486,BJ$5:BJ485,BJ486),2))</f>
        <v/>
      </c>
      <c r="AZ486" s="79" t="str">
        <f aca="false">IF(AM486="","",ROUND(AY486+AM486,2))</f>
        <v/>
      </c>
      <c r="BA486" s="79" t="str">
        <f aca="false">IF(B486="","",ROUND(SUMIFS(AM$5:AM485,B$5:B485,"&gt;="&amp;(B486-WEEKDAY(B486,2)+1),B$5:B485,"&lt;="&amp;B486,BJ$5:BJ485,BJ486),2))</f>
        <v/>
      </c>
      <c r="BB486" s="68" t="str">
        <f aca="false">IF(B486="","",IF(AND(AF486&lt;&gt;"",AV486&lt;&gt;"",N(AF486)&gt;N(AV486)*(1+Settings!$C$13)),"Oversized",IF(AX486&gt;Settings!$C$10,"Overtraded",IF(AY486&lt;=-Settings!$C$11*(AW486-AY486),"Daily loss hit",IF(BA486&lt;=-Settings!$C$12*(AW486-BA486),"Weekly loss hit","OK")))))</f>
        <v/>
      </c>
      <c r="BC486" s="69"/>
      <c r="BD486" s="69"/>
      <c r="BE486" s="69"/>
      <c r="BF486" s="73"/>
      <c r="BG486" s="73"/>
      <c r="BH486" s="71"/>
      <c r="BI486" s="71"/>
      <c r="BJ486" s="68" t="str">
        <f aca="false">IF(B486="","",IF(E486="",Settings!$F$5,E486))</f>
        <v/>
      </c>
      <c r="BK486" s="76" t="str">
        <f aca="false">IF(B486="","",IFERROR(INDEX(Settings!$G$5:$G$10,MATCH(BJ486,Settings!$F$5:$F$10,0)),Settings!$G$5))</f>
        <v/>
      </c>
      <c r="BL486" s="82" t="str">
        <f aca="false">IF(I486="","",IFERROR(1/(1/INDEX(Lists!$C$6:$C$17,MATCH(I486,Lists!$B$6:$B$17,0))),""))</f>
        <v/>
      </c>
      <c r="BM486" s="81" t="str">
        <f aca="false">IF(I486="","",IFERROR(1/(1/INDEX(Lists!$D$6:$D$17,MATCH(I486,Lists!$B$6:$B$17,0))),""))</f>
        <v/>
      </c>
      <c r="BN486" s="76" t="str">
        <f aca="false">IF(AN486="","",MAX(BK486,_xlfn.MAXIFS(AN$6:AN486,BJ$6:BJ486,BJ486)))</f>
        <v/>
      </c>
      <c r="BO486" s="83" t="str">
        <f aca="false">IF(AN486="","",(AN486-BN486)/BN486)</f>
        <v/>
      </c>
      <c r="BP486" s="66" t="n">
        <f aca="false">IF(OR(B486="",AL486=""),0,IF(OR(Settings!$C$28="All Accounts",BJ486=Settings!$C$28),1,0))</f>
        <v>0</v>
      </c>
      <c r="BQ486" s="66" t="str">
        <f aca="false">IF(BP486=1,SUM(BP$6:BP486),"")</f>
        <v/>
      </c>
      <c r="BR486" s="76" t="str">
        <f aca="false">IF(BP486=1,ROUND(Settings!$C$29+SUMIFS(AM$6:AM486,BP$6:BP486,1),2),"")</f>
        <v/>
      </c>
      <c r="BS486" s="76" t="str">
        <f aca="false">IF(BP486=1,MAX(Settings!$C$29,MAX(BR$6:BR486)),"")</f>
        <v/>
      </c>
      <c r="BT486" s="83" t="str">
        <f aca="false">IF(BP486=1,(BR486-BS486)/BS486,"")</f>
        <v/>
      </c>
      <c r="BU486" s="66" t="str">
        <f aca="false">IF(BP486=1,IF(AL486="Win",1+IF(BQ486=1,0,INDEX(BU$5:BU485,MATCH(BQ486-1,BQ$5:BQ485,0))),0),"")</f>
        <v/>
      </c>
      <c r="BV486" s="66" t="str">
        <f aca="false">IF(BP486=1,IF(AL486="Loss",1+IF(BQ486=1,0,INDEX(BV$5:BV485,MATCH(BQ486-1,BQ$5:BQ485,0))),0),"")</f>
        <v/>
      </c>
    </row>
    <row r="487" customFormat="false" ht="15" hidden="false" customHeight="false" outlineLevel="0" collapsed="false">
      <c r="A487" s="66" t="str">
        <f aca="false">IF(B487="","",ROW()-5)</f>
        <v/>
      </c>
      <c r="B487" s="67"/>
      <c r="C487" s="68" t="str">
        <f aca="false">IF(B487="","",CHOOSE(WEEKDAY(B487,2),"Mon","Tue","Wed","Thu","Fri","Sat","Sun"))</f>
        <v/>
      </c>
      <c r="D487" s="66" t="str">
        <f aca="false">IF(B487="","",WEEKNUM(B487,2))</f>
        <v/>
      </c>
      <c r="E487" s="69"/>
      <c r="F487" s="69"/>
      <c r="G487" s="70"/>
      <c r="H487" s="70"/>
      <c r="I487" s="69"/>
      <c r="J487" s="69"/>
      <c r="K487" s="69"/>
      <c r="L487" s="71"/>
      <c r="M487" s="69"/>
      <c r="N487" s="69"/>
      <c r="O487" s="69"/>
      <c r="P487" s="71"/>
      <c r="Q487" s="69"/>
      <c r="R487" s="69"/>
      <c r="S487" s="69"/>
      <c r="T487" s="69"/>
      <c r="U487" s="69"/>
      <c r="V487" s="69"/>
      <c r="W487" s="69"/>
      <c r="X487" s="66" t="str">
        <f aca="false">IF(B487="","",COUNTIF(Q487:W487,"Yes"))</f>
        <v/>
      </c>
      <c r="Y487" s="68" t="str">
        <f aca="false">IF(B487="","",IF(X487&gt;=Settings!$C$16,"A+",IF(X487&gt;=Settings!$C$17,"A",IF(X487&gt;=Settings!$C$18,"B","C"))))</f>
        <v/>
      </c>
      <c r="Z487" s="72"/>
      <c r="AA487" s="72"/>
      <c r="AB487" s="72"/>
      <c r="AC487" s="72"/>
      <c r="AD487" s="72"/>
      <c r="AE487" s="72"/>
      <c r="AF487" s="73"/>
      <c r="AG487" s="74"/>
      <c r="AH487" s="75"/>
      <c r="AI487" s="76" t="str">
        <f aca="false">IF(B487="","",ROUND(IF(AG487="",Settings!$C$5,AG487)*AW487,2))</f>
        <v/>
      </c>
      <c r="AJ487" s="77" t="str">
        <f aca="false">IF(OR(B487="",AB487="",AC487="",AD487=""),"",IFERROR(ROUND(ABS(AD487-AB487)/ABS(AB487-AC487),2),""))</f>
        <v/>
      </c>
      <c r="AK487" s="78" t="str">
        <f aca="false">IF(OR(B487="",AB487="",AC487="",AE487=""),"",IFERROR(ROUND(IF(J487="Short",AB487-AE487,AE487-AB487)/ABS(AB487-AC487),2),""))</f>
        <v/>
      </c>
      <c r="AL487" s="68" t="str">
        <f aca="false">IF(AK487="","",IF(ABS(AK487)&lt;=Settings!$C$6,"BE",IF(AK487&gt;0,"Win","Loss")))</f>
        <v/>
      </c>
      <c r="AM487" s="79" t="str">
        <f aca="false">IF(OR(AK487="",AI487=""),"",ROUND(AK487*AI487-N(AH487),2))</f>
        <v/>
      </c>
      <c r="AN487" s="76" t="str">
        <f aca="false">IF(AM487="","",ROUND(BK487+SUMIFS(AM$6:AM487,BJ$6:BJ487,BJ487),2))</f>
        <v/>
      </c>
      <c r="AO487" s="78" t="str">
        <f aca="false">IF(AK487="","",ROUND(SUMIFS(AK$6:AK487,BJ$6:BJ487,BJ487),2))</f>
        <v/>
      </c>
      <c r="AP487" s="80" t="str">
        <f aca="false">IF(OR(AK487="",BL487=""),"",IFERROR(ROUND(IF(J487="Short",AB487-AE487,AE487-AB487)/BL487,1),""))</f>
        <v/>
      </c>
      <c r="AQ487" s="66" t="str">
        <f aca="false">IF(OR(G487="",H487=""),"",ROUND(MOD(H487-G487,1)*1440,0))</f>
        <v/>
      </c>
      <c r="AR487" s="68" t="str">
        <f aca="false">IF(AQ487="","",IF(AQ487&lt;15,"Under 15m",IF(AQ487&lt;60,"15-60m",IF(AQ487&lt;240,"1-4 hours","4+ hours"))))</f>
        <v/>
      </c>
      <c r="AS487" s="66" t="str">
        <f aca="false">IF(G487="","",HOUR(G487))</f>
        <v/>
      </c>
      <c r="AT487" s="80" t="str">
        <f aca="false">IF(OR(Z487="",AB487="",BL487=""),"",IFERROR(ROUND(IF(J487="Short",Z487-AB487,AB487-Z487)/BL487,1),""))</f>
        <v/>
      </c>
      <c r="AU487" s="68" t="str">
        <f aca="false">IF(OR(AA487="",AC487=""),"",IF(AA487=AC487,"No","Yes"))</f>
        <v/>
      </c>
      <c r="AV487" s="81" t="str">
        <f aca="false">IF(OR(B487="",BL487="",BM487="",AB487="",AC487=""),"",IFERROR(ROUND(AI487/(ABS(AB487-AC487)/BL487*BM487),2),""))</f>
        <v/>
      </c>
      <c r="AW487" s="76" t="str">
        <f aca="false">IF(B487="","",ROUND(BK487+SUMIFS(AM$5:AM486,BJ$5:BJ486,BJ487),2))</f>
        <v/>
      </c>
      <c r="AX487" s="66" t="str">
        <f aca="false">IF(B487="","",COUNTIFS(B$6:B487,B487,BJ$6:BJ487,BJ487))</f>
        <v/>
      </c>
      <c r="AY487" s="79" t="str">
        <f aca="false">IF(B487="","",ROUND(SUMIFS(AM$5:AM486,B$5:B486,B487,BJ$5:BJ486,BJ487),2))</f>
        <v/>
      </c>
      <c r="AZ487" s="79" t="str">
        <f aca="false">IF(AM487="","",ROUND(AY487+AM487,2))</f>
        <v/>
      </c>
      <c r="BA487" s="79" t="str">
        <f aca="false">IF(B487="","",ROUND(SUMIFS(AM$5:AM486,B$5:B486,"&gt;="&amp;(B487-WEEKDAY(B487,2)+1),B$5:B486,"&lt;="&amp;B487,BJ$5:BJ486,BJ487),2))</f>
        <v/>
      </c>
      <c r="BB487" s="68" t="str">
        <f aca="false">IF(B487="","",IF(AND(AF487&lt;&gt;"",AV487&lt;&gt;"",N(AF487)&gt;N(AV487)*(1+Settings!$C$13)),"Oversized",IF(AX487&gt;Settings!$C$10,"Overtraded",IF(AY487&lt;=-Settings!$C$11*(AW487-AY487),"Daily loss hit",IF(BA487&lt;=-Settings!$C$12*(AW487-BA487),"Weekly loss hit","OK")))))</f>
        <v/>
      </c>
      <c r="BC487" s="69"/>
      <c r="BD487" s="69"/>
      <c r="BE487" s="69"/>
      <c r="BF487" s="73"/>
      <c r="BG487" s="73"/>
      <c r="BH487" s="71"/>
      <c r="BI487" s="71"/>
      <c r="BJ487" s="68" t="str">
        <f aca="false">IF(B487="","",IF(E487="",Settings!$F$5,E487))</f>
        <v/>
      </c>
      <c r="BK487" s="76" t="str">
        <f aca="false">IF(B487="","",IFERROR(INDEX(Settings!$G$5:$G$10,MATCH(BJ487,Settings!$F$5:$F$10,0)),Settings!$G$5))</f>
        <v/>
      </c>
      <c r="BL487" s="82" t="str">
        <f aca="false">IF(I487="","",IFERROR(1/(1/INDEX(Lists!$C$6:$C$17,MATCH(I487,Lists!$B$6:$B$17,0))),""))</f>
        <v/>
      </c>
      <c r="BM487" s="81" t="str">
        <f aca="false">IF(I487="","",IFERROR(1/(1/INDEX(Lists!$D$6:$D$17,MATCH(I487,Lists!$B$6:$B$17,0))),""))</f>
        <v/>
      </c>
      <c r="BN487" s="76" t="str">
        <f aca="false">IF(AN487="","",MAX(BK487,_xlfn.MAXIFS(AN$6:AN487,BJ$6:BJ487,BJ487)))</f>
        <v/>
      </c>
      <c r="BO487" s="83" t="str">
        <f aca="false">IF(AN487="","",(AN487-BN487)/BN487)</f>
        <v/>
      </c>
      <c r="BP487" s="66" t="n">
        <f aca="false">IF(OR(B487="",AL487=""),0,IF(OR(Settings!$C$28="All Accounts",BJ487=Settings!$C$28),1,0))</f>
        <v>0</v>
      </c>
      <c r="BQ487" s="66" t="str">
        <f aca="false">IF(BP487=1,SUM(BP$6:BP487),"")</f>
        <v/>
      </c>
      <c r="BR487" s="76" t="str">
        <f aca="false">IF(BP487=1,ROUND(Settings!$C$29+SUMIFS(AM$6:AM487,BP$6:BP487,1),2),"")</f>
        <v/>
      </c>
      <c r="BS487" s="76" t="str">
        <f aca="false">IF(BP487=1,MAX(Settings!$C$29,MAX(BR$6:BR487)),"")</f>
        <v/>
      </c>
      <c r="BT487" s="83" t="str">
        <f aca="false">IF(BP487=1,(BR487-BS487)/BS487,"")</f>
        <v/>
      </c>
      <c r="BU487" s="66" t="str">
        <f aca="false">IF(BP487=1,IF(AL487="Win",1+IF(BQ487=1,0,INDEX(BU$5:BU486,MATCH(BQ487-1,BQ$5:BQ486,0))),0),"")</f>
        <v/>
      </c>
      <c r="BV487" s="66" t="str">
        <f aca="false">IF(BP487=1,IF(AL487="Loss",1+IF(BQ487=1,0,INDEX(BV$5:BV486,MATCH(BQ487-1,BQ$5:BQ486,0))),0),"")</f>
        <v/>
      </c>
    </row>
    <row r="488" customFormat="false" ht="15" hidden="false" customHeight="false" outlineLevel="0" collapsed="false">
      <c r="A488" s="66" t="str">
        <f aca="false">IF(B488="","",ROW()-5)</f>
        <v/>
      </c>
      <c r="B488" s="67"/>
      <c r="C488" s="68" t="str">
        <f aca="false">IF(B488="","",CHOOSE(WEEKDAY(B488,2),"Mon","Tue","Wed","Thu","Fri","Sat","Sun"))</f>
        <v/>
      </c>
      <c r="D488" s="66" t="str">
        <f aca="false">IF(B488="","",WEEKNUM(B488,2))</f>
        <v/>
      </c>
      <c r="E488" s="69"/>
      <c r="F488" s="69"/>
      <c r="G488" s="70"/>
      <c r="H488" s="70"/>
      <c r="I488" s="69"/>
      <c r="J488" s="69"/>
      <c r="K488" s="69"/>
      <c r="L488" s="71"/>
      <c r="M488" s="69"/>
      <c r="N488" s="69"/>
      <c r="O488" s="69"/>
      <c r="P488" s="71"/>
      <c r="Q488" s="69"/>
      <c r="R488" s="69"/>
      <c r="S488" s="69"/>
      <c r="T488" s="69"/>
      <c r="U488" s="69"/>
      <c r="V488" s="69"/>
      <c r="W488" s="69"/>
      <c r="X488" s="66" t="str">
        <f aca="false">IF(B488="","",COUNTIF(Q488:W488,"Yes"))</f>
        <v/>
      </c>
      <c r="Y488" s="68" t="str">
        <f aca="false">IF(B488="","",IF(X488&gt;=Settings!$C$16,"A+",IF(X488&gt;=Settings!$C$17,"A",IF(X488&gt;=Settings!$C$18,"B","C"))))</f>
        <v/>
      </c>
      <c r="Z488" s="72"/>
      <c r="AA488" s="72"/>
      <c r="AB488" s="72"/>
      <c r="AC488" s="72"/>
      <c r="AD488" s="72"/>
      <c r="AE488" s="72"/>
      <c r="AF488" s="73"/>
      <c r="AG488" s="74"/>
      <c r="AH488" s="75"/>
      <c r="AI488" s="76" t="str">
        <f aca="false">IF(B488="","",ROUND(IF(AG488="",Settings!$C$5,AG488)*AW488,2))</f>
        <v/>
      </c>
      <c r="AJ488" s="77" t="str">
        <f aca="false">IF(OR(B488="",AB488="",AC488="",AD488=""),"",IFERROR(ROUND(ABS(AD488-AB488)/ABS(AB488-AC488),2),""))</f>
        <v/>
      </c>
      <c r="AK488" s="78" t="str">
        <f aca="false">IF(OR(B488="",AB488="",AC488="",AE488=""),"",IFERROR(ROUND(IF(J488="Short",AB488-AE488,AE488-AB488)/ABS(AB488-AC488),2),""))</f>
        <v/>
      </c>
      <c r="AL488" s="68" t="str">
        <f aca="false">IF(AK488="","",IF(ABS(AK488)&lt;=Settings!$C$6,"BE",IF(AK488&gt;0,"Win","Loss")))</f>
        <v/>
      </c>
      <c r="AM488" s="79" t="str">
        <f aca="false">IF(OR(AK488="",AI488=""),"",ROUND(AK488*AI488-N(AH488),2))</f>
        <v/>
      </c>
      <c r="AN488" s="76" t="str">
        <f aca="false">IF(AM488="","",ROUND(BK488+SUMIFS(AM$6:AM488,BJ$6:BJ488,BJ488),2))</f>
        <v/>
      </c>
      <c r="AO488" s="78" t="str">
        <f aca="false">IF(AK488="","",ROUND(SUMIFS(AK$6:AK488,BJ$6:BJ488,BJ488),2))</f>
        <v/>
      </c>
      <c r="AP488" s="80" t="str">
        <f aca="false">IF(OR(AK488="",BL488=""),"",IFERROR(ROUND(IF(J488="Short",AB488-AE488,AE488-AB488)/BL488,1),""))</f>
        <v/>
      </c>
      <c r="AQ488" s="66" t="str">
        <f aca="false">IF(OR(G488="",H488=""),"",ROUND(MOD(H488-G488,1)*1440,0))</f>
        <v/>
      </c>
      <c r="AR488" s="68" t="str">
        <f aca="false">IF(AQ488="","",IF(AQ488&lt;15,"Under 15m",IF(AQ488&lt;60,"15-60m",IF(AQ488&lt;240,"1-4 hours","4+ hours"))))</f>
        <v/>
      </c>
      <c r="AS488" s="66" t="str">
        <f aca="false">IF(G488="","",HOUR(G488))</f>
        <v/>
      </c>
      <c r="AT488" s="80" t="str">
        <f aca="false">IF(OR(Z488="",AB488="",BL488=""),"",IFERROR(ROUND(IF(J488="Short",Z488-AB488,AB488-Z488)/BL488,1),""))</f>
        <v/>
      </c>
      <c r="AU488" s="68" t="str">
        <f aca="false">IF(OR(AA488="",AC488=""),"",IF(AA488=AC488,"No","Yes"))</f>
        <v/>
      </c>
      <c r="AV488" s="81" t="str">
        <f aca="false">IF(OR(B488="",BL488="",BM488="",AB488="",AC488=""),"",IFERROR(ROUND(AI488/(ABS(AB488-AC488)/BL488*BM488),2),""))</f>
        <v/>
      </c>
      <c r="AW488" s="76" t="str">
        <f aca="false">IF(B488="","",ROUND(BK488+SUMIFS(AM$5:AM487,BJ$5:BJ487,BJ488),2))</f>
        <v/>
      </c>
      <c r="AX488" s="66" t="str">
        <f aca="false">IF(B488="","",COUNTIFS(B$6:B488,B488,BJ$6:BJ488,BJ488))</f>
        <v/>
      </c>
      <c r="AY488" s="79" t="str">
        <f aca="false">IF(B488="","",ROUND(SUMIFS(AM$5:AM487,B$5:B487,B488,BJ$5:BJ487,BJ488),2))</f>
        <v/>
      </c>
      <c r="AZ488" s="79" t="str">
        <f aca="false">IF(AM488="","",ROUND(AY488+AM488,2))</f>
        <v/>
      </c>
      <c r="BA488" s="79" t="str">
        <f aca="false">IF(B488="","",ROUND(SUMIFS(AM$5:AM487,B$5:B487,"&gt;="&amp;(B488-WEEKDAY(B488,2)+1),B$5:B487,"&lt;="&amp;B488,BJ$5:BJ487,BJ488),2))</f>
        <v/>
      </c>
      <c r="BB488" s="68" t="str">
        <f aca="false">IF(B488="","",IF(AND(AF488&lt;&gt;"",AV488&lt;&gt;"",N(AF488)&gt;N(AV488)*(1+Settings!$C$13)),"Oversized",IF(AX488&gt;Settings!$C$10,"Overtraded",IF(AY488&lt;=-Settings!$C$11*(AW488-AY488),"Daily loss hit",IF(BA488&lt;=-Settings!$C$12*(AW488-BA488),"Weekly loss hit","OK")))))</f>
        <v/>
      </c>
      <c r="BC488" s="69"/>
      <c r="BD488" s="69"/>
      <c r="BE488" s="69"/>
      <c r="BF488" s="73"/>
      <c r="BG488" s="73"/>
      <c r="BH488" s="71"/>
      <c r="BI488" s="71"/>
      <c r="BJ488" s="68" t="str">
        <f aca="false">IF(B488="","",IF(E488="",Settings!$F$5,E488))</f>
        <v/>
      </c>
      <c r="BK488" s="76" t="str">
        <f aca="false">IF(B488="","",IFERROR(INDEX(Settings!$G$5:$G$10,MATCH(BJ488,Settings!$F$5:$F$10,0)),Settings!$G$5))</f>
        <v/>
      </c>
      <c r="BL488" s="82" t="str">
        <f aca="false">IF(I488="","",IFERROR(1/(1/INDEX(Lists!$C$6:$C$17,MATCH(I488,Lists!$B$6:$B$17,0))),""))</f>
        <v/>
      </c>
      <c r="BM488" s="81" t="str">
        <f aca="false">IF(I488="","",IFERROR(1/(1/INDEX(Lists!$D$6:$D$17,MATCH(I488,Lists!$B$6:$B$17,0))),""))</f>
        <v/>
      </c>
      <c r="BN488" s="76" t="str">
        <f aca="false">IF(AN488="","",MAX(BK488,_xlfn.MAXIFS(AN$6:AN488,BJ$6:BJ488,BJ488)))</f>
        <v/>
      </c>
      <c r="BO488" s="83" t="str">
        <f aca="false">IF(AN488="","",(AN488-BN488)/BN488)</f>
        <v/>
      </c>
      <c r="BP488" s="66" t="n">
        <f aca="false">IF(OR(B488="",AL488=""),0,IF(OR(Settings!$C$28="All Accounts",BJ488=Settings!$C$28),1,0))</f>
        <v>0</v>
      </c>
      <c r="BQ488" s="66" t="str">
        <f aca="false">IF(BP488=1,SUM(BP$6:BP488),"")</f>
        <v/>
      </c>
      <c r="BR488" s="76" t="str">
        <f aca="false">IF(BP488=1,ROUND(Settings!$C$29+SUMIFS(AM$6:AM488,BP$6:BP488,1),2),"")</f>
        <v/>
      </c>
      <c r="BS488" s="76" t="str">
        <f aca="false">IF(BP488=1,MAX(Settings!$C$29,MAX(BR$6:BR488)),"")</f>
        <v/>
      </c>
      <c r="BT488" s="83" t="str">
        <f aca="false">IF(BP488=1,(BR488-BS488)/BS488,"")</f>
        <v/>
      </c>
      <c r="BU488" s="66" t="str">
        <f aca="false">IF(BP488=1,IF(AL488="Win",1+IF(BQ488=1,0,INDEX(BU$5:BU487,MATCH(BQ488-1,BQ$5:BQ487,0))),0),"")</f>
        <v/>
      </c>
      <c r="BV488" s="66" t="str">
        <f aca="false">IF(BP488=1,IF(AL488="Loss",1+IF(BQ488=1,0,INDEX(BV$5:BV487,MATCH(BQ488-1,BQ$5:BQ487,0))),0),"")</f>
        <v/>
      </c>
    </row>
    <row r="489" customFormat="false" ht="15" hidden="false" customHeight="false" outlineLevel="0" collapsed="false">
      <c r="A489" s="66" t="str">
        <f aca="false">IF(B489="","",ROW()-5)</f>
        <v/>
      </c>
      <c r="B489" s="67"/>
      <c r="C489" s="68" t="str">
        <f aca="false">IF(B489="","",CHOOSE(WEEKDAY(B489,2),"Mon","Tue","Wed","Thu","Fri","Sat","Sun"))</f>
        <v/>
      </c>
      <c r="D489" s="66" t="str">
        <f aca="false">IF(B489="","",WEEKNUM(B489,2))</f>
        <v/>
      </c>
      <c r="E489" s="69"/>
      <c r="F489" s="69"/>
      <c r="G489" s="70"/>
      <c r="H489" s="70"/>
      <c r="I489" s="69"/>
      <c r="J489" s="69"/>
      <c r="K489" s="69"/>
      <c r="L489" s="71"/>
      <c r="M489" s="69"/>
      <c r="N489" s="69"/>
      <c r="O489" s="69"/>
      <c r="P489" s="71"/>
      <c r="Q489" s="69"/>
      <c r="R489" s="69"/>
      <c r="S489" s="69"/>
      <c r="T489" s="69"/>
      <c r="U489" s="69"/>
      <c r="V489" s="69"/>
      <c r="W489" s="69"/>
      <c r="X489" s="66" t="str">
        <f aca="false">IF(B489="","",COUNTIF(Q489:W489,"Yes"))</f>
        <v/>
      </c>
      <c r="Y489" s="68" t="str">
        <f aca="false">IF(B489="","",IF(X489&gt;=Settings!$C$16,"A+",IF(X489&gt;=Settings!$C$17,"A",IF(X489&gt;=Settings!$C$18,"B","C"))))</f>
        <v/>
      </c>
      <c r="Z489" s="72"/>
      <c r="AA489" s="72"/>
      <c r="AB489" s="72"/>
      <c r="AC489" s="72"/>
      <c r="AD489" s="72"/>
      <c r="AE489" s="72"/>
      <c r="AF489" s="73"/>
      <c r="AG489" s="74"/>
      <c r="AH489" s="75"/>
      <c r="AI489" s="76" t="str">
        <f aca="false">IF(B489="","",ROUND(IF(AG489="",Settings!$C$5,AG489)*AW489,2))</f>
        <v/>
      </c>
      <c r="AJ489" s="77" t="str">
        <f aca="false">IF(OR(B489="",AB489="",AC489="",AD489=""),"",IFERROR(ROUND(ABS(AD489-AB489)/ABS(AB489-AC489),2),""))</f>
        <v/>
      </c>
      <c r="AK489" s="78" t="str">
        <f aca="false">IF(OR(B489="",AB489="",AC489="",AE489=""),"",IFERROR(ROUND(IF(J489="Short",AB489-AE489,AE489-AB489)/ABS(AB489-AC489),2),""))</f>
        <v/>
      </c>
      <c r="AL489" s="68" t="str">
        <f aca="false">IF(AK489="","",IF(ABS(AK489)&lt;=Settings!$C$6,"BE",IF(AK489&gt;0,"Win","Loss")))</f>
        <v/>
      </c>
      <c r="AM489" s="79" t="str">
        <f aca="false">IF(OR(AK489="",AI489=""),"",ROUND(AK489*AI489-N(AH489),2))</f>
        <v/>
      </c>
      <c r="AN489" s="76" t="str">
        <f aca="false">IF(AM489="","",ROUND(BK489+SUMIFS(AM$6:AM489,BJ$6:BJ489,BJ489),2))</f>
        <v/>
      </c>
      <c r="AO489" s="78" t="str">
        <f aca="false">IF(AK489="","",ROUND(SUMIFS(AK$6:AK489,BJ$6:BJ489,BJ489),2))</f>
        <v/>
      </c>
      <c r="AP489" s="80" t="str">
        <f aca="false">IF(OR(AK489="",BL489=""),"",IFERROR(ROUND(IF(J489="Short",AB489-AE489,AE489-AB489)/BL489,1),""))</f>
        <v/>
      </c>
      <c r="AQ489" s="66" t="str">
        <f aca="false">IF(OR(G489="",H489=""),"",ROUND(MOD(H489-G489,1)*1440,0))</f>
        <v/>
      </c>
      <c r="AR489" s="68" t="str">
        <f aca="false">IF(AQ489="","",IF(AQ489&lt;15,"Under 15m",IF(AQ489&lt;60,"15-60m",IF(AQ489&lt;240,"1-4 hours","4+ hours"))))</f>
        <v/>
      </c>
      <c r="AS489" s="66" t="str">
        <f aca="false">IF(G489="","",HOUR(G489))</f>
        <v/>
      </c>
      <c r="AT489" s="80" t="str">
        <f aca="false">IF(OR(Z489="",AB489="",BL489=""),"",IFERROR(ROUND(IF(J489="Short",Z489-AB489,AB489-Z489)/BL489,1),""))</f>
        <v/>
      </c>
      <c r="AU489" s="68" t="str">
        <f aca="false">IF(OR(AA489="",AC489=""),"",IF(AA489=AC489,"No","Yes"))</f>
        <v/>
      </c>
      <c r="AV489" s="81" t="str">
        <f aca="false">IF(OR(B489="",BL489="",BM489="",AB489="",AC489=""),"",IFERROR(ROUND(AI489/(ABS(AB489-AC489)/BL489*BM489),2),""))</f>
        <v/>
      </c>
      <c r="AW489" s="76" t="str">
        <f aca="false">IF(B489="","",ROUND(BK489+SUMIFS(AM$5:AM488,BJ$5:BJ488,BJ489),2))</f>
        <v/>
      </c>
      <c r="AX489" s="66" t="str">
        <f aca="false">IF(B489="","",COUNTIFS(B$6:B489,B489,BJ$6:BJ489,BJ489))</f>
        <v/>
      </c>
      <c r="AY489" s="79" t="str">
        <f aca="false">IF(B489="","",ROUND(SUMIFS(AM$5:AM488,B$5:B488,B489,BJ$5:BJ488,BJ489),2))</f>
        <v/>
      </c>
      <c r="AZ489" s="79" t="str">
        <f aca="false">IF(AM489="","",ROUND(AY489+AM489,2))</f>
        <v/>
      </c>
      <c r="BA489" s="79" t="str">
        <f aca="false">IF(B489="","",ROUND(SUMIFS(AM$5:AM488,B$5:B488,"&gt;="&amp;(B489-WEEKDAY(B489,2)+1),B$5:B488,"&lt;="&amp;B489,BJ$5:BJ488,BJ489),2))</f>
        <v/>
      </c>
      <c r="BB489" s="68" t="str">
        <f aca="false">IF(B489="","",IF(AND(AF489&lt;&gt;"",AV489&lt;&gt;"",N(AF489)&gt;N(AV489)*(1+Settings!$C$13)),"Oversized",IF(AX489&gt;Settings!$C$10,"Overtraded",IF(AY489&lt;=-Settings!$C$11*(AW489-AY489),"Daily loss hit",IF(BA489&lt;=-Settings!$C$12*(AW489-BA489),"Weekly loss hit","OK")))))</f>
        <v/>
      </c>
      <c r="BC489" s="69"/>
      <c r="BD489" s="69"/>
      <c r="BE489" s="69"/>
      <c r="BF489" s="73"/>
      <c r="BG489" s="73"/>
      <c r="BH489" s="71"/>
      <c r="BI489" s="71"/>
      <c r="BJ489" s="68" t="str">
        <f aca="false">IF(B489="","",IF(E489="",Settings!$F$5,E489))</f>
        <v/>
      </c>
      <c r="BK489" s="76" t="str">
        <f aca="false">IF(B489="","",IFERROR(INDEX(Settings!$G$5:$G$10,MATCH(BJ489,Settings!$F$5:$F$10,0)),Settings!$G$5))</f>
        <v/>
      </c>
      <c r="BL489" s="82" t="str">
        <f aca="false">IF(I489="","",IFERROR(1/(1/INDEX(Lists!$C$6:$C$17,MATCH(I489,Lists!$B$6:$B$17,0))),""))</f>
        <v/>
      </c>
      <c r="BM489" s="81" t="str">
        <f aca="false">IF(I489="","",IFERROR(1/(1/INDEX(Lists!$D$6:$D$17,MATCH(I489,Lists!$B$6:$B$17,0))),""))</f>
        <v/>
      </c>
      <c r="BN489" s="76" t="str">
        <f aca="false">IF(AN489="","",MAX(BK489,_xlfn.MAXIFS(AN$6:AN489,BJ$6:BJ489,BJ489)))</f>
        <v/>
      </c>
      <c r="BO489" s="83" t="str">
        <f aca="false">IF(AN489="","",(AN489-BN489)/BN489)</f>
        <v/>
      </c>
      <c r="BP489" s="66" t="n">
        <f aca="false">IF(OR(B489="",AL489=""),0,IF(OR(Settings!$C$28="All Accounts",BJ489=Settings!$C$28),1,0))</f>
        <v>0</v>
      </c>
      <c r="BQ489" s="66" t="str">
        <f aca="false">IF(BP489=1,SUM(BP$6:BP489),"")</f>
        <v/>
      </c>
      <c r="BR489" s="76" t="str">
        <f aca="false">IF(BP489=1,ROUND(Settings!$C$29+SUMIFS(AM$6:AM489,BP$6:BP489,1),2),"")</f>
        <v/>
      </c>
      <c r="BS489" s="76" t="str">
        <f aca="false">IF(BP489=1,MAX(Settings!$C$29,MAX(BR$6:BR489)),"")</f>
        <v/>
      </c>
      <c r="BT489" s="83" t="str">
        <f aca="false">IF(BP489=1,(BR489-BS489)/BS489,"")</f>
        <v/>
      </c>
      <c r="BU489" s="66" t="str">
        <f aca="false">IF(BP489=1,IF(AL489="Win",1+IF(BQ489=1,0,INDEX(BU$5:BU488,MATCH(BQ489-1,BQ$5:BQ488,0))),0),"")</f>
        <v/>
      </c>
      <c r="BV489" s="66" t="str">
        <f aca="false">IF(BP489=1,IF(AL489="Loss",1+IF(BQ489=1,0,INDEX(BV$5:BV488,MATCH(BQ489-1,BQ$5:BQ488,0))),0),"")</f>
        <v/>
      </c>
    </row>
    <row r="490" customFormat="false" ht="15" hidden="false" customHeight="false" outlineLevel="0" collapsed="false">
      <c r="A490" s="66" t="str">
        <f aca="false">IF(B490="","",ROW()-5)</f>
        <v/>
      </c>
      <c r="B490" s="67"/>
      <c r="C490" s="68" t="str">
        <f aca="false">IF(B490="","",CHOOSE(WEEKDAY(B490,2),"Mon","Tue","Wed","Thu","Fri","Sat","Sun"))</f>
        <v/>
      </c>
      <c r="D490" s="66" t="str">
        <f aca="false">IF(B490="","",WEEKNUM(B490,2))</f>
        <v/>
      </c>
      <c r="E490" s="69"/>
      <c r="F490" s="69"/>
      <c r="G490" s="70"/>
      <c r="H490" s="70"/>
      <c r="I490" s="69"/>
      <c r="J490" s="69"/>
      <c r="K490" s="69"/>
      <c r="L490" s="71"/>
      <c r="M490" s="69"/>
      <c r="N490" s="69"/>
      <c r="O490" s="69"/>
      <c r="P490" s="71"/>
      <c r="Q490" s="69"/>
      <c r="R490" s="69"/>
      <c r="S490" s="69"/>
      <c r="T490" s="69"/>
      <c r="U490" s="69"/>
      <c r="V490" s="69"/>
      <c r="W490" s="69"/>
      <c r="X490" s="66" t="str">
        <f aca="false">IF(B490="","",COUNTIF(Q490:W490,"Yes"))</f>
        <v/>
      </c>
      <c r="Y490" s="68" t="str">
        <f aca="false">IF(B490="","",IF(X490&gt;=Settings!$C$16,"A+",IF(X490&gt;=Settings!$C$17,"A",IF(X490&gt;=Settings!$C$18,"B","C"))))</f>
        <v/>
      </c>
      <c r="Z490" s="72"/>
      <c r="AA490" s="72"/>
      <c r="AB490" s="72"/>
      <c r="AC490" s="72"/>
      <c r="AD490" s="72"/>
      <c r="AE490" s="72"/>
      <c r="AF490" s="73"/>
      <c r="AG490" s="74"/>
      <c r="AH490" s="75"/>
      <c r="AI490" s="76" t="str">
        <f aca="false">IF(B490="","",ROUND(IF(AG490="",Settings!$C$5,AG490)*AW490,2))</f>
        <v/>
      </c>
      <c r="AJ490" s="77" t="str">
        <f aca="false">IF(OR(B490="",AB490="",AC490="",AD490=""),"",IFERROR(ROUND(ABS(AD490-AB490)/ABS(AB490-AC490),2),""))</f>
        <v/>
      </c>
      <c r="AK490" s="78" t="str">
        <f aca="false">IF(OR(B490="",AB490="",AC490="",AE490=""),"",IFERROR(ROUND(IF(J490="Short",AB490-AE490,AE490-AB490)/ABS(AB490-AC490),2),""))</f>
        <v/>
      </c>
      <c r="AL490" s="68" t="str">
        <f aca="false">IF(AK490="","",IF(ABS(AK490)&lt;=Settings!$C$6,"BE",IF(AK490&gt;0,"Win","Loss")))</f>
        <v/>
      </c>
      <c r="AM490" s="79" t="str">
        <f aca="false">IF(OR(AK490="",AI490=""),"",ROUND(AK490*AI490-N(AH490),2))</f>
        <v/>
      </c>
      <c r="AN490" s="76" t="str">
        <f aca="false">IF(AM490="","",ROUND(BK490+SUMIFS(AM$6:AM490,BJ$6:BJ490,BJ490),2))</f>
        <v/>
      </c>
      <c r="AO490" s="78" t="str">
        <f aca="false">IF(AK490="","",ROUND(SUMIFS(AK$6:AK490,BJ$6:BJ490,BJ490),2))</f>
        <v/>
      </c>
      <c r="AP490" s="80" t="str">
        <f aca="false">IF(OR(AK490="",BL490=""),"",IFERROR(ROUND(IF(J490="Short",AB490-AE490,AE490-AB490)/BL490,1),""))</f>
        <v/>
      </c>
      <c r="AQ490" s="66" t="str">
        <f aca="false">IF(OR(G490="",H490=""),"",ROUND(MOD(H490-G490,1)*1440,0))</f>
        <v/>
      </c>
      <c r="AR490" s="68" t="str">
        <f aca="false">IF(AQ490="","",IF(AQ490&lt;15,"Under 15m",IF(AQ490&lt;60,"15-60m",IF(AQ490&lt;240,"1-4 hours","4+ hours"))))</f>
        <v/>
      </c>
      <c r="AS490" s="66" t="str">
        <f aca="false">IF(G490="","",HOUR(G490))</f>
        <v/>
      </c>
      <c r="AT490" s="80" t="str">
        <f aca="false">IF(OR(Z490="",AB490="",BL490=""),"",IFERROR(ROUND(IF(J490="Short",Z490-AB490,AB490-Z490)/BL490,1),""))</f>
        <v/>
      </c>
      <c r="AU490" s="68" t="str">
        <f aca="false">IF(OR(AA490="",AC490=""),"",IF(AA490=AC490,"No","Yes"))</f>
        <v/>
      </c>
      <c r="AV490" s="81" t="str">
        <f aca="false">IF(OR(B490="",BL490="",BM490="",AB490="",AC490=""),"",IFERROR(ROUND(AI490/(ABS(AB490-AC490)/BL490*BM490),2),""))</f>
        <v/>
      </c>
      <c r="AW490" s="76" t="str">
        <f aca="false">IF(B490="","",ROUND(BK490+SUMIFS(AM$5:AM489,BJ$5:BJ489,BJ490),2))</f>
        <v/>
      </c>
      <c r="AX490" s="66" t="str">
        <f aca="false">IF(B490="","",COUNTIFS(B$6:B490,B490,BJ$6:BJ490,BJ490))</f>
        <v/>
      </c>
      <c r="AY490" s="79" t="str">
        <f aca="false">IF(B490="","",ROUND(SUMIFS(AM$5:AM489,B$5:B489,B490,BJ$5:BJ489,BJ490),2))</f>
        <v/>
      </c>
      <c r="AZ490" s="79" t="str">
        <f aca="false">IF(AM490="","",ROUND(AY490+AM490,2))</f>
        <v/>
      </c>
      <c r="BA490" s="79" t="str">
        <f aca="false">IF(B490="","",ROUND(SUMIFS(AM$5:AM489,B$5:B489,"&gt;="&amp;(B490-WEEKDAY(B490,2)+1),B$5:B489,"&lt;="&amp;B490,BJ$5:BJ489,BJ490),2))</f>
        <v/>
      </c>
      <c r="BB490" s="68" t="str">
        <f aca="false">IF(B490="","",IF(AND(AF490&lt;&gt;"",AV490&lt;&gt;"",N(AF490)&gt;N(AV490)*(1+Settings!$C$13)),"Oversized",IF(AX490&gt;Settings!$C$10,"Overtraded",IF(AY490&lt;=-Settings!$C$11*(AW490-AY490),"Daily loss hit",IF(BA490&lt;=-Settings!$C$12*(AW490-BA490),"Weekly loss hit","OK")))))</f>
        <v/>
      </c>
      <c r="BC490" s="69"/>
      <c r="BD490" s="69"/>
      <c r="BE490" s="69"/>
      <c r="BF490" s="73"/>
      <c r="BG490" s="73"/>
      <c r="BH490" s="71"/>
      <c r="BI490" s="71"/>
      <c r="BJ490" s="68" t="str">
        <f aca="false">IF(B490="","",IF(E490="",Settings!$F$5,E490))</f>
        <v/>
      </c>
      <c r="BK490" s="76" t="str">
        <f aca="false">IF(B490="","",IFERROR(INDEX(Settings!$G$5:$G$10,MATCH(BJ490,Settings!$F$5:$F$10,0)),Settings!$G$5))</f>
        <v/>
      </c>
      <c r="BL490" s="82" t="str">
        <f aca="false">IF(I490="","",IFERROR(1/(1/INDEX(Lists!$C$6:$C$17,MATCH(I490,Lists!$B$6:$B$17,0))),""))</f>
        <v/>
      </c>
      <c r="BM490" s="81" t="str">
        <f aca="false">IF(I490="","",IFERROR(1/(1/INDEX(Lists!$D$6:$D$17,MATCH(I490,Lists!$B$6:$B$17,0))),""))</f>
        <v/>
      </c>
      <c r="BN490" s="76" t="str">
        <f aca="false">IF(AN490="","",MAX(BK490,_xlfn.MAXIFS(AN$6:AN490,BJ$6:BJ490,BJ490)))</f>
        <v/>
      </c>
      <c r="BO490" s="83" t="str">
        <f aca="false">IF(AN490="","",(AN490-BN490)/BN490)</f>
        <v/>
      </c>
      <c r="BP490" s="66" t="n">
        <f aca="false">IF(OR(B490="",AL490=""),0,IF(OR(Settings!$C$28="All Accounts",BJ490=Settings!$C$28),1,0))</f>
        <v>0</v>
      </c>
      <c r="BQ490" s="66" t="str">
        <f aca="false">IF(BP490=1,SUM(BP$6:BP490),"")</f>
        <v/>
      </c>
      <c r="BR490" s="76" t="str">
        <f aca="false">IF(BP490=1,ROUND(Settings!$C$29+SUMIFS(AM$6:AM490,BP$6:BP490,1),2),"")</f>
        <v/>
      </c>
      <c r="BS490" s="76" t="str">
        <f aca="false">IF(BP490=1,MAX(Settings!$C$29,MAX(BR$6:BR490)),"")</f>
        <v/>
      </c>
      <c r="BT490" s="83" t="str">
        <f aca="false">IF(BP490=1,(BR490-BS490)/BS490,"")</f>
        <v/>
      </c>
      <c r="BU490" s="66" t="str">
        <f aca="false">IF(BP490=1,IF(AL490="Win",1+IF(BQ490=1,0,INDEX(BU$5:BU489,MATCH(BQ490-1,BQ$5:BQ489,0))),0),"")</f>
        <v/>
      </c>
      <c r="BV490" s="66" t="str">
        <f aca="false">IF(BP490=1,IF(AL490="Loss",1+IF(BQ490=1,0,INDEX(BV$5:BV489,MATCH(BQ490-1,BQ$5:BQ489,0))),0),"")</f>
        <v/>
      </c>
    </row>
    <row r="491" customFormat="false" ht="15" hidden="false" customHeight="false" outlineLevel="0" collapsed="false">
      <c r="A491" s="66" t="str">
        <f aca="false">IF(B491="","",ROW()-5)</f>
        <v/>
      </c>
      <c r="B491" s="67"/>
      <c r="C491" s="68" t="str">
        <f aca="false">IF(B491="","",CHOOSE(WEEKDAY(B491,2),"Mon","Tue","Wed","Thu","Fri","Sat","Sun"))</f>
        <v/>
      </c>
      <c r="D491" s="66" t="str">
        <f aca="false">IF(B491="","",WEEKNUM(B491,2))</f>
        <v/>
      </c>
      <c r="E491" s="69"/>
      <c r="F491" s="69"/>
      <c r="G491" s="70"/>
      <c r="H491" s="70"/>
      <c r="I491" s="69"/>
      <c r="J491" s="69"/>
      <c r="K491" s="69"/>
      <c r="L491" s="71"/>
      <c r="M491" s="69"/>
      <c r="N491" s="69"/>
      <c r="O491" s="69"/>
      <c r="P491" s="71"/>
      <c r="Q491" s="69"/>
      <c r="R491" s="69"/>
      <c r="S491" s="69"/>
      <c r="T491" s="69"/>
      <c r="U491" s="69"/>
      <c r="V491" s="69"/>
      <c r="W491" s="69"/>
      <c r="X491" s="66" t="str">
        <f aca="false">IF(B491="","",COUNTIF(Q491:W491,"Yes"))</f>
        <v/>
      </c>
      <c r="Y491" s="68" t="str">
        <f aca="false">IF(B491="","",IF(X491&gt;=Settings!$C$16,"A+",IF(X491&gt;=Settings!$C$17,"A",IF(X491&gt;=Settings!$C$18,"B","C"))))</f>
        <v/>
      </c>
      <c r="Z491" s="72"/>
      <c r="AA491" s="72"/>
      <c r="AB491" s="72"/>
      <c r="AC491" s="72"/>
      <c r="AD491" s="72"/>
      <c r="AE491" s="72"/>
      <c r="AF491" s="73"/>
      <c r="AG491" s="74"/>
      <c r="AH491" s="75"/>
      <c r="AI491" s="76" t="str">
        <f aca="false">IF(B491="","",ROUND(IF(AG491="",Settings!$C$5,AG491)*AW491,2))</f>
        <v/>
      </c>
      <c r="AJ491" s="77" t="str">
        <f aca="false">IF(OR(B491="",AB491="",AC491="",AD491=""),"",IFERROR(ROUND(ABS(AD491-AB491)/ABS(AB491-AC491),2),""))</f>
        <v/>
      </c>
      <c r="AK491" s="78" t="str">
        <f aca="false">IF(OR(B491="",AB491="",AC491="",AE491=""),"",IFERROR(ROUND(IF(J491="Short",AB491-AE491,AE491-AB491)/ABS(AB491-AC491),2),""))</f>
        <v/>
      </c>
      <c r="AL491" s="68" t="str">
        <f aca="false">IF(AK491="","",IF(ABS(AK491)&lt;=Settings!$C$6,"BE",IF(AK491&gt;0,"Win","Loss")))</f>
        <v/>
      </c>
      <c r="AM491" s="79" t="str">
        <f aca="false">IF(OR(AK491="",AI491=""),"",ROUND(AK491*AI491-N(AH491),2))</f>
        <v/>
      </c>
      <c r="AN491" s="76" t="str">
        <f aca="false">IF(AM491="","",ROUND(BK491+SUMIFS(AM$6:AM491,BJ$6:BJ491,BJ491),2))</f>
        <v/>
      </c>
      <c r="AO491" s="78" t="str">
        <f aca="false">IF(AK491="","",ROUND(SUMIFS(AK$6:AK491,BJ$6:BJ491,BJ491),2))</f>
        <v/>
      </c>
      <c r="AP491" s="80" t="str">
        <f aca="false">IF(OR(AK491="",BL491=""),"",IFERROR(ROUND(IF(J491="Short",AB491-AE491,AE491-AB491)/BL491,1),""))</f>
        <v/>
      </c>
      <c r="AQ491" s="66" t="str">
        <f aca="false">IF(OR(G491="",H491=""),"",ROUND(MOD(H491-G491,1)*1440,0))</f>
        <v/>
      </c>
      <c r="AR491" s="68" t="str">
        <f aca="false">IF(AQ491="","",IF(AQ491&lt;15,"Under 15m",IF(AQ491&lt;60,"15-60m",IF(AQ491&lt;240,"1-4 hours","4+ hours"))))</f>
        <v/>
      </c>
      <c r="AS491" s="66" t="str">
        <f aca="false">IF(G491="","",HOUR(G491))</f>
        <v/>
      </c>
      <c r="AT491" s="80" t="str">
        <f aca="false">IF(OR(Z491="",AB491="",BL491=""),"",IFERROR(ROUND(IF(J491="Short",Z491-AB491,AB491-Z491)/BL491,1),""))</f>
        <v/>
      </c>
      <c r="AU491" s="68" t="str">
        <f aca="false">IF(OR(AA491="",AC491=""),"",IF(AA491=AC491,"No","Yes"))</f>
        <v/>
      </c>
      <c r="AV491" s="81" t="str">
        <f aca="false">IF(OR(B491="",BL491="",BM491="",AB491="",AC491=""),"",IFERROR(ROUND(AI491/(ABS(AB491-AC491)/BL491*BM491),2),""))</f>
        <v/>
      </c>
      <c r="AW491" s="76" t="str">
        <f aca="false">IF(B491="","",ROUND(BK491+SUMIFS(AM$5:AM490,BJ$5:BJ490,BJ491),2))</f>
        <v/>
      </c>
      <c r="AX491" s="66" t="str">
        <f aca="false">IF(B491="","",COUNTIFS(B$6:B491,B491,BJ$6:BJ491,BJ491))</f>
        <v/>
      </c>
      <c r="AY491" s="79" t="str">
        <f aca="false">IF(B491="","",ROUND(SUMIFS(AM$5:AM490,B$5:B490,B491,BJ$5:BJ490,BJ491),2))</f>
        <v/>
      </c>
      <c r="AZ491" s="79" t="str">
        <f aca="false">IF(AM491="","",ROUND(AY491+AM491,2))</f>
        <v/>
      </c>
      <c r="BA491" s="79" t="str">
        <f aca="false">IF(B491="","",ROUND(SUMIFS(AM$5:AM490,B$5:B490,"&gt;="&amp;(B491-WEEKDAY(B491,2)+1),B$5:B490,"&lt;="&amp;B491,BJ$5:BJ490,BJ491),2))</f>
        <v/>
      </c>
      <c r="BB491" s="68" t="str">
        <f aca="false">IF(B491="","",IF(AND(AF491&lt;&gt;"",AV491&lt;&gt;"",N(AF491)&gt;N(AV491)*(1+Settings!$C$13)),"Oversized",IF(AX491&gt;Settings!$C$10,"Overtraded",IF(AY491&lt;=-Settings!$C$11*(AW491-AY491),"Daily loss hit",IF(BA491&lt;=-Settings!$C$12*(AW491-BA491),"Weekly loss hit","OK")))))</f>
        <v/>
      </c>
      <c r="BC491" s="69"/>
      <c r="BD491" s="69"/>
      <c r="BE491" s="69"/>
      <c r="BF491" s="73"/>
      <c r="BG491" s="73"/>
      <c r="BH491" s="71"/>
      <c r="BI491" s="71"/>
      <c r="BJ491" s="68" t="str">
        <f aca="false">IF(B491="","",IF(E491="",Settings!$F$5,E491))</f>
        <v/>
      </c>
      <c r="BK491" s="76" t="str">
        <f aca="false">IF(B491="","",IFERROR(INDEX(Settings!$G$5:$G$10,MATCH(BJ491,Settings!$F$5:$F$10,0)),Settings!$G$5))</f>
        <v/>
      </c>
      <c r="BL491" s="82" t="str">
        <f aca="false">IF(I491="","",IFERROR(1/(1/INDEX(Lists!$C$6:$C$17,MATCH(I491,Lists!$B$6:$B$17,0))),""))</f>
        <v/>
      </c>
      <c r="BM491" s="81" t="str">
        <f aca="false">IF(I491="","",IFERROR(1/(1/INDEX(Lists!$D$6:$D$17,MATCH(I491,Lists!$B$6:$B$17,0))),""))</f>
        <v/>
      </c>
      <c r="BN491" s="76" t="str">
        <f aca="false">IF(AN491="","",MAX(BK491,_xlfn.MAXIFS(AN$6:AN491,BJ$6:BJ491,BJ491)))</f>
        <v/>
      </c>
      <c r="BO491" s="83" t="str">
        <f aca="false">IF(AN491="","",(AN491-BN491)/BN491)</f>
        <v/>
      </c>
      <c r="BP491" s="66" t="n">
        <f aca="false">IF(OR(B491="",AL491=""),0,IF(OR(Settings!$C$28="All Accounts",BJ491=Settings!$C$28),1,0))</f>
        <v>0</v>
      </c>
      <c r="BQ491" s="66" t="str">
        <f aca="false">IF(BP491=1,SUM(BP$6:BP491),"")</f>
        <v/>
      </c>
      <c r="BR491" s="76" t="str">
        <f aca="false">IF(BP491=1,ROUND(Settings!$C$29+SUMIFS(AM$6:AM491,BP$6:BP491,1),2),"")</f>
        <v/>
      </c>
      <c r="BS491" s="76" t="str">
        <f aca="false">IF(BP491=1,MAX(Settings!$C$29,MAX(BR$6:BR491)),"")</f>
        <v/>
      </c>
      <c r="BT491" s="83" t="str">
        <f aca="false">IF(BP491=1,(BR491-BS491)/BS491,"")</f>
        <v/>
      </c>
      <c r="BU491" s="66" t="str">
        <f aca="false">IF(BP491=1,IF(AL491="Win",1+IF(BQ491=1,0,INDEX(BU$5:BU490,MATCH(BQ491-1,BQ$5:BQ490,0))),0),"")</f>
        <v/>
      </c>
      <c r="BV491" s="66" t="str">
        <f aca="false">IF(BP491=1,IF(AL491="Loss",1+IF(BQ491=1,0,INDEX(BV$5:BV490,MATCH(BQ491-1,BQ$5:BQ490,0))),0),"")</f>
        <v/>
      </c>
    </row>
    <row r="492" customFormat="false" ht="15" hidden="false" customHeight="false" outlineLevel="0" collapsed="false">
      <c r="A492" s="66" t="str">
        <f aca="false">IF(B492="","",ROW()-5)</f>
        <v/>
      </c>
      <c r="B492" s="67"/>
      <c r="C492" s="68" t="str">
        <f aca="false">IF(B492="","",CHOOSE(WEEKDAY(B492,2),"Mon","Tue","Wed","Thu","Fri","Sat","Sun"))</f>
        <v/>
      </c>
      <c r="D492" s="66" t="str">
        <f aca="false">IF(B492="","",WEEKNUM(B492,2))</f>
        <v/>
      </c>
      <c r="E492" s="69"/>
      <c r="F492" s="69"/>
      <c r="G492" s="70"/>
      <c r="H492" s="70"/>
      <c r="I492" s="69"/>
      <c r="J492" s="69"/>
      <c r="K492" s="69"/>
      <c r="L492" s="71"/>
      <c r="M492" s="69"/>
      <c r="N492" s="69"/>
      <c r="O492" s="69"/>
      <c r="P492" s="71"/>
      <c r="Q492" s="69"/>
      <c r="R492" s="69"/>
      <c r="S492" s="69"/>
      <c r="T492" s="69"/>
      <c r="U492" s="69"/>
      <c r="V492" s="69"/>
      <c r="W492" s="69"/>
      <c r="X492" s="66" t="str">
        <f aca="false">IF(B492="","",COUNTIF(Q492:W492,"Yes"))</f>
        <v/>
      </c>
      <c r="Y492" s="68" t="str">
        <f aca="false">IF(B492="","",IF(X492&gt;=Settings!$C$16,"A+",IF(X492&gt;=Settings!$C$17,"A",IF(X492&gt;=Settings!$C$18,"B","C"))))</f>
        <v/>
      </c>
      <c r="Z492" s="72"/>
      <c r="AA492" s="72"/>
      <c r="AB492" s="72"/>
      <c r="AC492" s="72"/>
      <c r="AD492" s="72"/>
      <c r="AE492" s="72"/>
      <c r="AF492" s="73"/>
      <c r="AG492" s="74"/>
      <c r="AH492" s="75"/>
      <c r="AI492" s="76" t="str">
        <f aca="false">IF(B492="","",ROUND(IF(AG492="",Settings!$C$5,AG492)*AW492,2))</f>
        <v/>
      </c>
      <c r="AJ492" s="77" t="str">
        <f aca="false">IF(OR(B492="",AB492="",AC492="",AD492=""),"",IFERROR(ROUND(ABS(AD492-AB492)/ABS(AB492-AC492),2),""))</f>
        <v/>
      </c>
      <c r="AK492" s="78" t="str">
        <f aca="false">IF(OR(B492="",AB492="",AC492="",AE492=""),"",IFERROR(ROUND(IF(J492="Short",AB492-AE492,AE492-AB492)/ABS(AB492-AC492),2),""))</f>
        <v/>
      </c>
      <c r="AL492" s="68" t="str">
        <f aca="false">IF(AK492="","",IF(ABS(AK492)&lt;=Settings!$C$6,"BE",IF(AK492&gt;0,"Win","Loss")))</f>
        <v/>
      </c>
      <c r="AM492" s="79" t="str">
        <f aca="false">IF(OR(AK492="",AI492=""),"",ROUND(AK492*AI492-N(AH492),2))</f>
        <v/>
      </c>
      <c r="AN492" s="76" t="str">
        <f aca="false">IF(AM492="","",ROUND(BK492+SUMIFS(AM$6:AM492,BJ$6:BJ492,BJ492),2))</f>
        <v/>
      </c>
      <c r="AO492" s="78" t="str">
        <f aca="false">IF(AK492="","",ROUND(SUMIFS(AK$6:AK492,BJ$6:BJ492,BJ492),2))</f>
        <v/>
      </c>
      <c r="AP492" s="80" t="str">
        <f aca="false">IF(OR(AK492="",BL492=""),"",IFERROR(ROUND(IF(J492="Short",AB492-AE492,AE492-AB492)/BL492,1),""))</f>
        <v/>
      </c>
      <c r="AQ492" s="66" t="str">
        <f aca="false">IF(OR(G492="",H492=""),"",ROUND(MOD(H492-G492,1)*1440,0))</f>
        <v/>
      </c>
      <c r="AR492" s="68" t="str">
        <f aca="false">IF(AQ492="","",IF(AQ492&lt;15,"Under 15m",IF(AQ492&lt;60,"15-60m",IF(AQ492&lt;240,"1-4 hours","4+ hours"))))</f>
        <v/>
      </c>
      <c r="AS492" s="66" t="str">
        <f aca="false">IF(G492="","",HOUR(G492))</f>
        <v/>
      </c>
      <c r="AT492" s="80" t="str">
        <f aca="false">IF(OR(Z492="",AB492="",BL492=""),"",IFERROR(ROUND(IF(J492="Short",Z492-AB492,AB492-Z492)/BL492,1),""))</f>
        <v/>
      </c>
      <c r="AU492" s="68" t="str">
        <f aca="false">IF(OR(AA492="",AC492=""),"",IF(AA492=AC492,"No","Yes"))</f>
        <v/>
      </c>
      <c r="AV492" s="81" t="str">
        <f aca="false">IF(OR(B492="",BL492="",BM492="",AB492="",AC492=""),"",IFERROR(ROUND(AI492/(ABS(AB492-AC492)/BL492*BM492),2),""))</f>
        <v/>
      </c>
      <c r="AW492" s="76" t="str">
        <f aca="false">IF(B492="","",ROUND(BK492+SUMIFS(AM$5:AM491,BJ$5:BJ491,BJ492),2))</f>
        <v/>
      </c>
      <c r="AX492" s="66" t="str">
        <f aca="false">IF(B492="","",COUNTIFS(B$6:B492,B492,BJ$6:BJ492,BJ492))</f>
        <v/>
      </c>
      <c r="AY492" s="79" t="str">
        <f aca="false">IF(B492="","",ROUND(SUMIFS(AM$5:AM491,B$5:B491,B492,BJ$5:BJ491,BJ492),2))</f>
        <v/>
      </c>
      <c r="AZ492" s="79" t="str">
        <f aca="false">IF(AM492="","",ROUND(AY492+AM492,2))</f>
        <v/>
      </c>
      <c r="BA492" s="79" t="str">
        <f aca="false">IF(B492="","",ROUND(SUMIFS(AM$5:AM491,B$5:B491,"&gt;="&amp;(B492-WEEKDAY(B492,2)+1),B$5:B491,"&lt;="&amp;B492,BJ$5:BJ491,BJ492),2))</f>
        <v/>
      </c>
      <c r="BB492" s="68" t="str">
        <f aca="false">IF(B492="","",IF(AND(AF492&lt;&gt;"",AV492&lt;&gt;"",N(AF492)&gt;N(AV492)*(1+Settings!$C$13)),"Oversized",IF(AX492&gt;Settings!$C$10,"Overtraded",IF(AY492&lt;=-Settings!$C$11*(AW492-AY492),"Daily loss hit",IF(BA492&lt;=-Settings!$C$12*(AW492-BA492),"Weekly loss hit","OK")))))</f>
        <v/>
      </c>
      <c r="BC492" s="69"/>
      <c r="BD492" s="69"/>
      <c r="BE492" s="69"/>
      <c r="BF492" s="73"/>
      <c r="BG492" s="73"/>
      <c r="BH492" s="71"/>
      <c r="BI492" s="71"/>
      <c r="BJ492" s="68" t="str">
        <f aca="false">IF(B492="","",IF(E492="",Settings!$F$5,E492))</f>
        <v/>
      </c>
      <c r="BK492" s="76" t="str">
        <f aca="false">IF(B492="","",IFERROR(INDEX(Settings!$G$5:$G$10,MATCH(BJ492,Settings!$F$5:$F$10,0)),Settings!$G$5))</f>
        <v/>
      </c>
      <c r="BL492" s="82" t="str">
        <f aca="false">IF(I492="","",IFERROR(1/(1/INDEX(Lists!$C$6:$C$17,MATCH(I492,Lists!$B$6:$B$17,0))),""))</f>
        <v/>
      </c>
      <c r="BM492" s="81" t="str">
        <f aca="false">IF(I492="","",IFERROR(1/(1/INDEX(Lists!$D$6:$D$17,MATCH(I492,Lists!$B$6:$B$17,0))),""))</f>
        <v/>
      </c>
      <c r="BN492" s="76" t="str">
        <f aca="false">IF(AN492="","",MAX(BK492,_xlfn.MAXIFS(AN$6:AN492,BJ$6:BJ492,BJ492)))</f>
        <v/>
      </c>
      <c r="BO492" s="83" t="str">
        <f aca="false">IF(AN492="","",(AN492-BN492)/BN492)</f>
        <v/>
      </c>
      <c r="BP492" s="66" t="n">
        <f aca="false">IF(OR(B492="",AL492=""),0,IF(OR(Settings!$C$28="All Accounts",BJ492=Settings!$C$28),1,0))</f>
        <v>0</v>
      </c>
      <c r="BQ492" s="66" t="str">
        <f aca="false">IF(BP492=1,SUM(BP$6:BP492),"")</f>
        <v/>
      </c>
      <c r="BR492" s="76" t="str">
        <f aca="false">IF(BP492=1,ROUND(Settings!$C$29+SUMIFS(AM$6:AM492,BP$6:BP492,1),2),"")</f>
        <v/>
      </c>
      <c r="BS492" s="76" t="str">
        <f aca="false">IF(BP492=1,MAX(Settings!$C$29,MAX(BR$6:BR492)),"")</f>
        <v/>
      </c>
      <c r="BT492" s="83" t="str">
        <f aca="false">IF(BP492=1,(BR492-BS492)/BS492,"")</f>
        <v/>
      </c>
      <c r="BU492" s="66" t="str">
        <f aca="false">IF(BP492=1,IF(AL492="Win",1+IF(BQ492=1,0,INDEX(BU$5:BU491,MATCH(BQ492-1,BQ$5:BQ491,0))),0),"")</f>
        <v/>
      </c>
      <c r="BV492" s="66" t="str">
        <f aca="false">IF(BP492=1,IF(AL492="Loss",1+IF(BQ492=1,0,INDEX(BV$5:BV491,MATCH(BQ492-1,BQ$5:BQ491,0))),0),"")</f>
        <v/>
      </c>
    </row>
    <row r="493" customFormat="false" ht="15" hidden="false" customHeight="false" outlineLevel="0" collapsed="false">
      <c r="A493" s="66" t="str">
        <f aca="false">IF(B493="","",ROW()-5)</f>
        <v/>
      </c>
      <c r="B493" s="67"/>
      <c r="C493" s="68" t="str">
        <f aca="false">IF(B493="","",CHOOSE(WEEKDAY(B493,2),"Mon","Tue","Wed","Thu","Fri","Sat","Sun"))</f>
        <v/>
      </c>
      <c r="D493" s="66" t="str">
        <f aca="false">IF(B493="","",WEEKNUM(B493,2))</f>
        <v/>
      </c>
      <c r="E493" s="69"/>
      <c r="F493" s="69"/>
      <c r="G493" s="70"/>
      <c r="H493" s="70"/>
      <c r="I493" s="69"/>
      <c r="J493" s="69"/>
      <c r="K493" s="69"/>
      <c r="L493" s="71"/>
      <c r="M493" s="69"/>
      <c r="N493" s="69"/>
      <c r="O493" s="69"/>
      <c r="P493" s="71"/>
      <c r="Q493" s="69"/>
      <c r="R493" s="69"/>
      <c r="S493" s="69"/>
      <c r="T493" s="69"/>
      <c r="U493" s="69"/>
      <c r="V493" s="69"/>
      <c r="W493" s="69"/>
      <c r="X493" s="66" t="str">
        <f aca="false">IF(B493="","",COUNTIF(Q493:W493,"Yes"))</f>
        <v/>
      </c>
      <c r="Y493" s="68" t="str">
        <f aca="false">IF(B493="","",IF(X493&gt;=Settings!$C$16,"A+",IF(X493&gt;=Settings!$C$17,"A",IF(X493&gt;=Settings!$C$18,"B","C"))))</f>
        <v/>
      </c>
      <c r="Z493" s="72"/>
      <c r="AA493" s="72"/>
      <c r="AB493" s="72"/>
      <c r="AC493" s="72"/>
      <c r="AD493" s="72"/>
      <c r="AE493" s="72"/>
      <c r="AF493" s="73"/>
      <c r="AG493" s="74"/>
      <c r="AH493" s="75"/>
      <c r="AI493" s="76" t="str">
        <f aca="false">IF(B493="","",ROUND(IF(AG493="",Settings!$C$5,AG493)*AW493,2))</f>
        <v/>
      </c>
      <c r="AJ493" s="77" t="str">
        <f aca="false">IF(OR(B493="",AB493="",AC493="",AD493=""),"",IFERROR(ROUND(ABS(AD493-AB493)/ABS(AB493-AC493),2),""))</f>
        <v/>
      </c>
      <c r="AK493" s="78" t="str">
        <f aca="false">IF(OR(B493="",AB493="",AC493="",AE493=""),"",IFERROR(ROUND(IF(J493="Short",AB493-AE493,AE493-AB493)/ABS(AB493-AC493),2),""))</f>
        <v/>
      </c>
      <c r="AL493" s="68" t="str">
        <f aca="false">IF(AK493="","",IF(ABS(AK493)&lt;=Settings!$C$6,"BE",IF(AK493&gt;0,"Win","Loss")))</f>
        <v/>
      </c>
      <c r="AM493" s="79" t="str">
        <f aca="false">IF(OR(AK493="",AI493=""),"",ROUND(AK493*AI493-N(AH493),2))</f>
        <v/>
      </c>
      <c r="AN493" s="76" t="str">
        <f aca="false">IF(AM493="","",ROUND(BK493+SUMIFS(AM$6:AM493,BJ$6:BJ493,BJ493),2))</f>
        <v/>
      </c>
      <c r="AO493" s="78" t="str">
        <f aca="false">IF(AK493="","",ROUND(SUMIFS(AK$6:AK493,BJ$6:BJ493,BJ493),2))</f>
        <v/>
      </c>
      <c r="AP493" s="80" t="str">
        <f aca="false">IF(OR(AK493="",BL493=""),"",IFERROR(ROUND(IF(J493="Short",AB493-AE493,AE493-AB493)/BL493,1),""))</f>
        <v/>
      </c>
      <c r="AQ493" s="66" t="str">
        <f aca="false">IF(OR(G493="",H493=""),"",ROUND(MOD(H493-G493,1)*1440,0))</f>
        <v/>
      </c>
      <c r="AR493" s="68" t="str">
        <f aca="false">IF(AQ493="","",IF(AQ493&lt;15,"Under 15m",IF(AQ493&lt;60,"15-60m",IF(AQ493&lt;240,"1-4 hours","4+ hours"))))</f>
        <v/>
      </c>
      <c r="AS493" s="66" t="str">
        <f aca="false">IF(G493="","",HOUR(G493))</f>
        <v/>
      </c>
      <c r="AT493" s="80" t="str">
        <f aca="false">IF(OR(Z493="",AB493="",BL493=""),"",IFERROR(ROUND(IF(J493="Short",Z493-AB493,AB493-Z493)/BL493,1),""))</f>
        <v/>
      </c>
      <c r="AU493" s="68" t="str">
        <f aca="false">IF(OR(AA493="",AC493=""),"",IF(AA493=AC493,"No","Yes"))</f>
        <v/>
      </c>
      <c r="AV493" s="81" t="str">
        <f aca="false">IF(OR(B493="",BL493="",BM493="",AB493="",AC493=""),"",IFERROR(ROUND(AI493/(ABS(AB493-AC493)/BL493*BM493),2),""))</f>
        <v/>
      </c>
      <c r="AW493" s="76" t="str">
        <f aca="false">IF(B493="","",ROUND(BK493+SUMIFS(AM$5:AM492,BJ$5:BJ492,BJ493),2))</f>
        <v/>
      </c>
      <c r="AX493" s="66" t="str">
        <f aca="false">IF(B493="","",COUNTIFS(B$6:B493,B493,BJ$6:BJ493,BJ493))</f>
        <v/>
      </c>
      <c r="AY493" s="79" t="str">
        <f aca="false">IF(B493="","",ROUND(SUMIFS(AM$5:AM492,B$5:B492,B493,BJ$5:BJ492,BJ493),2))</f>
        <v/>
      </c>
      <c r="AZ493" s="79" t="str">
        <f aca="false">IF(AM493="","",ROUND(AY493+AM493,2))</f>
        <v/>
      </c>
      <c r="BA493" s="79" t="str">
        <f aca="false">IF(B493="","",ROUND(SUMIFS(AM$5:AM492,B$5:B492,"&gt;="&amp;(B493-WEEKDAY(B493,2)+1),B$5:B492,"&lt;="&amp;B493,BJ$5:BJ492,BJ493),2))</f>
        <v/>
      </c>
      <c r="BB493" s="68" t="str">
        <f aca="false">IF(B493="","",IF(AND(AF493&lt;&gt;"",AV493&lt;&gt;"",N(AF493)&gt;N(AV493)*(1+Settings!$C$13)),"Oversized",IF(AX493&gt;Settings!$C$10,"Overtraded",IF(AY493&lt;=-Settings!$C$11*(AW493-AY493),"Daily loss hit",IF(BA493&lt;=-Settings!$C$12*(AW493-BA493),"Weekly loss hit","OK")))))</f>
        <v/>
      </c>
      <c r="BC493" s="69"/>
      <c r="BD493" s="69"/>
      <c r="BE493" s="69"/>
      <c r="BF493" s="73"/>
      <c r="BG493" s="73"/>
      <c r="BH493" s="71"/>
      <c r="BI493" s="71"/>
      <c r="BJ493" s="68" t="str">
        <f aca="false">IF(B493="","",IF(E493="",Settings!$F$5,E493))</f>
        <v/>
      </c>
      <c r="BK493" s="76" t="str">
        <f aca="false">IF(B493="","",IFERROR(INDEX(Settings!$G$5:$G$10,MATCH(BJ493,Settings!$F$5:$F$10,0)),Settings!$G$5))</f>
        <v/>
      </c>
      <c r="BL493" s="82" t="str">
        <f aca="false">IF(I493="","",IFERROR(1/(1/INDEX(Lists!$C$6:$C$17,MATCH(I493,Lists!$B$6:$B$17,0))),""))</f>
        <v/>
      </c>
      <c r="BM493" s="81" t="str">
        <f aca="false">IF(I493="","",IFERROR(1/(1/INDEX(Lists!$D$6:$D$17,MATCH(I493,Lists!$B$6:$B$17,0))),""))</f>
        <v/>
      </c>
      <c r="BN493" s="76" t="str">
        <f aca="false">IF(AN493="","",MAX(BK493,_xlfn.MAXIFS(AN$6:AN493,BJ$6:BJ493,BJ493)))</f>
        <v/>
      </c>
      <c r="BO493" s="83" t="str">
        <f aca="false">IF(AN493="","",(AN493-BN493)/BN493)</f>
        <v/>
      </c>
      <c r="BP493" s="66" t="n">
        <f aca="false">IF(OR(B493="",AL493=""),0,IF(OR(Settings!$C$28="All Accounts",BJ493=Settings!$C$28),1,0))</f>
        <v>0</v>
      </c>
      <c r="BQ493" s="66" t="str">
        <f aca="false">IF(BP493=1,SUM(BP$6:BP493),"")</f>
        <v/>
      </c>
      <c r="BR493" s="76" t="str">
        <f aca="false">IF(BP493=1,ROUND(Settings!$C$29+SUMIFS(AM$6:AM493,BP$6:BP493,1),2),"")</f>
        <v/>
      </c>
      <c r="BS493" s="76" t="str">
        <f aca="false">IF(BP493=1,MAX(Settings!$C$29,MAX(BR$6:BR493)),"")</f>
        <v/>
      </c>
      <c r="BT493" s="83" t="str">
        <f aca="false">IF(BP493=1,(BR493-BS493)/BS493,"")</f>
        <v/>
      </c>
      <c r="BU493" s="66" t="str">
        <f aca="false">IF(BP493=1,IF(AL493="Win",1+IF(BQ493=1,0,INDEX(BU$5:BU492,MATCH(BQ493-1,BQ$5:BQ492,0))),0),"")</f>
        <v/>
      </c>
      <c r="BV493" s="66" t="str">
        <f aca="false">IF(BP493=1,IF(AL493="Loss",1+IF(BQ493=1,0,INDEX(BV$5:BV492,MATCH(BQ493-1,BQ$5:BQ492,0))),0),"")</f>
        <v/>
      </c>
    </row>
    <row r="494" customFormat="false" ht="15" hidden="false" customHeight="false" outlineLevel="0" collapsed="false">
      <c r="A494" s="66" t="str">
        <f aca="false">IF(B494="","",ROW()-5)</f>
        <v/>
      </c>
      <c r="B494" s="67"/>
      <c r="C494" s="68" t="str">
        <f aca="false">IF(B494="","",CHOOSE(WEEKDAY(B494,2),"Mon","Tue","Wed","Thu","Fri","Sat","Sun"))</f>
        <v/>
      </c>
      <c r="D494" s="66" t="str">
        <f aca="false">IF(B494="","",WEEKNUM(B494,2))</f>
        <v/>
      </c>
      <c r="E494" s="69"/>
      <c r="F494" s="69"/>
      <c r="G494" s="70"/>
      <c r="H494" s="70"/>
      <c r="I494" s="69"/>
      <c r="J494" s="69"/>
      <c r="K494" s="69"/>
      <c r="L494" s="71"/>
      <c r="M494" s="69"/>
      <c r="N494" s="69"/>
      <c r="O494" s="69"/>
      <c r="P494" s="71"/>
      <c r="Q494" s="69"/>
      <c r="R494" s="69"/>
      <c r="S494" s="69"/>
      <c r="T494" s="69"/>
      <c r="U494" s="69"/>
      <c r="V494" s="69"/>
      <c r="W494" s="69"/>
      <c r="X494" s="66" t="str">
        <f aca="false">IF(B494="","",COUNTIF(Q494:W494,"Yes"))</f>
        <v/>
      </c>
      <c r="Y494" s="68" t="str">
        <f aca="false">IF(B494="","",IF(X494&gt;=Settings!$C$16,"A+",IF(X494&gt;=Settings!$C$17,"A",IF(X494&gt;=Settings!$C$18,"B","C"))))</f>
        <v/>
      </c>
      <c r="Z494" s="72"/>
      <c r="AA494" s="72"/>
      <c r="AB494" s="72"/>
      <c r="AC494" s="72"/>
      <c r="AD494" s="72"/>
      <c r="AE494" s="72"/>
      <c r="AF494" s="73"/>
      <c r="AG494" s="74"/>
      <c r="AH494" s="75"/>
      <c r="AI494" s="76" t="str">
        <f aca="false">IF(B494="","",ROUND(IF(AG494="",Settings!$C$5,AG494)*AW494,2))</f>
        <v/>
      </c>
      <c r="AJ494" s="77" t="str">
        <f aca="false">IF(OR(B494="",AB494="",AC494="",AD494=""),"",IFERROR(ROUND(ABS(AD494-AB494)/ABS(AB494-AC494),2),""))</f>
        <v/>
      </c>
      <c r="AK494" s="78" t="str">
        <f aca="false">IF(OR(B494="",AB494="",AC494="",AE494=""),"",IFERROR(ROUND(IF(J494="Short",AB494-AE494,AE494-AB494)/ABS(AB494-AC494),2),""))</f>
        <v/>
      </c>
      <c r="AL494" s="68" t="str">
        <f aca="false">IF(AK494="","",IF(ABS(AK494)&lt;=Settings!$C$6,"BE",IF(AK494&gt;0,"Win","Loss")))</f>
        <v/>
      </c>
      <c r="AM494" s="79" t="str">
        <f aca="false">IF(OR(AK494="",AI494=""),"",ROUND(AK494*AI494-N(AH494),2))</f>
        <v/>
      </c>
      <c r="AN494" s="76" t="str">
        <f aca="false">IF(AM494="","",ROUND(BK494+SUMIFS(AM$6:AM494,BJ$6:BJ494,BJ494),2))</f>
        <v/>
      </c>
      <c r="AO494" s="78" t="str">
        <f aca="false">IF(AK494="","",ROUND(SUMIFS(AK$6:AK494,BJ$6:BJ494,BJ494),2))</f>
        <v/>
      </c>
      <c r="AP494" s="80" t="str">
        <f aca="false">IF(OR(AK494="",BL494=""),"",IFERROR(ROUND(IF(J494="Short",AB494-AE494,AE494-AB494)/BL494,1),""))</f>
        <v/>
      </c>
      <c r="AQ494" s="66" t="str">
        <f aca="false">IF(OR(G494="",H494=""),"",ROUND(MOD(H494-G494,1)*1440,0))</f>
        <v/>
      </c>
      <c r="AR494" s="68" t="str">
        <f aca="false">IF(AQ494="","",IF(AQ494&lt;15,"Under 15m",IF(AQ494&lt;60,"15-60m",IF(AQ494&lt;240,"1-4 hours","4+ hours"))))</f>
        <v/>
      </c>
      <c r="AS494" s="66" t="str">
        <f aca="false">IF(G494="","",HOUR(G494))</f>
        <v/>
      </c>
      <c r="AT494" s="80" t="str">
        <f aca="false">IF(OR(Z494="",AB494="",BL494=""),"",IFERROR(ROUND(IF(J494="Short",Z494-AB494,AB494-Z494)/BL494,1),""))</f>
        <v/>
      </c>
      <c r="AU494" s="68" t="str">
        <f aca="false">IF(OR(AA494="",AC494=""),"",IF(AA494=AC494,"No","Yes"))</f>
        <v/>
      </c>
      <c r="AV494" s="81" t="str">
        <f aca="false">IF(OR(B494="",BL494="",BM494="",AB494="",AC494=""),"",IFERROR(ROUND(AI494/(ABS(AB494-AC494)/BL494*BM494),2),""))</f>
        <v/>
      </c>
      <c r="AW494" s="76" t="str">
        <f aca="false">IF(B494="","",ROUND(BK494+SUMIFS(AM$5:AM493,BJ$5:BJ493,BJ494),2))</f>
        <v/>
      </c>
      <c r="AX494" s="66" t="str">
        <f aca="false">IF(B494="","",COUNTIFS(B$6:B494,B494,BJ$6:BJ494,BJ494))</f>
        <v/>
      </c>
      <c r="AY494" s="79" t="str">
        <f aca="false">IF(B494="","",ROUND(SUMIFS(AM$5:AM493,B$5:B493,B494,BJ$5:BJ493,BJ494),2))</f>
        <v/>
      </c>
      <c r="AZ494" s="79" t="str">
        <f aca="false">IF(AM494="","",ROUND(AY494+AM494,2))</f>
        <v/>
      </c>
      <c r="BA494" s="79" t="str">
        <f aca="false">IF(B494="","",ROUND(SUMIFS(AM$5:AM493,B$5:B493,"&gt;="&amp;(B494-WEEKDAY(B494,2)+1),B$5:B493,"&lt;="&amp;B494,BJ$5:BJ493,BJ494),2))</f>
        <v/>
      </c>
      <c r="BB494" s="68" t="str">
        <f aca="false">IF(B494="","",IF(AND(AF494&lt;&gt;"",AV494&lt;&gt;"",N(AF494)&gt;N(AV494)*(1+Settings!$C$13)),"Oversized",IF(AX494&gt;Settings!$C$10,"Overtraded",IF(AY494&lt;=-Settings!$C$11*(AW494-AY494),"Daily loss hit",IF(BA494&lt;=-Settings!$C$12*(AW494-BA494),"Weekly loss hit","OK")))))</f>
        <v/>
      </c>
      <c r="BC494" s="69"/>
      <c r="BD494" s="69"/>
      <c r="BE494" s="69"/>
      <c r="BF494" s="73"/>
      <c r="BG494" s="73"/>
      <c r="BH494" s="71"/>
      <c r="BI494" s="71"/>
      <c r="BJ494" s="68" t="str">
        <f aca="false">IF(B494="","",IF(E494="",Settings!$F$5,E494))</f>
        <v/>
      </c>
      <c r="BK494" s="76" t="str">
        <f aca="false">IF(B494="","",IFERROR(INDEX(Settings!$G$5:$G$10,MATCH(BJ494,Settings!$F$5:$F$10,0)),Settings!$G$5))</f>
        <v/>
      </c>
      <c r="BL494" s="82" t="str">
        <f aca="false">IF(I494="","",IFERROR(1/(1/INDEX(Lists!$C$6:$C$17,MATCH(I494,Lists!$B$6:$B$17,0))),""))</f>
        <v/>
      </c>
      <c r="BM494" s="81" t="str">
        <f aca="false">IF(I494="","",IFERROR(1/(1/INDEX(Lists!$D$6:$D$17,MATCH(I494,Lists!$B$6:$B$17,0))),""))</f>
        <v/>
      </c>
      <c r="BN494" s="76" t="str">
        <f aca="false">IF(AN494="","",MAX(BK494,_xlfn.MAXIFS(AN$6:AN494,BJ$6:BJ494,BJ494)))</f>
        <v/>
      </c>
      <c r="BO494" s="83" t="str">
        <f aca="false">IF(AN494="","",(AN494-BN494)/BN494)</f>
        <v/>
      </c>
      <c r="BP494" s="66" t="n">
        <f aca="false">IF(OR(B494="",AL494=""),0,IF(OR(Settings!$C$28="All Accounts",BJ494=Settings!$C$28),1,0))</f>
        <v>0</v>
      </c>
      <c r="BQ494" s="66" t="str">
        <f aca="false">IF(BP494=1,SUM(BP$6:BP494),"")</f>
        <v/>
      </c>
      <c r="BR494" s="76" t="str">
        <f aca="false">IF(BP494=1,ROUND(Settings!$C$29+SUMIFS(AM$6:AM494,BP$6:BP494,1),2),"")</f>
        <v/>
      </c>
      <c r="BS494" s="76" t="str">
        <f aca="false">IF(BP494=1,MAX(Settings!$C$29,MAX(BR$6:BR494)),"")</f>
        <v/>
      </c>
      <c r="BT494" s="83" t="str">
        <f aca="false">IF(BP494=1,(BR494-BS494)/BS494,"")</f>
        <v/>
      </c>
      <c r="BU494" s="66" t="str">
        <f aca="false">IF(BP494=1,IF(AL494="Win",1+IF(BQ494=1,0,INDEX(BU$5:BU493,MATCH(BQ494-1,BQ$5:BQ493,0))),0),"")</f>
        <v/>
      </c>
      <c r="BV494" s="66" t="str">
        <f aca="false">IF(BP494=1,IF(AL494="Loss",1+IF(BQ494=1,0,INDEX(BV$5:BV493,MATCH(BQ494-1,BQ$5:BQ493,0))),0),"")</f>
        <v/>
      </c>
    </row>
    <row r="495" customFormat="false" ht="15" hidden="false" customHeight="false" outlineLevel="0" collapsed="false">
      <c r="A495" s="66" t="str">
        <f aca="false">IF(B495="","",ROW()-5)</f>
        <v/>
      </c>
      <c r="B495" s="67"/>
      <c r="C495" s="68" t="str">
        <f aca="false">IF(B495="","",CHOOSE(WEEKDAY(B495,2),"Mon","Tue","Wed","Thu","Fri","Sat","Sun"))</f>
        <v/>
      </c>
      <c r="D495" s="66" t="str">
        <f aca="false">IF(B495="","",WEEKNUM(B495,2))</f>
        <v/>
      </c>
      <c r="E495" s="69"/>
      <c r="F495" s="69"/>
      <c r="G495" s="70"/>
      <c r="H495" s="70"/>
      <c r="I495" s="69"/>
      <c r="J495" s="69"/>
      <c r="K495" s="69"/>
      <c r="L495" s="71"/>
      <c r="M495" s="69"/>
      <c r="N495" s="69"/>
      <c r="O495" s="69"/>
      <c r="P495" s="71"/>
      <c r="Q495" s="69"/>
      <c r="R495" s="69"/>
      <c r="S495" s="69"/>
      <c r="T495" s="69"/>
      <c r="U495" s="69"/>
      <c r="V495" s="69"/>
      <c r="W495" s="69"/>
      <c r="X495" s="66" t="str">
        <f aca="false">IF(B495="","",COUNTIF(Q495:W495,"Yes"))</f>
        <v/>
      </c>
      <c r="Y495" s="68" t="str">
        <f aca="false">IF(B495="","",IF(X495&gt;=Settings!$C$16,"A+",IF(X495&gt;=Settings!$C$17,"A",IF(X495&gt;=Settings!$C$18,"B","C"))))</f>
        <v/>
      </c>
      <c r="Z495" s="72"/>
      <c r="AA495" s="72"/>
      <c r="AB495" s="72"/>
      <c r="AC495" s="72"/>
      <c r="AD495" s="72"/>
      <c r="AE495" s="72"/>
      <c r="AF495" s="73"/>
      <c r="AG495" s="74"/>
      <c r="AH495" s="75"/>
      <c r="AI495" s="76" t="str">
        <f aca="false">IF(B495="","",ROUND(IF(AG495="",Settings!$C$5,AG495)*AW495,2))</f>
        <v/>
      </c>
      <c r="AJ495" s="77" t="str">
        <f aca="false">IF(OR(B495="",AB495="",AC495="",AD495=""),"",IFERROR(ROUND(ABS(AD495-AB495)/ABS(AB495-AC495),2),""))</f>
        <v/>
      </c>
      <c r="AK495" s="78" t="str">
        <f aca="false">IF(OR(B495="",AB495="",AC495="",AE495=""),"",IFERROR(ROUND(IF(J495="Short",AB495-AE495,AE495-AB495)/ABS(AB495-AC495),2),""))</f>
        <v/>
      </c>
      <c r="AL495" s="68" t="str">
        <f aca="false">IF(AK495="","",IF(ABS(AK495)&lt;=Settings!$C$6,"BE",IF(AK495&gt;0,"Win","Loss")))</f>
        <v/>
      </c>
      <c r="AM495" s="79" t="str">
        <f aca="false">IF(OR(AK495="",AI495=""),"",ROUND(AK495*AI495-N(AH495),2))</f>
        <v/>
      </c>
      <c r="AN495" s="76" t="str">
        <f aca="false">IF(AM495="","",ROUND(BK495+SUMIFS(AM$6:AM495,BJ$6:BJ495,BJ495),2))</f>
        <v/>
      </c>
      <c r="AO495" s="78" t="str">
        <f aca="false">IF(AK495="","",ROUND(SUMIFS(AK$6:AK495,BJ$6:BJ495,BJ495),2))</f>
        <v/>
      </c>
      <c r="AP495" s="80" t="str">
        <f aca="false">IF(OR(AK495="",BL495=""),"",IFERROR(ROUND(IF(J495="Short",AB495-AE495,AE495-AB495)/BL495,1),""))</f>
        <v/>
      </c>
      <c r="AQ495" s="66" t="str">
        <f aca="false">IF(OR(G495="",H495=""),"",ROUND(MOD(H495-G495,1)*1440,0))</f>
        <v/>
      </c>
      <c r="AR495" s="68" t="str">
        <f aca="false">IF(AQ495="","",IF(AQ495&lt;15,"Under 15m",IF(AQ495&lt;60,"15-60m",IF(AQ495&lt;240,"1-4 hours","4+ hours"))))</f>
        <v/>
      </c>
      <c r="AS495" s="66" t="str">
        <f aca="false">IF(G495="","",HOUR(G495))</f>
        <v/>
      </c>
      <c r="AT495" s="80" t="str">
        <f aca="false">IF(OR(Z495="",AB495="",BL495=""),"",IFERROR(ROUND(IF(J495="Short",Z495-AB495,AB495-Z495)/BL495,1),""))</f>
        <v/>
      </c>
      <c r="AU495" s="68" t="str">
        <f aca="false">IF(OR(AA495="",AC495=""),"",IF(AA495=AC495,"No","Yes"))</f>
        <v/>
      </c>
      <c r="AV495" s="81" t="str">
        <f aca="false">IF(OR(B495="",BL495="",BM495="",AB495="",AC495=""),"",IFERROR(ROUND(AI495/(ABS(AB495-AC495)/BL495*BM495),2),""))</f>
        <v/>
      </c>
      <c r="AW495" s="76" t="str">
        <f aca="false">IF(B495="","",ROUND(BK495+SUMIFS(AM$5:AM494,BJ$5:BJ494,BJ495),2))</f>
        <v/>
      </c>
      <c r="AX495" s="66" t="str">
        <f aca="false">IF(B495="","",COUNTIFS(B$6:B495,B495,BJ$6:BJ495,BJ495))</f>
        <v/>
      </c>
      <c r="AY495" s="79" t="str">
        <f aca="false">IF(B495="","",ROUND(SUMIFS(AM$5:AM494,B$5:B494,B495,BJ$5:BJ494,BJ495),2))</f>
        <v/>
      </c>
      <c r="AZ495" s="79" t="str">
        <f aca="false">IF(AM495="","",ROUND(AY495+AM495,2))</f>
        <v/>
      </c>
      <c r="BA495" s="79" t="str">
        <f aca="false">IF(B495="","",ROUND(SUMIFS(AM$5:AM494,B$5:B494,"&gt;="&amp;(B495-WEEKDAY(B495,2)+1),B$5:B494,"&lt;="&amp;B495,BJ$5:BJ494,BJ495),2))</f>
        <v/>
      </c>
      <c r="BB495" s="68" t="str">
        <f aca="false">IF(B495="","",IF(AND(AF495&lt;&gt;"",AV495&lt;&gt;"",N(AF495)&gt;N(AV495)*(1+Settings!$C$13)),"Oversized",IF(AX495&gt;Settings!$C$10,"Overtraded",IF(AY495&lt;=-Settings!$C$11*(AW495-AY495),"Daily loss hit",IF(BA495&lt;=-Settings!$C$12*(AW495-BA495),"Weekly loss hit","OK")))))</f>
        <v/>
      </c>
      <c r="BC495" s="69"/>
      <c r="BD495" s="69"/>
      <c r="BE495" s="69"/>
      <c r="BF495" s="73"/>
      <c r="BG495" s="73"/>
      <c r="BH495" s="71"/>
      <c r="BI495" s="71"/>
      <c r="BJ495" s="68" t="str">
        <f aca="false">IF(B495="","",IF(E495="",Settings!$F$5,E495))</f>
        <v/>
      </c>
      <c r="BK495" s="76" t="str">
        <f aca="false">IF(B495="","",IFERROR(INDEX(Settings!$G$5:$G$10,MATCH(BJ495,Settings!$F$5:$F$10,0)),Settings!$G$5))</f>
        <v/>
      </c>
      <c r="BL495" s="82" t="str">
        <f aca="false">IF(I495="","",IFERROR(1/(1/INDEX(Lists!$C$6:$C$17,MATCH(I495,Lists!$B$6:$B$17,0))),""))</f>
        <v/>
      </c>
      <c r="BM495" s="81" t="str">
        <f aca="false">IF(I495="","",IFERROR(1/(1/INDEX(Lists!$D$6:$D$17,MATCH(I495,Lists!$B$6:$B$17,0))),""))</f>
        <v/>
      </c>
      <c r="BN495" s="76" t="str">
        <f aca="false">IF(AN495="","",MAX(BK495,_xlfn.MAXIFS(AN$6:AN495,BJ$6:BJ495,BJ495)))</f>
        <v/>
      </c>
      <c r="BO495" s="83" t="str">
        <f aca="false">IF(AN495="","",(AN495-BN495)/BN495)</f>
        <v/>
      </c>
      <c r="BP495" s="66" t="n">
        <f aca="false">IF(OR(B495="",AL495=""),0,IF(OR(Settings!$C$28="All Accounts",BJ495=Settings!$C$28),1,0))</f>
        <v>0</v>
      </c>
      <c r="BQ495" s="66" t="str">
        <f aca="false">IF(BP495=1,SUM(BP$6:BP495),"")</f>
        <v/>
      </c>
      <c r="BR495" s="76" t="str">
        <f aca="false">IF(BP495=1,ROUND(Settings!$C$29+SUMIFS(AM$6:AM495,BP$6:BP495,1),2),"")</f>
        <v/>
      </c>
      <c r="BS495" s="76" t="str">
        <f aca="false">IF(BP495=1,MAX(Settings!$C$29,MAX(BR$6:BR495)),"")</f>
        <v/>
      </c>
      <c r="BT495" s="83" t="str">
        <f aca="false">IF(BP495=1,(BR495-BS495)/BS495,"")</f>
        <v/>
      </c>
      <c r="BU495" s="66" t="str">
        <f aca="false">IF(BP495=1,IF(AL495="Win",1+IF(BQ495=1,0,INDEX(BU$5:BU494,MATCH(BQ495-1,BQ$5:BQ494,0))),0),"")</f>
        <v/>
      </c>
      <c r="BV495" s="66" t="str">
        <f aca="false">IF(BP495=1,IF(AL495="Loss",1+IF(BQ495=1,0,INDEX(BV$5:BV494,MATCH(BQ495-1,BQ$5:BQ494,0))),0),"")</f>
        <v/>
      </c>
    </row>
    <row r="496" customFormat="false" ht="15" hidden="false" customHeight="false" outlineLevel="0" collapsed="false">
      <c r="A496" s="66" t="str">
        <f aca="false">IF(B496="","",ROW()-5)</f>
        <v/>
      </c>
      <c r="B496" s="67"/>
      <c r="C496" s="68" t="str">
        <f aca="false">IF(B496="","",CHOOSE(WEEKDAY(B496,2),"Mon","Tue","Wed","Thu","Fri","Sat","Sun"))</f>
        <v/>
      </c>
      <c r="D496" s="66" t="str">
        <f aca="false">IF(B496="","",WEEKNUM(B496,2))</f>
        <v/>
      </c>
      <c r="E496" s="69"/>
      <c r="F496" s="69"/>
      <c r="G496" s="70"/>
      <c r="H496" s="70"/>
      <c r="I496" s="69"/>
      <c r="J496" s="69"/>
      <c r="K496" s="69"/>
      <c r="L496" s="71"/>
      <c r="M496" s="69"/>
      <c r="N496" s="69"/>
      <c r="O496" s="69"/>
      <c r="P496" s="71"/>
      <c r="Q496" s="69"/>
      <c r="R496" s="69"/>
      <c r="S496" s="69"/>
      <c r="T496" s="69"/>
      <c r="U496" s="69"/>
      <c r="V496" s="69"/>
      <c r="W496" s="69"/>
      <c r="X496" s="66" t="str">
        <f aca="false">IF(B496="","",COUNTIF(Q496:W496,"Yes"))</f>
        <v/>
      </c>
      <c r="Y496" s="68" t="str">
        <f aca="false">IF(B496="","",IF(X496&gt;=Settings!$C$16,"A+",IF(X496&gt;=Settings!$C$17,"A",IF(X496&gt;=Settings!$C$18,"B","C"))))</f>
        <v/>
      </c>
      <c r="Z496" s="72"/>
      <c r="AA496" s="72"/>
      <c r="AB496" s="72"/>
      <c r="AC496" s="72"/>
      <c r="AD496" s="72"/>
      <c r="AE496" s="72"/>
      <c r="AF496" s="73"/>
      <c r="AG496" s="74"/>
      <c r="AH496" s="75"/>
      <c r="AI496" s="76" t="str">
        <f aca="false">IF(B496="","",ROUND(IF(AG496="",Settings!$C$5,AG496)*AW496,2))</f>
        <v/>
      </c>
      <c r="AJ496" s="77" t="str">
        <f aca="false">IF(OR(B496="",AB496="",AC496="",AD496=""),"",IFERROR(ROUND(ABS(AD496-AB496)/ABS(AB496-AC496),2),""))</f>
        <v/>
      </c>
      <c r="AK496" s="78" t="str">
        <f aca="false">IF(OR(B496="",AB496="",AC496="",AE496=""),"",IFERROR(ROUND(IF(J496="Short",AB496-AE496,AE496-AB496)/ABS(AB496-AC496),2),""))</f>
        <v/>
      </c>
      <c r="AL496" s="68" t="str">
        <f aca="false">IF(AK496="","",IF(ABS(AK496)&lt;=Settings!$C$6,"BE",IF(AK496&gt;0,"Win","Loss")))</f>
        <v/>
      </c>
      <c r="AM496" s="79" t="str">
        <f aca="false">IF(OR(AK496="",AI496=""),"",ROUND(AK496*AI496-N(AH496),2))</f>
        <v/>
      </c>
      <c r="AN496" s="76" t="str">
        <f aca="false">IF(AM496="","",ROUND(BK496+SUMIFS(AM$6:AM496,BJ$6:BJ496,BJ496),2))</f>
        <v/>
      </c>
      <c r="AO496" s="78" t="str">
        <f aca="false">IF(AK496="","",ROUND(SUMIFS(AK$6:AK496,BJ$6:BJ496,BJ496),2))</f>
        <v/>
      </c>
      <c r="AP496" s="80" t="str">
        <f aca="false">IF(OR(AK496="",BL496=""),"",IFERROR(ROUND(IF(J496="Short",AB496-AE496,AE496-AB496)/BL496,1),""))</f>
        <v/>
      </c>
      <c r="AQ496" s="66" t="str">
        <f aca="false">IF(OR(G496="",H496=""),"",ROUND(MOD(H496-G496,1)*1440,0))</f>
        <v/>
      </c>
      <c r="AR496" s="68" t="str">
        <f aca="false">IF(AQ496="","",IF(AQ496&lt;15,"Under 15m",IF(AQ496&lt;60,"15-60m",IF(AQ496&lt;240,"1-4 hours","4+ hours"))))</f>
        <v/>
      </c>
      <c r="AS496" s="66" t="str">
        <f aca="false">IF(G496="","",HOUR(G496))</f>
        <v/>
      </c>
      <c r="AT496" s="80" t="str">
        <f aca="false">IF(OR(Z496="",AB496="",BL496=""),"",IFERROR(ROUND(IF(J496="Short",Z496-AB496,AB496-Z496)/BL496,1),""))</f>
        <v/>
      </c>
      <c r="AU496" s="68" t="str">
        <f aca="false">IF(OR(AA496="",AC496=""),"",IF(AA496=AC496,"No","Yes"))</f>
        <v/>
      </c>
      <c r="AV496" s="81" t="str">
        <f aca="false">IF(OR(B496="",BL496="",BM496="",AB496="",AC496=""),"",IFERROR(ROUND(AI496/(ABS(AB496-AC496)/BL496*BM496),2),""))</f>
        <v/>
      </c>
      <c r="AW496" s="76" t="str">
        <f aca="false">IF(B496="","",ROUND(BK496+SUMIFS(AM$5:AM495,BJ$5:BJ495,BJ496),2))</f>
        <v/>
      </c>
      <c r="AX496" s="66" t="str">
        <f aca="false">IF(B496="","",COUNTIFS(B$6:B496,B496,BJ$6:BJ496,BJ496))</f>
        <v/>
      </c>
      <c r="AY496" s="79" t="str">
        <f aca="false">IF(B496="","",ROUND(SUMIFS(AM$5:AM495,B$5:B495,B496,BJ$5:BJ495,BJ496),2))</f>
        <v/>
      </c>
      <c r="AZ496" s="79" t="str">
        <f aca="false">IF(AM496="","",ROUND(AY496+AM496,2))</f>
        <v/>
      </c>
      <c r="BA496" s="79" t="str">
        <f aca="false">IF(B496="","",ROUND(SUMIFS(AM$5:AM495,B$5:B495,"&gt;="&amp;(B496-WEEKDAY(B496,2)+1),B$5:B495,"&lt;="&amp;B496,BJ$5:BJ495,BJ496),2))</f>
        <v/>
      </c>
      <c r="BB496" s="68" t="str">
        <f aca="false">IF(B496="","",IF(AND(AF496&lt;&gt;"",AV496&lt;&gt;"",N(AF496)&gt;N(AV496)*(1+Settings!$C$13)),"Oversized",IF(AX496&gt;Settings!$C$10,"Overtraded",IF(AY496&lt;=-Settings!$C$11*(AW496-AY496),"Daily loss hit",IF(BA496&lt;=-Settings!$C$12*(AW496-BA496),"Weekly loss hit","OK")))))</f>
        <v/>
      </c>
      <c r="BC496" s="69"/>
      <c r="BD496" s="69"/>
      <c r="BE496" s="69"/>
      <c r="BF496" s="73"/>
      <c r="BG496" s="73"/>
      <c r="BH496" s="71"/>
      <c r="BI496" s="71"/>
      <c r="BJ496" s="68" t="str">
        <f aca="false">IF(B496="","",IF(E496="",Settings!$F$5,E496))</f>
        <v/>
      </c>
      <c r="BK496" s="76" t="str">
        <f aca="false">IF(B496="","",IFERROR(INDEX(Settings!$G$5:$G$10,MATCH(BJ496,Settings!$F$5:$F$10,0)),Settings!$G$5))</f>
        <v/>
      </c>
      <c r="BL496" s="82" t="str">
        <f aca="false">IF(I496="","",IFERROR(1/(1/INDEX(Lists!$C$6:$C$17,MATCH(I496,Lists!$B$6:$B$17,0))),""))</f>
        <v/>
      </c>
      <c r="BM496" s="81" t="str">
        <f aca="false">IF(I496="","",IFERROR(1/(1/INDEX(Lists!$D$6:$D$17,MATCH(I496,Lists!$B$6:$B$17,0))),""))</f>
        <v/>
      </c>
      <c r="BN496" s="76" t="str">
        <f aca="false">IF(AN496="","",MAX(BK496,_xlfn.MAXIFS(AN$6:AN496,BJ$6:BJ496,BJ496)))</f>
        <v/>
      </c>
      <c r="BO496" s="83" t="str">
        <f aca="false">IF(AN496="","",(AN496-BN496)/BN496)</f>
        <v/>
      </c>
      <c r="BP496" s="66" t="n">
        <f aca="false">IF(OR(B496="",AL496=""),0,IF(OR(Settings!$C$28="All Accounts",BJ496=Settings!$C$28),1,0))</f>
        <v>0</v>
      </c>
      <c r="BQ496" s="66" t="str">
        <f aca="false">IF(BP496=1,SUM(BP$6:BP496),"")</f>
        <v/>
      </c>
      <c r="BR496" s="76" t="str">
        <f aca="false">IF(BP496=1,ROUND(Settings!$C$29+SUMIFS(AM$6:AM496,BP$6:BP496,1),2),"")</f>
        <v/>
      </c>
      <c r="BS496" s="76" t="str">
        <f aca="false">IF(BP496=1,MAX(Settings!$C$29,MAX(BR$6:BR496)),"")</f>
        <v/>
      </c>
      <c r="BT496" s="83" t="str">
        <f aca="false">IF(BP496=1,(BR496-BS496)/BS496,"")</f>
        <v/>
      </c>
      <c r="BU496" s="66" t="str">
        <f aca="false">IF(BP496=1,IF(AL496="Win",1+IF(BQ496=1,0,INDEX(BU$5:BU495,MATCH(BQ496-1,BQ$5:BQ495,0))),0),"")</f>
        <v/>
      </c>
      <c r="BV496" s="66" t="str">
        <f aca="false">IF(BP496=1,IF(AL496="Loss",1+IF(BQ496=1,0,INDEX(BV$5:BV495,MATCH(BQ496-1,BQ$5:BQ495,0))),0),"")</f>
        <v/>
      </c>
    </row>
    <row r="497" customFormat="false" ht="15" hidden="false" customHeight="false" outlineLevel="0" collapsed="false">
      <c r="A497" s="66" t="str">
        <f aca="false">IF(B497="","",ROW()-5)</f>
        <v/>
      </c>
      <c r="B497" s="67"/>
      <c r="C497" s="68" t="str">
        <f aca="false">IF(B497="","",CHOOSE(WEEKDAY(B497,2),"Mon","Tue","Wed","Thu","Fri","Sat","Sun"))</f>
        <v/>
      </c>
      <c r="D497" s="66" t="str">
        <f aca="false">IF(B497="","",WEEKNUM(B497,2))</f>
        <v/>
      </c>
      <c r="E497" s="69"/>
      <c r="F497" s="69"/>
      <c r="G497" s="70"/>
      <c r="H497" s="70"/>
      <c r="I497" s="69"/>
      <c r="J497" s="69"/>
      <c r="K497" s="69"/>
      <c r="L497" s="71"/>
      <c r="M497" s="69"/>
      <c r="N497" s="69"/>
      <c r="O497" s="69"/>
      <c r="P497" s="71"/>
      <c r="Q497" s="69"/>
      <c r="R497" s="69"/>
      <c r="S497" s="69"/>
      <c r="T497" s="69"/>
      <c r="U497" s="69"/>
      <c r="V497" s="69"/>
      <c r="W497" s="69"/>
      <c r="X497" s="66" t="str">
        <f aca="false">IF(B497="","",COUNTIF(Q497:W497,"Yes"))</f>
        <v/>
      </c>
      <c r="Y497" s="68" t="str">
        <f aca="false">IF(B497="","",IF(X497&gt;=Settings!$C$16,"A+",IF(X497&gt;=Settings!$C$17,"A",IF(X497&gt;=Settings!$C$18,"B","C"))))</f>
        <v/>
      </c>
      <c r="Z497" s="72"/>
      <c r="AA497" s="72"/>
      <c r="AB497" s="72"/>
      <c r="AC497" s="72"/>
      <c r="AD497" s="72"/>
      <c r="AE497" s="72"/>
      <c r="AF497" s="73"/>
      <c r="AG497" s="74"/>
      <c r="AH497" s="75"/>
      <c r="AI497" s="76" t="str">
        <f aca="false">IF(B497="","",ROUND(IF(AG497="",Settings!$C$5,AG497)*AW497,2))</f>
        <v/>
      </c>
      <c r="AJ497" s="77" t="str">
        <f aca="false">IF(OR(B497="",AB497="",AC497="",AD497=""),"",IFERROR(ROUND(ABS(AD497-AB497)/ABS(AB497-AC497),2),""))</f>
        <v/>
      </c>
      <c r="AK497" s="78" t="str">
        <f aca="false">IF(OR(B497="",AB497="",AC497="",AE497=""),"",IFERROR(ROUND(IF(J497="Short",AB497-AE497,AE497-AB497)/ABS(AB497-AC497),2),""))</f>
        <v/>
      </c>
      <c r="AL497" s="68" t="str">
        <f aca="false">IF(AK497="","",IF(ABS(AK497)&lt;=Settings!$C$6,"BE",IF(AK497&gt;0,"Win","Loss")))</f>
        <v/>
      </c>
      <c r="AM497" s="79" t="str">
        <f aca="false">IF(OR(AK497="",AI497=""),"",ROUND(AK497*AI497-N(AH497),2))</f>
        <v/>
      </c>
      <c r="AN497" s="76" t="str">
        <f aca="false">IF(AM497="","",ROUND(BK497+SUMIFS(AM$6:AM497,BJ$6:BJ497,BJ497),2))</f>
        <v/>
      </c>
      <c r="AO497" s="78" t="str">
        <f aca="false">IF(AK497="","",ROUND(SUMIFS(AK$6:AK497,BJ$6:BJ497,BJ497),2))</f>
        <v/>
      </c>
      <c r="AP497" s="80" t="str">
        <f aca="false">IF(OR(AK497="",BL497=""),"",IFERROR(ROUND(IF(J497="Short",AB497-AE497,AE497-AB497)/BL497,1),""))</f>
        <v/>
      </c>
      <c r="AQ497" s="66" t="str">
        <f aca="false">IF(OR(G497="",H497=""),"",ROUND(MOD(H497-G497,1)*1440,0))</f>
        <v/>
      </c>
      <c r="AR497" s="68" t="str">
        <f aca="false">IF(AQ497="","",IF(AQ497&lt;15,"Under 15m",IF(AQ497&lt;60,"15-60m",IF(AQ497&lt;240,"1-4 hours","4+ hours"))))</f>
        <v/>
      </c>
      <c r="AS497" s="66" t="str">
        <f aca="false">IF(G497="","",HOUR(G497))</f>
        <v/>
      </c>
      <c r="AT497" s="80" t="str">
        <f aca="false">IF(OR(Z497="",AB497="",BL497=""),"",IFERROR(ROUND(IF(J497="Short",Z497-AB497,AB497-Z497)/BL497,1),""))</f>
        <v/>
      </c>
      <c r="AU497" s="68" t="str">
        <f aca="false">IF(OR(AA497="",AC497=""),"",IF(AA497=AC497,"No","Yes"))</f>
        <v/>
      </c>
      <c r="AV497" s="81" t="str">
        <f aca="false">IF(OR(B497="",BL497="",BM497="",AB497="",AC497=""),"",IFERROR(ROUND(AI497/(ABS(AB497-AC497)/BL497*BM497),2),""))</f>
        <v/>
      </c>
      <c r="AW497" s="76" t="str">
        <f aca="false">IF(B497="","",ROUND(BK497+SUMIFS(AM$5:AM496,BJ$5:BJ496,BJ497),2))</f>
        <v/>
      </c>
      <c r="AX497" s="66" t="str">
        <f aca="false">IF(B497="","",COUNTIFS(B$6:B497,B497,BJ$6:BJ497,BJ497))</f>
        <v/>
      </c>
      <c r="AY497" s="79" t="str">
        <f aca="false">IF(B497="","",ROUND(SUMIFS(AM$5:AM496,B$5:B496,B497,BJ$5:BJ496,BJ497),2))</f>
        <v/>
      </c>
      <c r="AZ497" s="79" t="str">
        <f aca="false">IF(AM497="","",ROUND(AY497+AM497,2))</f>
        <v/>
      </c>
      <c r="BA497" s="79" t="str">
        <f aca="false">IF(B497="","",ROUND(SUMIFS(AM$5:AM496,B$5:B496,"&gt;="&amp;(B497-WEEKDAY(B497,2)+1),B$5:B496,"&lt;="&amp;B497,BJ$5:BJ496,BJ497),2))</f>
        <v/>
      </c>
      <c r="BB497" s="68" t="str">
        <f aca="false">IF(B497="","",IF(AND(AF497&lt;&gt;"",AV497&lt;&gt;"",N(AF497)&gt;N(AV497)*(1+Settings!$C$13)),"Oversized",IF(AX497&gt;Settings!$C$10,"Overtraded",IF(AY497&lt;=-Settings!$C$11*(AW497-AY497),"Daily loss hit",IF(BA497&lt;=-Settings!$C$12*(AW497-BA497),"Weekly loss hit","OK")))))</f>
        <v/>
      </c>
      <c r="BC497" s="69"/>
      <c r="BD497" s="69"/>
      <c r="BE497" s="69"/>
      <c r="BF497" s="73"/>
      <c r="BG497" s="73"/>
      <c r="BH497" s="71"/>
      <c r="BI497" s="71"/>
      <c r="BJ497" s="68" t="str">
        <f aca="false">IF(B497="","",IF(E497="",Settings!$F$5,E497))</f>
        <v/>
      </c>
      <c r="BK497" s="76" t="str">
        <f aca="false">IF(B497="","",IFERROR(INDEX(Settings!$G$5:$G$10,MATCH(BJ497,Settings!$F$5:$F$10,0)),Settings!$G$5))</f>
        <v/>
      </c>
      <c r="BL497" s="82" t="str">
        <f aca="false">IF(I497="","",IFERROR(1/(1/INDEX(Lists!$C$6:$C$17,MATCH(I497,Lists!$B$6:$B$17,0))),""))</f>
        <v/>
      </c>
      <c r="BM497" s="81" t="str">
        <f aca="false">IF(I497="","",IFERROR(1/(1/INDEX(Lists!$D$6:$D$17,MATCH(I497,Lists!$B$6:$B$17,0))),""))</f>
        <v/>
      </c>
      <c r="BN497" s="76" t="str">
        <f aca="false">IF(AN497="","",MAX(BK497,_xlfn.MAXIFS(AN$6:AN497,BJ$6:BJ497,BJ497)))</f>
        <v/>
      </c>
      <c r="BO497" s="83" t="str">
        <f aca="false">IF(AN497="","",(AN497-BN497)/BN497)</f>
        <v/>
      </c>
      <c r="BP497" s="66" t="n">
        <f aca="false">IF(OR(B497="",AL497=""),0,IF(OR(Settings!$C$28="All Accounts",BJ497=Settings!$C$28),1,0))</f>
        <v>0</v>
      </c>
      <c r="BQ497" s="66" t="str">
        <f aca="false">IF(BP497=1,SUM(BP$6:BP497),"")</f>
        <v/>
      </c>
      <c r="BR497" s="76" t="str">
        <f aca="false">IF(BP497=1,ROUND(Settings!$C$29+SUMIFS(AM$6:AM497,BP$6:BP497,1),2),"")</f>
        <v/>
      </c>
      <c r="BS497" s="76" t="str">
        <f aca="false">IF(BP497=1,MAX(Settings!$C$29,MAX(BR$6:BR497)),"")</f>
        <v/>
      </c>
      <c r="BT497" s="83" t="str">
        <f aca="false">IF(BP497=1,(BR497-BS497)/BS497,"")</f>
        <v/>
      </c>
      <c r="BU497" s="66" t="str">
        <f aca="false">IF(BP497=1,IF(AL497="Win",1+IF(BQ497=1,0,INDEX(BU$5:BU496,MATCH(BQ497-1,BQ$5:BQ496,0))),0),"")</f>
        <v/>
      </c>
      <c r="BV497" s="66" t="str">
        <f aca="false">IF(BP497=1,IF(AL497="Loss",1+IF(BQ497=1,0,INDEX(BV$5:BV496,MATCH(BQ497-1,BQ$5:BQ496,0))),0),"")</f>
        <v/>
      </c>
    </row>
    <row r="498" customFormat="false" ht="15" hidden="false" customHeight="false" outlineLevel="0" collapsed="false">
      <c r="A498" s="66" t="str">
        <f aca="false">IF(B498="","",ROW()-5)</f>
        <v/>
      </c>
      <c r="B498" s="67"/>
      <c r="C498" s="68" t="str">
        <f aca="false">IF(B498="","",CHOOSE(WEEKDAY(B498,2),"Mon","Tue","Wed","Thu","Fri","Sat","Sun"))</f>
        <v/>
      </c>
      <c r="D498" s="66" t="str">
        <f aca="false">IF(B498="","",WEEKNUM(B498,2))</f>
        <v/>
      </c>
      <c r="E498" s="69"/>
      <c r="F498" s="69"/>
      <c r="G498" s="70"/>
      <c r="H498" s="70"/>
      <c r="I498" s="69"/>
      <c r="J498" s="69"/>
      <c r="K498" s="69"/>
      <c r="L498" s="71"/>
      <c r="M498" s="69"/>
      <c r="N498" s="69"/>
      <c r="O498" s="69"/>
      <c r="P498" s="71"/>
      <c r="Q498" s="69"/>
      <c r="R498" s="69"/>
      <c r="S498" s="69"/>
      <c r="T498" s="69"/>
      <c r="U498" s="69"/>
      <c r="V498" s="69"/>
      <c r="W498" s="69"/>
      <c r="X498" s="66" t="str">
        <f aca="false">IF(B498="","",COUNTIF(Q498:W498,"Yes"))</f>
        <v/>
      </c>
      <c r="Y498" s="68" t="str">
        <f aca="false">IF(B498="","",IF(X498&gt;=Settings!$C$16,"A+",IF(X498&gt;=Settings!$C$17,"A",IF(X498&gt;=Settings!$C$18,"B","C"))))</f>
        <v/>
      </c>
      <c r="Z498" s="72"/>
      <c r="AA498" s="72"/>
      <c r="AB498" s="72"/>
      <c r="AC498" s="72"/>
      <c r="AD498" s="72"/>
      <c r="AE498" s="72"/>
      <c r="AF498" s="73"/>
      <c r="AG498" s="74"/>
      <c r="AH498" s="75"/>
      <c r="AI498" s="76" t="str">
        <f aca="false">IF(B498="","",ROUND(IF(AG498="",Settings!$C$5,AG498)*AW498,2))</f>
        <v/>
      </c>
      <c r="AJ498" s="77" t="str">
        <f aca="false">IF(OR(B498="",AB498="",AC498="",AD498=""),"",IFERROR(ROUND(ABS(AD498-AB498)/ABS(AB498-AC498),2),""))</f>
        <v/>
      </c>
      <c r="AK498" s="78" t="str">
        <f aca="false">IF(OR(B498="",AB498="",AC498="",AE498=""),"",IFERROR(ROUND(IF(J498="Short",AB498-AE498,AE498-AB498)/ABS(AB498-AC498),2),""))</f>
        <v/>
      </c>
      <c r="AL498" s="68" t="str">
        <f aca="false">IF(AK498="","",IF(ABS(AK498)&lt;=Settings!$C$6,"BE",IF(AK498&gt;0,"Win","Loss")))</f>
        <v/>
      </c>
      <c r="AM498" s="79" t="str">
        <f aca="false">IF(OR(AK498="",AI498=""),"",ROUND(AK498*AI498-N(AH498),2))</f>
        <v/>
      </c>
      <c r="AN498" s="76" t="str">
        <f aca="false">IF(AM498="","",ROUND(BK498+SUMIFS(AM$6:AM498,BJ$6:BJ498,BJ498),2))</f>
        <v/>
      </c>
      <c r="AO498" s="78" t="str">
        <f aca="false">IF(AK498="","",ROUND(SUMIFS(AK$6:AK498,BJ$6:BJ498,BJ498),2))</f>
        <v/>
      </c>
      <c r="AP498" s="80" t="str">
        <f aca="false">IF(OR(AK498="",BL498=""),"",IFERROR(ROUND(IF(J498="Short",AB498-AE498,AE498-AB498)/BL498,1),""))</f>
        <v/>
      </c>
      <c r="AQ498" s="66" t="str">
        <f aca="false">IF(OR(G498="",H498=""),"",ROUND(MOD(H498-G498,1)*1440,0))</f>
        <v/>
      </c>
      <c r="AR498" s="68" t="str">
        <f aca="false">IF(AQ498="","",IF(AQ498&lt;15,"Under 15m",IF(AQ498&lt;60,"15-60m",IF(AQ498&lt;240,"1-4 hours","4+ hours"))))</f>
        <v/>
      </c>
      <c r="AS498" s="66" t="str">
        <f aca="false">IF(G498="","",HOUR(G498))</f>
        <v/>
      </c>
      <c r="AT498" s="80" t="str">
        <f aca="false">IF(OR(Z498="",AB498="",BL498=""),"",IFERROR(ROUND(IF(J498="Short",Z498-AB498,AB498-Z498)/BL498,1),""))</f>
        <v/>
      </c>
      <c r="AU498" s="68" t="str">
        <f aca="false">IF(OR(AA498="",AC498=""),"",IF(AA498=AC498,"No","Yes"))</f>
        <v/>
      </c>
      <c r="AV498" s="81" t="str">
        <f aca="false">IF(OR(B498="",BL498="",BM498="",AB498="",AC498=""),"",IFERROR(ROUND(AI498/(ABS(AB498-AC498)/BL498*BM498),2),""))</f>
        <v/>
      </c>
      <c r="AW498" s="76" t="str">
        <f aca="false">IF(B498="","",ROUND(BK498+SUMIFS(AM$5:AM497,BJ$5:BJ497,BJ498),2))</f>
        <v/>
      </c>
      <c r="AX498" s="66" t="str">
        <f aca="false">IF(B498="","",COUNTIFS(B$6:B498,B498,BJ$6:BJ498,BJ498))</f>
        <v/>
      </c>
      <c r="AY498" s="79" t="str">
        <f aca="false">IF(B498="","",ROUND(SUMIFS(AM$5:AM497,B$5:B497,B498,BJ$5:BJ497,BJ498),2))</f>
        <v/>
      </c>
      <c r="AZ498" s="79" t="str">
        <f aca="false">IF(AM498="","",ROUND(AY498+AM498,2))</f>
        <v/>
      </c>
      <c r="BA498" s="79" t="str">
        <f aca="false">IF(B498="","",ROUND(SUMIFS(AM$5:AM497,B$5:B497,"&gt;="&amp;(B498-WEEKDAY(B498,2)+1),B$5:B497,"&lt;="&amp;B498,BJ$5:BJ497,BJ498),2))</f>
        <v/>
      </c>
      <c r="BB498" s="68" t="str">
        <f aca="false">IF(B498="","",IF(AND(AF498&lt;&gt;"",AV498&lt;&gt;"",N(AF498)&gt;N(AV498)*(1+Settings!$C$13)),"Oversized",IF(AX498&gt;Settings!$C$10,"Overtraded",IF(AY498&lt;=-Settings!$C$11*(AW498-AY498),"Daily loss hit",IF(BA498&lt;=-Settings!$C$12*(AW498-BA498),"Weekly loss hit","OK")))))</f>
        <v/>
      </c>
      <c r="BC498" s="69"/>
      <c r="BD498" s="69"/>
      <c r="BE498" s="69"/>
      <c r="BF498" s="73"/>
      <c r="BG498" s="73"/>
      <c r="BH498" s="71"/>
      <c r="BI498" s="71"/>
      <c r="BJ498" s="68" t="str">
        <f aca="false">IF(B498="","",IF(E498="",Settings!$F$5,E498))</f>
        <v/>
      </c>
      <c r="BK498" s="76" t="str">
        <f aca="false">IF(B498="","",IFERROR(INDEX(Settings!$G$5:$G$10,MATCH(BJ498,Settings!$F$5:$F$10,0)),Settings!$G$5))</f>
        <v/>
      </c>
      <c r="BL498" s="82" t="str">
        <f aca="false">IF(I498="","",IFERROR(1/(1/INDEX(Lists!$C$6:$C$17,MATCH(I498,Lists!$B$6:$B$17,0))),""))</f>
        <v/>
      </c>
      <c r="BM498" s="81" t="str">
        <f aca="false">IF(I498="","",IFERROR(1/(1/INDEX(Lists!$D$6:$D$17,MATCH(I498,Lists!$B$6:$B$17,0))),""))</f>
        <v/>
      </c>
      <c r="BN498" s="76" t="str">
        <f aca="false">IF(AN498="","",MAX(BK498,_xlfn.MAXIFS(AN$6:AN498,BJ$6:BJ498,BJ498)))</f>
        <v/>
      </c>
      <c r="BO498" s="83" t="str">
        <f aca="false">IF(AN498="","",(AN498-BN498)/BN498)</f>
        <v/>
      </c>
      <c r="BP498" s="66" t="n">
        <f aca="false">IF(OR(B498="",AL498=""),0,IF(OR(Settings!$C$28="All Accounts",BJ498=Settings!$C$28),1,0))</f>
        <v>0</v>
      </c>
      <c r="BQ498" s="66" t="str">
        <f aca="false">IF(BP498=1,SUM(BP$6:BP498),"")</f>
        <v/>
      </c>
      <c r="BR498" s="76" t="str">
        <f aca="false">IF(BP498=1,ROUND(Settings!$C$29+SUMIFS(AM$6:AM498,BP$6:BP498,1),2),"")</f>
        <v/>
      </c>
      <c r="BS498" s="76" t="str">
        <f aca="false">IF(BP498=1,MAX(Settings!$C$29,MAX(BR$6:BR498)),"")</f>
        <v/>
      </c>
      <c r="BT498" s="83" t="str">
        <f aca="false">IF(BP498=1,(BR498-BS498)/BS498,"")</f>
        <v/>
      </c>
      <c r="BU498" s="66" t="str">
        <f aca="false">IF(BP498=1,IF(AL498="Win",1+IF(BQ498=1,0,INDEX(BU$5:BU497,MATCH(BQ498-1,BQ$5:BQ497,0))),0),"")</f>
        <v/>
      </c>
      <c r="BV498" s="66" t="str">
        <f aca="false">IF(BP498=1,IF(AL498="Loss",1+IF(BQ498=1,0,INDEX(BV$5:BV497,MATCH(BQ498-1,BQ$5:BQ497,0))),0),"")</f>
        <v/>
      </c>
    </row>
    <row r="499" customFormat="false" ht="15" hidden="false" customHeight="false" outlineLevel="0" collapsed="false">
      <c r="A499" s="66" t="str">
        <f aca="false">IF(B499="","",ROW()-5)</f>
        <v/>
      </c>
      <c r="B499" s="67"/>
      <c r="C499" s="68" t="str">
        <f aca="false">IF(B499="","",CHOOSE(WEEKDAY(B499,2),"Mon","Tue","Wed","Thu","Fri","Sat","Sun"))</f>
        <v/>
      </c>
      <c r="D499" s="66" t="str">
        <f aca="false">IF(B499="","",WEEKNUM(B499,2))</f>
        <v/>
      </c>
      <c r="E499" s="69"/>
      <c r="F499" s="69"/>
      <c r="G499" s="70"/>
      <c r="H499" s="70"/>
      <c r="I499" s="69"/>
      <c r="J499" s="69"/>
      <c r="K499" s="69"/>
      <c r="L499" s="71"/>
      <c r="M499" s="69"/>
      <c r="N499" s="69"/>
      <c r="O499" s="69"/>
      <c r="P499" s="71"/>
      <c r="Q499" s="69"/>
      <c r="R499" s="69"/>
      <c r="S499" s="69"/>
      <c r="T499" s="69"/>
      <c r="U499" s="69"/>
      <c r="V499" s="69"/>
      <c r="W499" s="69"/>
      <c r="X499" s="66" t="str">
        <f aca="false">IF(B499="","",COUNTIF(Q499:W499,"Yes"))</f>
        <v/>
      </c>
      <c r="Y499" s="68" t="str">
        <f aca="false">IF(B499="","",IF(X499&gt;=Settings!$C$16,"A+",IF(X499&gt;=Settings!$C$17,"A",IF(X499&gt;=Settings!$C$18,"B","C"))))</f>
        <v/>
      </c>
      <c r="Z499" s="72"/>
      <c r="AA499" s="72"/>
      <c r="AB499" s="72"/>
      <c r="AC499" s="72"/>
      <c r="AD499" s="72"/>
      <c r="AE499" s="72"/>
      <c r="AF499" s="73"/>
      <c r="AG499" s="74"/>
      <c r="AH499" s="75"/>
      <c r="AI499" s="76" t="str">
        <f aca="false">IF(B499="","",ROUND(IF(AG499="",Settings!$C$5,AG499)*AW499,2))</f>
        <v/>
      </c>
      <c r="AJ499" s="77" t="str">
        <f aca="false">IF(OR(B499="",AB499="",AC499="",AD499=""),"",IFERROR(ROUND(ABS(AD499-AB499)/ABS(AB499-AC499),2),""))</f>
        <v/>
      </c>
      <c r="AK499" s="78" t="str">
        <f aca="false">IF(OR(B499="",AB499="",AC499="",AE499=""),"",IFERROR(ROUND(IF(J499="Short",AB499-AE499,AE499-AB499)/ABS(AB499-AC499),2),""))</f>
        <v/>
      </c>
      <c r="AL499" s="68" t="str">
        <f aca="false">IF(AK499="","",IF(ABS(AK499)&lt;=Settings!$C$6,"BE",IF(AK499&gt;0,"Win","Loss")))</f>
        <v/>
      </c>
      <c r="AM499" s="79" t="str">
        <f aca="false">IF(OR(AK499="",AI499=""),"",ROUND(AK499*AI499-N(AH499),2))</f>
        <v/>
      </c>
      <c r="AN499" s="76" t="str">
        <f aca="false">IF(AM499="","",ROUND(BK499+SUMIFS(AM$6:AM499,BJ$6:BJ499,BJ499),2))</f>
        <v/>
      </c>
      <c r="AO499" s="78" t="str">
        <f aca="false">IF(AK499="","",ROUND(SUMIFS(AK$6:AK499,BJ$6:BJ499,BJ499),2))</f>
        <v/>
      </c>
      <c r="AP499" s="80" t="str">
        <f aca="false">IF(OR(AK499="",BL499=""),"",IFERROR(ROUND(IF(J499="Short",AB499-AE499,AE499-AB499)/BL499,1),""))</f>
        <v/>
      </c>
      <c r="AQ499" s="66" t="str">
        <f aca="false">IF(OR(G499="",H499=""),"",ROUND(MOD(H499-G499,1)*1440,0))</f>
        <v/>
      </c>
      <c r="AR499" s="68" t="str">
        <f aca="false">IF(AQ499="","",IF(AQ499&lt;15,"Under 15m",IF(AQ499&lt;60,"15-60m",IF(AQ499&lt;240,"1-4 hours","4+ hours"))))</f>
        <v/>
      </c>
      <c r="AS499" s="66" t="str">
        <f aca="false">IF(G499="","",HOUR(G499))</f>
        <v/>
      </c>
      <c r="AT499" s="80" t="str">
        <f aca="false">IF(OR(Z499="",AB499="",BL499=""),"",IFERROR(ROUND(IF(J499="Short",Z499-AB499,AB499-Z499)/BL499,1),""))</f>
        <v/>
      </c>
      <c r="AU499" s="68" t="str">
        <f aca="false">IF(OR(AA499="",AC499=""),"",IF(AA499=AC499,"No","Yes"))</f>
        <v/>
      </c>
      <c r="AV499" s="81" t="str">
        <f aca="false">IF(OR(B499="",BL499="",BM499="",AB499="",AC499=""),"",IFERROR(ROUND(AI499/(ABS(AB499-AC499)/BL499*BM499),2),""))</f>
        <v/>
      </c>
      <c r="AW499" s="76" t="str">
        <f aca="false">IF(B499="","",ROUND(BK499+SUMIFS(AM$5:AM498,BJ$5:BJ498,BJ499),2))</f>
        <v/>
      </c>
      <c r="AX499" s="66" t="str">
        <f aca="false">IF(B499="","",COUNTIFS(B$6:B499,B499,BJ$6:BJ499,BJ499))</f>
        <v/>
      </c>
      <c r="AY499" s="79" t="str">
        <f aca="false">IF(B499="","",ROUND(SUMIFS(AM$5:AM498,B$5:B498,B499,BJ$5:BJ498,BJ499),2))</f>
        <v/>
      </c>
      <c r="AZ499" s="79" t="str">
        <f aca="false">IF(AM499="","",ROUND(AY499+AM499,2))</f>
        <v/>
      </c>
      <c r="BA499" s="79" t="str">
        <f aca="false">IF(B499="","",ROUND(SUMIFS(AM$5:AM498,B$5:B498,"&gt;="&amp;(B499-WEEKDAY(B499,2)+1),B$5:B498,"&lt;="&amp;B499,BJ$5:BJ498,BJ499),2))</f>
        <v/>
      </c>
      <c r="BB499" s="68" t="str">
        <f aca="false">IF(B499="","",IF(AND(AF499&lt;&gt;"",AV499&lt;&gt;"",N(AF499)&gt;N(AV499)*(1+Settings!$C$13)),"Oversized",IF(AX499&gt;Settings!$C$10,"Overtraded",IF(AY499&lt;=-Settings!$C$11*(AW499-AY499),"Daily loss hit",IF(BA499&lt;=-Settings!$C$12*(AW499-BA499),"Weekly loss hit","OK")))))</f>
        <v/>
      </c>
      <c r="BC499" s="69"/>
      <c r="BD499" s="69"/>
      <c r="BE499" s="69"/>
      <c r="BF499" s="73"/>
      <c r="BG499" s="73"/>
      <c r="BH499" s="71"/>
      <c r="BI499" s="71"/>
      <c r="BJ499" s="68" t="str">
        <f aca="false">IF(B499="","",IF(E499="",Settings!$F$5,E499))</f>
        <v/>
      </c>
      <c r="BK499" s="76" t="str">
        <f aca="false">IF(B499="","",IFERROR(INDEX(Settings!$G$5:$G$10,MATCH(BJ499,Settings!$F$5:$F$10,0)),Settings!$G$5))</f>
        <v/>
      </c>
      <c r="BL499" s="82" t="str">
        <f aca="false">IF(I499="","",IFERROR(1/(1/INDEX(Lists!$C$6:$C$17,MATCH(I499,Lists!$B$6:$B$17,0))),""))</f>
        <v/>
      </c>
      <c r="BM499" s="81" t="str">
        <f aca="false">IF(I499="","",IFERROR(1/(1/INDEX(Lists!$D$6:$D$17,MATCH(I499,Lists!$B$6:$B$17,0))),""))</f>
        <v/>
      </c>
      <c r="BN499" s="76" t="str">
        <f aca="false">IF(AN499="","",MAX(BK499,_xlfn.MAXIFS(AN$6:AN499,BJ$6:BJ499,BJ499)))</f>
        <v/>
      </c>
      <c r="BO499" s="83" t="str">
        <f aca="false">IF(AN499="","",(AN499-BN499)/BN499)</f>
        <v/>
      </c>
      <c r="BP499" s="66" t="n">
        <f aca="false">IF(OR(B499="",AL499=""),0,IF(OR(Settings!$C$28="All Accounts",BJ499=Settings!$C$28),1,0))</f>
        <v>0</v>
      </c>
      <c r="BQ499" s="66" t="str">
        <f aca="false">IF(BP499=1,SUM(BP$6:BP499),"")</f>
        <v/>
      </c>
      <c r="BR499" s="76" t="str">
        <f aca="false">IF(BP499=1,ROUND(Settings!$C$29+SUMIFS(AM$6:AM499,BP$6:BP499,1),2),"")</f>
        <v/>
      </c>
      <c r="BS499" s="76" t="str">
        <f aca="false">IF(BP499=1,MAX(Settings!$C$29,MAX(BR$6:BR499)),"")</f>
        <v/>
      </c>
      <c r="BT499" s="83" t="str">
        <f aca="false">IF(BP499=1,(BR499-BS499)/BS499,"")</f>
        <v/>
      </c>
      <c r="BU499" s="66" t="str">
        <f aca="false">IF(BP499=1,IF(AL499="Win",1+IF(BQ499=1,0,INDEX(BU$5:BU498,MATCH(BQ499-1,BQ$5:BQ498,0))),0),"")</f>
        <v/>
      </c>
      <c r="BV499" s="66" t="str">
        <f aca="false">IF(BP499=1,IF(AL499="Loss",1+IF(BQ499=1,0,INDEX(BV$5:BV498,MATCH(BQ499-1,BQ$5:BQ498,0))),0),"")</f>
        <v/>
      </c>
    </row>
    <row r="500" customFormat="false" ht="15" hidden="false" customHeight="false" outlineLevel="0" collapsed="false">
      <c r="A500" s="66" t="str">
        <f aca="false">IF(B500="","",ROW()-5)</f>
        <v/>
      </c>
      <c r="B500" s="67"/>
      <c r="C500" s="68" t="str">
        <f aca="false">IF(B500="","",CHOOSE(WEEKDAY(B500,2),"Mon","Tue","Wed","Thu","Fri","Sat","Sun"))</f>
        <v/>
      </c>
      <c r="D500" s="66" t="str">
        <f aca="false">IF(B500="","",WEEKNUM(B500,2))</f>
        <v/>
      </c>
      <c r="E500" s="69"/>
      <c r="F500" s="69"/>
      <c r="G500" s="70"/>
      <c r="H500" s="70"/>
      <c r="I500" s="69"/>
      <c r="J500" s="69"/>
      <c r="K500" s="69"/>
      <c r="L500" s="71"/>
      <c r="M500" s="69"/>
      <c r="N500" s="69"/>
      <c r="O500" s="69"/>
      <c r="P500" s="71"/>
      <c r="Q500" s="69"/>
      <c r="R500" s="69"/>
      <c r="S500" s="69"/>
      <c r="T500" s="69"/>
      <c r="U500" s="69"/>
      <c r="V500" s="69"/>
      <c r="W500" s="69"/>
      <c r="X500" s="66" t="str">
        <f aca="false">IF(B500="","",COUNTIF(Q500:W500,"Yes"))</f>
        <v/>
      </c>
      <c r="Y500" s="68" t="str">
        <f aca="false">IF(B500="","",IF(X500&gt;=Settings!$C$16,"A+",IF(X500&gt;=Settings!$C$17,"A",IF(X500&gt;=Settings!$C$18,"B","C"))))</f>
        <v/>
      </c>
      <c r="Z500" s="72"/>
      <c r="AA500" s="72"/>
      <c r="AB500" s="72"/>
      <c r="AC500" s="72"/>
      <c r="AD500" s="72"/>
      <c r="AE500" s="72"/>
      <c r="AF500" s="73"/>
      <c r="AG500" s="74"/>
      <c r="AH500" s="75"/>
      <c r="AI500" s="76" t="str">
        <f aca="false">IF(B500="","",ROUND(IF(AG500="",Settings!$C$5,AG500)*AW500,2))</f>
        <v/>
      </c>
      <c r="AJ500" s="77" t="str">
        <f aca="false">IF(OR(B500="",AB500="",AC500="",AD500=""),"",IFERROR(ROUND(ABS(AD500-AB500)/ABS(AB500-AC500),2),""))</f>
        <v/>
      </c>
      <c r="AK500" s="78" t="str">
        <f aca="false">IF(OR(B500="",AB500="",AC500="",AE500=""),"",IFERROR(ROUND(IF(J500="Short",AB500-AE500,AE500-AB500)/ABS(AB500-AC500),2),""))</f>
        <v/>
      </c>
      <c r="AL500" s="68" t="str">
        <f aca="false">IF(AK500="","",IF(ABS(AK500)&lt;=Settings!$C$6,"BE",IF(AK500&gt;0,"Win","Loss")))</f>
        <v/>
      </c>
      <c r="AM500" s="79" t="str">
        <f aca="false">IF(OR(AK500="",AI500=""),"",ROUND(AK500*AI500-N(AH500),2))</f>
        <v/>
      </c>
      <c r="AN500" s="76" t="str">
        <f aca="false">IF(AM500="","",ROUND(BK500+SUMIFS(AM$6:AM500,BJ$6:BJ500,BJ500),2))</f>
        <v/>
      </c>
      <c r="AO500" s="78" t="str">
        <f aca="false">IF(AK500="","",ROUND(SUMIFS(AK$6:AK500,BJ$6:BJ500,BJ500),2))</f>
        <v/>
      </c>
      <c r="AP500" s="80" t="str">
        <f aca="false">IF(OR(AK500="",BL500=""),"",IFERROR(ROUND(IF(J500="Short",AB500-AE500,AE500-AB500)/BL500,1),""))</f>
        <v/>
      </c>
      <c r="AQ500" s="66" t="str">
        <f aca="false">IF(OR(G500="",H500=""),"",ROUND(MOD(H500-G500,1)*1440,0))</f>
        <v/>
      </c>
      <c r="AR500" s="68" t="str">
        <f aca="false">IF(AQ500="","",IF(AQ500&lt;15,"Under 15m",IF(AQ500&lt;60,"15-60m",IF(AQ500&lt;240,"1-4 hours","4+ hours"))))</f>
        <v/>
      </c>
      <c r="AS500" s="66" t="str">
        <f aca="false">IF(G500="","",HOUR(G500))</f>
        <v/>
      </c>
      <c r="AT500" s="80" t="str">
        <f aca="false">IF(OR(Z500="",AB500="",BL500=""),"",IFERROR(ROUND(IF(J500="Short",Z500-AB500,AB500-Z500)/BL500,1),""))</f>
        <v/>
      </c>
      <c r="AU500" s="68" t="str">
        <f aca="false">IF(OR(AA500="",AC500=""),"",IF(AA500=AC500,"No","Yes"))</f>
        <v/>
      </c>
      <c r="AV500" s="81" t="str">
        <f aca="false">IF(OR(B500="",BL500="",BM500="",AB500="",AC500=""),"",IFERROR(ROUND(AI500/(ABS(AB500-AC500)/BL500*BM500),2),""))</f>
        <v/>
      </c>
      <c r="AW500" s="76" t="str">
        <f aca="false">IF(B500="","",ROUND(BK500+SUMIFS(AM$5:AM499,BJ$5:BJ499,BJ500),2))</f>
        <v/>
      </c>
      <c r="AX500" s="66" t="str">
        <f aca="false">IF(B500="","",COUNTIFS(B$6:B500,B500,BJ$6:BJ500,BJ500))</f>
        <v/>
      </c>
      <c r="AY500" s="79" t="str">
        <f aca="false">IF(B500="","",ROUND(SUMIFS(AM$5:AM499,B$5:B499,B500,BJ$5:BJ499,BJ500),2))</f>
        <v/>
      </c>
      <c r="AZ500" s="79" t="str">
        <f aca="false">IF(AM500="","",ROUND(AY500+AM500,2))</f>
        <v/>
      </c>
      <c r="BA500" s="79" t="str">
        <f aca="false">IF(B500="","",ROUND(SUMIFS(AM$5:AM499,B$5:B499,"&gt;="&amp;(B500-WEEKDAY(B500,2)+1),B$5:B499,"&lt;="&amp;B500,BJ$5:BJ499,BJ500),2))</f>
        <v/>
      </c>
      <c r="BB500" s="68" t="str">
        <f aca="false">IF(B500="","",IF(AND(AF500&lt;&gt;"",AV500&lt;&gt;"",N(AF500)&gt;N(AV500)*(1+Settings!$C$13)),"Oversized",IF(AX500&gt;Settings!$C$10,"Overtraded",IF(AY500&lt;=-Settings!$C$11*(AW500-AY500),"Daily loss hit",IF(BA500&lt;=-Settings!$C$12*(AW500-BA500),"Weekly loss hit","OK")))))</f>
        <v/>
      </c>
      <c r="BC500" s="69"/>
      <c r="BD500" s="69"/>
      <c r="BE500" s="69"/>
      <c r="BF500" s="73"/>
      <c r="BG500" s="73"/>
      <c r="BH500" s="71"/>
      <c r="BI500" s="71"/>
      <c r="BJ500" s="68" t="str">
        <f aca="false">IF(B500="","",IF(E500="",Settings!$F$5,E500))</f>
        <v/>
      </c>
      <c r="BK500" s="76" t="str">
        <f aca="false">IF(B500="","",IFERROR(INDEX(Settings!$G$5:$G$10,MATCH(BJ500,Settings!$F$5:$F$10,0)),Settings!$G$5))</f>
        <v/>
      </c>
      <c r="BL500" s="82" t="str">
        <f aca="false">IF(I500="","",IFERROR(1/(1/INDEX(Lists!$C$6:$C$17,MATCH(I500,Lists!$B$6:$B$17,0))),""))</f>
        <v/>
      </c>
      <c r="BM500" s="81" t="str">
        <f aca="false">IF(I500="","",IFERROR(1/(1/INDEX(Lists!$D$6:$D$17,MATCH(I500,Lists!$B$6:$B$17,0))),""))</f>
        <v/>
      </c>
      <c r="BN500" s="76" t="str">
        <f aca="false">IF(AN500="","",MAX(BK500,_xlfn.MAXIFS(AN$6:AN500,BJ$6:BJ500,BJ500)))</f>
        <v/>
      </c>
      <c r="BO500" s="83" t="str">
        <f aca="false">IF(AN500="","",(AN500-BN500)/BN500)</f>
        <v/>
      </c>
      <c r="BP500" s="66" t="n">
        <f aca="false">IF(OR(B500="",AL500=""),0,IF(OR(Settings!$C$28="All Accounts",BJ500=Settings!$C$28),1,0))</f>
        <v>0</v>
      </c>
      <c r="BQ500" s="66" t="str">
        <f aca="false">IF(BP500=1,SUM(BP$6:BP500),"")</f>
        <v/>
      </c>
      <c r="BR500" s="76" t="str">
        <f aca="false">IF(BP500=1,ROUND(Settings!$C$29+SUMIFS(AM$6:AM500,BP$6:BP500,1),2),"")</f>
        <v/>
      </c>
      <c r="BS500" s="76" t="str">
        <f aca="false">IF(BP500=1,MAX(Settings!$C$29,MAX(BR$6:BR500)),"")</f>
        <v/>
      </c>
      <c r="BT500" s="83" t="str">
        <f aca="false">IF(BP500=1,(BR500-BS500)/BS500,"")</f>
        <v/>
      </c>
      <c r="BU500" s="66" t="str">
        <f aca="false">IF(BP500=1,IF(AL500="Win",1+IF(BQ500=1,0,INDEX(BU$5:BU499,MATCH(BQ500-1,BQ$5:BQ499,0))),0),"")</f>
        <v/>
      </c>
      <c r="BV500" s="66" t="str">
        <f aca="false">IF(BP500=1,IF(AL500="Loss",1+IF(BQ500=1,0,INDEX(BV$5:BV499,MATCH(BQ500-1,BQ$5:BQ499,0))),0),"")</f>
        <v/>
      </c>
    </row>
    <row r="501" customFormat="false" ht="15" hidden="false" customHeight="false" outlineLevel="0" collapsed="false">
      <c r="A501" s="66" t="str">
        <f aca="false">IF(B501="","",ROW()-5)</f>
        <v/>
      </c>
      <c r="B501" s="67"/>
      <c r="C501" s="68" t="str">
        <f aca="false">IF(B501="","",CHOOSE(WEEKDAY(B501,2),"Mon","Tue","Wed","Thu","Fri","Sat","Sun"))</f>
        <v/>
      </c>
      <c r="D501" s="66" t="str">
        <f aca="false">IF(B501="","",WEEKNUM(B501,2))</f>
        <v/>
      </c>
      <c r="E501" s="69"/>
      <c r="F501" s="69"/>
      <c r="G501" s="70"/>
      <c r="H501" s="70"/>
      <c r="I501" s="69"/>
      <c r="J501" s="69"/>
      <c r="K501" s="69"/>
      <c r="L501" s="71"/>
      <c r="M501" s="69"/>
      <c r="N501" s="69"/>
      <c r="O501" s="69"/>
      <c r="P501" s="71"/>
      <c r="Q501" s="69"/>
      <c r="R501" s="69"/>
      <c r="S501" s="69"/>
      <c r="T501" s="69"/>
      <c r="U501" s="69"/>
      <c r="V501" s="69"/>
      <c r="W501" s="69"/>
      <c r="X501" s="66" t="str">
        <f aca="false">IF(B501="","",COUNTIF(Q501:W501,"Yes"))</f>
        <v/>
      </c>
      <c r="Y501" s="68" t="str">
        <f aca="false">IF(B501="","",IF(X501&gt;=Settings!$C$16,"A+",IF(X501&gt;=Settings!$C$17,"A",IF(X501&gt;=Settings!$C$18,"B","C"))))</f>
        <v/>
      </c>
      <c r="Z501" s="72"/>
      <c r="AA501" s="72"/>
      <c r="AB501" s="72"/>
      <c r="AC501" s="72"/>
      <c r="AD501" s="72"/>
      <c r="AE501" s="72"/>
      <c r="AF501" s="73"/>
      <c r="AG501" s="74"/>
      <c r="AH501" s="75"/>
      <c r="AI501" s="76" t="str">
        <f aca="false">IF(B501="","",ROUND(IF(AG501="",Settings!$C$5,AG501)*AW501,2))</f>
        <v/>
      </c>
      <c r="AJ501" s="77" t="str">
        <f aca="false">IF(OR(B501="",AB501="",AC501="",AD501=""),"",IFERROR(ROUND(ABS(AD501-AB501)/ABS(AB501-AC501),2),""))</f>
        <v/>
      </c>
      <c r="AK501" s="78" t="str">
        <f aca="false">IF(OR(B501="",AB501="",AC501="",AE501=""),"",IFERROR(ROUND(IF(J501="Short",AB501-AE501,AE501-AB501)/ABS(AB501-AC501),2),""))</f>
        <v/>
      </c>
      <c r="AL501" s="68" t="str">
        <f aca="false">IF(AK501="","",IF(ABS(AK501)&lt;=Settings!$C$6,"BE",IF(AK501&gt;0,"Win","Loss")))</f>
        <v/>
      </c>
      <c r="AM501" s="79" t="str">
        <f aca="false">IF(OR(AK501="",AI501=""),"",ROUND(AK501*AI501-N(AH501),2))</f>
        <v/>
      </c>
      <c r="AN501" s="76" t="str">
        <f aca="false">IF(AM501="","",ROUND(BK501+SUMIFS(AM$6:AM501,BJ$6:BJ501,BJ501),2))</f>
        <v/>
      </c>
      <c r="AO501" s="78" t="str">
        <f aca="false">IF(AK501="","",ROUND(SUMIFS(AK$6:AK501,BJ$6:BJ501,BJ501),2))</f>
        <v/>
      </c>
      <c r="AP501" s="80" t="str">
        <f aca="false">IF(OR(AK501="",BL501=""),"",IFERROR(ROUND(IF(J501="Short",AB501-AE501,AE501-AB501)/BL501,1),""))</f>
        <v/>
      </c>
      <c r="AQ501" s="66" t="str">
        <f aca="false">IF(OR(G501="",H501=""),"",ROUND(MOD(H501-G501,1)*1440,0))</f>
        <v/>
      </c>
      <c r="AR501" s="68" t="str">
        <f aca="false">IF(AQ501="","",IF(AQ501&lt;15,"Under 15m",IF(AQ501&lt;60,"15-60m",IF(AQ501&lt;240,"1-4 hours","4+ hours"))))</f>
        <v/>
      </c>
      <c r="AS501" s="66" t="str">
        <f aca="false">IF(G501="","",HOUR(G501))</f>
        <v/>
      </c>
      <c r="AT501" s="80" t="str">
        <f aca="false">IF(OR(Z501="",AB501="",BL501=""),"",IFERROR(ROUND(IF(J501="Short",Z501-AB501,AB501-Z501)/BL501,1),""))</f>
        <v/>
      </c>
      <c r="AU501" s="68" t="str">
        <f aca="false">IF(OR(AA501="",AC501=""),"",IF(AA501=AC501,"No","Yes"))</f>
        <v/>
      </c>
      <c r="AV501" s="81" t="str">
        <f aca="false">IF(OR(B501="",BL501="",BM501="",AB501="",AC501=""),"",IFERROR(ROUND(AI501/(ABS(AB501-AC501)/BL501*BM501),2),""))</f>
        <v/>
      </c>
      <c r="AW501" s="76" t="str">
        <f aca="false">IF(B501="","",ROUND(BK501+SUMIFS(AM$5:AM500,BJ$5:BJ500,BJ501),2))</f>
        <v/>
      </c>
      <c r="AX501" s="66" t="str">
        <f aca="false">IF(B501="","",COUNTIFS(B$6:B501,B501,BJ$6:BJ501,BJ501))</f>
        <v/>
      </c>
      <c r="AY501" s="79" t="str">
        <f aca="false">IF(B501="","",ROUND(SUMIFS(AM$5:AM500,B$5:B500,B501,BJ$5:BJ500,BJ501),2))</f>
        <v/>
      </c>
      <c r="AZ501" s="79" t="str">
        <f aca="false">IF(AM501="","",ROUND(AY501+AM501,2))</f>
        <v/>
      </c>
      <c r="BA501" s="79" t="str">
        <f aca="false">IF(B501="","",ROUND(SUMIFS(AM$5:AM500,B$5:B500,"&gt;="&amp;(B501-WEEKDAY(B501,2)+1),B$5:B500,"&lt;="&amp;B501,BJ$5:BJ500,BJ501),2))</f>
        <v/>
      </c>
      <c r="BB501" s="68" t="str">
        <f aca="false">IF(B501="","",IF(AND(AF501&lt;&gt;"",AV501&lt;&gt;"",N(AF501)&gt;N(AV501)*(1+Settings!$C$13)),"Oversized",IF(AX501&gt;Settings!$C$10,"Overtraded",IF(AY501&lt;=-Settings!$C$11*(AW501-AY501),"Daily loss hit",IF(BA501&lt;=-Settings!$C$12*(AW501-BA501),"Weekly loss hit","OK")))))</f>
        <v/>
      </c>
      <c r="BC501" s="69"/>
      <c r="BD501" s="69"/>
      <c r="BE501" s="69"/>
      <c r="BF501" s="73"/>
      <c r="BG501" s="73"/>
      <c r="BH501" s="71"/>
      <c r="BI501" s="71"/>
      <c r="BJ501" s="68" t="str">
        <f aca="false">IF(B501="","",IF(E501="",Settings!$F$5,E501))</f>
        <v/>
      </c>
      <c r="BK501" s="76" t="str">
        <f aca="false">IF(B501="","",IFERROR(INDEX(Settings!$G$5:$G$10,MATCH(BJ501,Settings!$F$5:$F$10,0)),Settings!$G$5))</f>
        <v/>
      </c>
      <c r="BL501" s="82" t="str">
        <f aca="false">IF(I501="","",IFERROR(1/(1/INDEX(Lists!$C$6:$C$17,MATCH(I501,Lists!$B$6:$B$17,0))),""))</f>
        <v/>
      </c>
      <c r="BM501" s="81" t="str">
        <f aca="false">IF(I501="","",IFERROR(1/(1/INDEX(Lists!$D$6:$D$17,MATCH(I501,Lists!$B$6:$B$17,0))),""))</f>
        <v/>
      </c>
      <c r="BN501" s="76" t="str">
        <f aca="false">IF(AN501="","",MAX(BK501,_xlfn.MAXIFS(AN$6:AN501,BJ$6:BJ501,BJ501)))</f>
        <v/>
      </c>
      <c r="BO501" s="83" t="str">
        <f aca="false">IF(AN501="","",(AN501-BN501)/BN501)</f>
        <v/>
      </c>
      <c r="BP501" s="66" t="n">
        <f aca="false">IF(OR(B501="",AL501=""),0,IF(OR(Settings!$C$28="All Accounts",BJ501=Settings!$C$28),1,0))</f>
        <v>0</v>
      </c>
      <c r="BQ501" s="66" t="str">
        <f aca="false">IF(BP501=1,SUM(BP$6:BP501),"")</f>
        <v/>
      </c>
      <c r="BR501" s="76" t="str">
        <f aca="false">IF(BP501=1,ROUND(Settings!$C$29+SUMIFS(AM$6:AM501,BP$6:BP501,1),2),"")</f>
        <v/>
      </c>
      <c r="BS501" s="76" t="str">
        <f aca="false">IF(BP501=1,MAX(Settings!$C$29,MAX(BR$6:BR501)),"")</f>
        <v/>
      </c>
      <c r="BT501" s="83" t="str">
        <f aca="false">IF(BP501=1,(BR501-BS501)/BS501,"")</f>
        <v/>
      </c>
      <c r="BU501" s="66" t="str">
        <f aca="false">IF(BP501=1,IF(AL501="Win",1+IF(BQ501=1,0,INDEX(BU$5:BU500,MATCH(BQ501-1,BQ$5:BQ500,0))),0),"")</f>
        <v/>
      </c>
      <c r="BV501" s="66" t="str">
        <f aca="false">IF(BP501=1,IF(AL501="Loss",1+IF(BQ501=1,0,INDEX(BV$5:BV500,MATCH(BQ501-1,BQ$5:BQ500,0))),0),"")</f>
        <v/>
      </c>
    </row>
    <row r="502" customFormat="false" ht="15" hidden="false" customHeight="false" outlineLevel="0" collapsed="false">
      <c r="A502" s="66" t="str">
        <f aca="false">IF(B502="","",ROW()-5)</f>
        <v/>
      </c>
      <c r="B502" s="67"/>
      <c r="C502" s="68" t="str">
        <f aca="false">IF(B502="","",CHOOSE(WEEKDAY(B502,2),"Mon","Tue","Wed","Thu","Fri","Sat","Sun"))</f>
        <v/>
      </c>
      <c r="D502" s="66" t="str">
        <f aca="false">IF(B502="","",WEEKNUM(B502,2))</f>
        <v/>
      </c>
      <c r="E502" s="69"/>
      <c r="F502" s="69"/>
      <c r="G502" s="70"/>
      <c r="H502" s="70"/>
      <c r="I502" s="69"/>
      <c r="J502" s="69"/>
      <c r="K502" s="69"/>
      <c r="L502" s="71"/>
      <c r="M502" s="69"/>
      <c r="N502" s="69"/>
      <c r="O502" s="69"/>
      <c r="P502" s="71"/>
      <c r="Q502" s="69"/>
      <c r="R502" s="69"/>
      <c r="S502" s="69"/>
      <c r="T502" s="69"/>
      <c r="U502" s="69"/>
      <c r="V502" s="69"/>
      <c r="W502" s="69"/>
      <c r="X502" s="66" t="str">
        <f aca="false">IF(B502="","",COUNTIF(Q502:W502,"Yes"))</f>
        <v/>
      </c>
      <c r="Y502" s="68" t="str">
        <f aca="false">IF(B502="","",IF(X502&gt;=Settings!$C$16,"A+",IF(X502&gt;=Settings!$C$17,"A",IF(X502&gt;=Settings!$C$18,"B","C"))))</f>
        <v/>
      </c>
      <c r="Z502" s="72"/>
      <c r="AA502" s="72"/>
      <c r="AB502" s="72"/>
      <c r="AC502" s="72"/>
      <c r="AD502" s="72"/>
      <c r="AE502" s="72"/>
      <c r="AF502" s="73"/>
      <c r="AG502" s="74"/>
      <c r="AH502" s="75"/>
      <c r="AI502" s="76" t="str">
        <f aca="false">IF(B502="","",ROUND(IF(AG502="",Settings!$C$5,AG502)*AW502,2))</f>
        <v/>
      </c>
      <c r="AJ502" s="77" t="str">
        <f aca="false">IF(OR(B502="",AB502="",AC502="",AD502=""),"",IFERROR(ROUND(ABS(AD502-AB502)/ABS(AB502-AC502),2),""))</f>
        <v/>
      </c>
      <c r="AK502" s="78" t="str">
        <f aca="false">IF(OR(B502="",AB502="",AC502="",AE502=""),"",IFERROR(ROUND(IF(J502="Short",AB502-AE502,AE502-AB502)/ABS(AB502-AC502),2),""))</f>
        <v/>
      </c>
      <c r="AL502" s="68" t="str">
        <f aca="false">IF(AK502="","",IF(ABS(AK502)&lt;=Settings!$C$6,"BE",IF(AK502&gt;0,"Win","Loss")))</f>
        <v/>
      </c>
      <c r="AM502" s="79" t="str">
        <f aca="false">IF(OR(AK502="",AI502=""),"",ROUND(AK502*AI502-N(AH502),2))</f>
        <v/>
      </c>
      <c r="AN502" s="76" t="str">
        <f aca="false">IF(AM502="","",ROUND(BK502+SUMIFS(AM$6:AM502,BJ$6:BJ502,BJ502),2))</f>
        <v/>
      </c>
      <c r="AO502" s="78" t="str">
        <f aca="false">IF(AK502="","",ROUND(SUMIFS(AK$6:AK502,BJ$6:BJ502,BJ502),2))</f>
        <v/>
      </c>
      <c r="AP502" s="80" t="str">
        <f aca="false">IF(OR(AK502="",BL502=""),"",IFERROR(ROUND(IF(J502="Short",AB502-AE502,AE502-AB502)/BL502,1),""))</f>
        <v/>
      </c>
      <c r="AQ502" s="66" t="str">
        <f aca="false">IF(OR(G502="",H502=""),"",ROUND(MOD(H502-G502,1)*1440,0))</f>
        <v/>
      </c>
      <c r="AR502" s="68" t="str">
        <f aca="false">IF(AQ502="","",IF(AQ502&lt;15,"Under 15m",IF(AQ502&lt;60,"15-60m",IF(AQ502&lt;240,"1-4 hours","4+ hours"))))</f>
        <v/>
      </c>
      <c r="AS502" s="66" t="str">
        <f aca="false">IF(G502="","",HOUR(G502))</f>
        <v/>
      </c>
      <c r="AT502" s="80" t="str">
        <f aca="false">IF(OR(Z502="",AB502="",BL502=""),"",IFERROR(ROUND(IF(J502="Short",Z502-AB502,AB502-Z502)/BL502,1),""))</f>
        <v/>
      </c>
      <c r="AU502" s="68" t="str">
        <f aca="false">IF(OR(AA502="",AC502=""),"",IF(AA502=AC502,"No","Yes"))</f>
        <v/>
      </c>
      <c r="AV502" s="81" t="str">
        <f aca="false">IF(OR(B502="",BL502="",BM502="",AB502="",AC502=""),"",IFERROR(ROUND(AI502/(ABS(AB502-AC502)/BL502*BM502),2),""))</f>
        <v/>
      </c>
      <c r="AW502" s="76" t="str">
        <f aca="false">IF(B502="","",ROUND(BK502+SUMIFS(AM$5:AM501,BJ$5:BJ501,BJ502),2))</f>
        <v/>
      </c>
      <c r="AX502" s="66" t="str">
        <f aca="false">IF(B502="","",COUNTIFS(B$6:B502,B502,BJ$6:BJ502,BJ502))</f>
        <v/>
      </c>
      <c r="AY502" s="79" t="str">
        <f aca="false">IF(B502="","",ROUND(SUMIFS(AM$5:AM501,B$5:B501,B502,BJ$5:BJ501,BJ502),2))</f>
        <v/>
      </c>
      <c r="AZ502" s="79" t="str">
        <f aca="false">IF(AM502="","",ROUND(AY502+AM502,2))</f>
        <v/>
      </c>
      <c r="BA502" s="79" t="str">
        <f aca="false">IF(B502="","",ROUND(SUMIFS(AM$5:AM501,B$5:B501,"&gt;="&amp;(B502-WEEKDAY(B502,2)+1),B$5:B501,"&lt;="&amp;B502,BJ$5:BJ501,BJ502),2))</f>
        <v/>
      </c>
      <c r="BB502" s="68" t="str">
        <f aca="false">IF(B502="","",IF(AND(AF502&lt;&gt;"",AV502&lt;&gt;"",N(AF502)&gt;N(AV502)*(1+Settings!$C$13)),"Oversized",IF(AX502&gt;Settings!$C$10,"Overtraded",IF(AY502&lt;=-Settings!$C$11*(AW502-AY502),"Daily loss hit",IF(BA502&lt;=-Settings!$C$12*(AW502-BA502),"Weekly loss hit","OK")))))</f>
        <v/>
      </c>
      <c r="BC502" s="69"/>
      <c r="BD502" s="69"/>
      <c r="BE502" s="69"/>
      <c r="BF502" s="73"/>
      <c r="BG502" s="73"/>
      <c r="BH502" s="71"/>
      <c r="BI502" s="71"/>
      <c r="BJ502" s="68" t="str">
        <f aca="false">IF(B502="","",IF(E502="",Settings!$F$5,E502))</f>
        <v/>
      </c>
      <c r="BK502" s="76" t="str">
        <f aca="false">IF(B502="","",IFERROR(INDEX(Settings!$G$5:$G$10,MATCH(BJ502,Settings!$F$5:$F$10,0)),Settings!$G$5))</f>
        <v/>
      </c>
      <c r="BL502" s="82" t="str">
        <f aca="false">IF(I502="","",IFERROR(1/(1/INDEX(Lists!$C$6:$C$17,MATCH(I502,Lists!$B$6:$B$17,0))),""))</f>
        <v/>
      </c>
      <c r="BM502" s="81" t="str">
        <f aca="false">IF(I502="","",IFERROR(1/(1/INDEX(Lists!$D$6:$D$17,MATCH(I502,Lists!$B$6:$B$17,0))),""))</f>
        <v/>
      </c>
      <c r="BN502" s="76" t="str">
        <f aca="false">IF(AN502="","",MAX(BK502,_xlfn.MAXIFS(AN$6:AN502,BJ$6:BJ502,BJ502)))</f>
        <v/>
      </c>
      <c r="BO502" s="83" t="str">
        <f aca="false">IF(AN502="","",(AN502-BN502)/BN502)</f>
        <v/>
      </c>
      <c r="BP502" s="66" t="n">
        <f aca="false">IF(OR(B502="",AL502=""),0,IF(OR(Settings!$C$28="All Accounts",BJ502=Settings!$C$28),1,0))</f>
        <v>0</v>
      </c>
      <c r="BQ502" s="66" t="str">
        <f aca="false">IF(BP502=1,SUM(BP$6:BP502),"")</f>
        <v/>
      </c>
      <c r="BR502" s="76" t="str">
        <f aca="false">IF(BP502=1,ROUND(Settings!$C$29+SUMIFS(AM$6:AM502,BP$6:BP502,1),2),"")</f>
        <v/>
      </c>
      <c r="BS502" s="76" t="str">
        <f aca="false">IF(BP502=1,MAX(Settings!$C$29,MAX(BR$6:BR502)),"")</f>
        <v/>
      </c>
      <c r="BT502" s="83" t="str">
        <f aca="false">IF(BP502=1,(BR502-BS502)/BS502,"")</f>
        <v/>
      </c>
      <c r="BU502" s="66" t="str">
        <f aca="false">IF(BP502=1,IF(AL502="Win",1+IF(BQ502=1,0,INDEX(BU$5:BU501,MATCH(BQ502-1,BQ$5:BQ501,0))),0),"")</f>
        <v/>
      </c>
      <c r="BV502" s="66" t="str">
        <f aca="false">IF(BP502=1,IF(AL502="Loss",1+IF(BQ502=1,0,INDEX(BV$5:BV501,MATCH(BQ502-1,BQ$5:BQ501,0))),0),"")</f>
        <v/>
      </c>
    </row>
    <row r="503" customFormat="false" ht="15" hidden="false" customHeight="false" outlineLevel="0" collapsed="false">
      <c r="A503" s="66" t="str">
        <f aca="false">IF(B503="","",ROW()-5)</f>
        <v/>
      </c>
      <c r="B503" s="67"/>
      <c r="C503" s="68" t="str">
        <f aca="false">IF(B503="","",CHOOSE(WEEKDAY(B503,2),"Mon","Tue","Wed","Thu","Fri","Sat","Sun"))</f>
        <v/>
      </c>
      <c r="D503" s="66" t="str">
        <f aca="false">IF(B503="","",WEEKNUM(B503,2))</f>
        <v/>
      </c>
      <c r="E503" s="69"/>
      <c r="F503" s="69"/>
      <c r="G503" s="70"/>
      <c r="H503" s="70"/>
      <c r="I503" s="69"/>
      <c r="J503" s="69"/>
      <c r="K503" s="69"/>
      <c r="L503" s="71"/>
      <c r="M503" s="69"/>
      <c r="N503" s="69"/>
      <c r="O503" s="69"/>
      <c r="P503" s="71"/>
      <c r="Q503" s="69"/>
      <c r="R503" s="69"/>
      <c r="S503" s="69"/>
      <c r="T503" s="69"/>
      <c r="U503" s="69"/>
      <c r="V503" s="69"/>
      <c r="W503" s="69"/>
      <c r="X503" s="66" t="str">
        <f aca="false">IF(B503="","",COUNTIF(Q503:W503,"Yes"))</f>
        <v/>
      </c>
      <c r="Y503" s="68" t="str">
        <f aca="false">IF(B503="","",IF(X503&gt;=Settings!$C$16,"A+",IF(X503&gt;=Settings!$C$17,"A",IF(X503&gt;=Settings!$C$18,"B","C"))))</f>
        <v/>
      </c>
      <c r="Z503" s="72"/>
      <c r="AA503" s="72"/>
      <c r="AB503" s="72"/>
      <c r="AC503" s="72"/>
      <c r="AD503" s="72"/>
      <c r="AE503" s="72"/>
      <c r="AF503" s="73"/>
      <c r="AG503" s="74"/>
      <c r="AH503" s="75"/>
      <c r="AI503" s="76" t="str">
        <f aca="false">IF(B503="","",ROUND(IF(AG503="",Settings!$C$5,AG503)*AW503,2))</f>
        <v/>
      </c>
      <c r="AJ503" s="77" t="str">
        <f aca="false">IF(OR(B503="",AB503="",AC503="",AD503=""),"",IFERROR(ROUND(ABS(AD503-AB503)/ABS(AB503-AC503),2),""))</f>
        <v/>
      </c>
      <c r="AK503" s="78" t="str">
        <f aca="false">IF(OR(B503="",AB503="",AC503="",AE503=""),"",IFERROR(ROUND(IF(J503="Short",AB503-AE503,AE503-AB503)/ABS(AB503-AC503),2),""))</f>
        <v/>
      </c>
      <c r="AL503" s="68" t="str">
        <f aca="false">IF(AK503="","",IF(ABS(AK503)&lt;=Settings!$C$6,"BE",IF(AK503&gt;0,"Win","Loss")))</f>
        <v/>
      </c>
      <c r="AM503" s="79" t="str">
        <f aca="false">IF(OR(AK503="",AI503=""),"",ROUND(AK503*AI503-N(AH503),2))</f>
        <v/>
      </c>
      <c r="AN503" s="76" t="str">
        <f aca="false">IF(AM503="","",ROUND(BK503+SUMIFS(AM$6:AM503,BJ$6:BJ503,BJ503),2))</f>
        <v/>
      </c>
      <c r="AO503" s="78" t="str">
        <f aca="false">IF(AK503="","",ROUND(SUMIFS(AK$6:AK503,BJ$6:BJ503,BJ503),2))</f>
        <v/>
      </c>
      <c r="AP503" s="80" t="str">
        <f aca="false">IF(OR(AK503="",BL503=""),"",IFERROR(ROUND(IF(J503="Short",AB503-AE503,AE503-AB503)/BL503,1),""))</f>
        <v/>
      </c>
      <c r="AQ503" s="66" t="str">
        <f aca="false">IF(OR(G503="",H503=""),"",ROUND(MOD(H503-G503,1)*1440,0))</f>
        <v/>
      </c>
      <c r="AR503" s="68" t="str">
        <f aca="false">IF(AQ503="","",IF(AQ503&lt;15,"Under 15m",IF(AQ503&lt;60,"15-60m",IF(AQ503&lt;240,"1-4 hours","4+ hours"))))</f>
        <v/>
      </c>
      <c r="AS503" s="66" t="str">
        <f aca="false">IF(G503="","",HOUR(G503))</f>
        <v/>
      </c>
      <c r="AT503" s="80" t="str">
        <f aca="false">IF(OR(Z503="",AB503="",BL503=""),"",IFERROR(ROUND(IF(J503="Short",Z503-AB503,AB503-Z503)/BL503,1),""))</f>
        <v/>
      </c>
      <c r="AU503" s="68" t="str">
        <f aca="false">IF(OR(AA503="",AC503=""),"",IF(AA503=AC503,"No","Yes"))</f>
        <v/>
      </c>
      <c r="AV503" s="81" t="str">
        <f aca="false">IF(OR(B503="",BL503="",BM503="",AB503="",AC503=""),"",IFERROR(ROUND(AI503/(ABS(AB503-AC503)/BL503*BM503),2),""))</f>
        <v/>
      </c>
      <c r="AW503" s="76" t="str">
        <f aca="false">IF(B503="","",ROUND(BK503+SUMIFS(AM$5:AM502,BJ$5:BJ502,BJ503),2))</f>
        <v/>
      </c>
      <c r="AX503" s="66" t="str">
        <f aca="false">IF(B503="","",COUNTIFS(B$6:B503,B503,BJ$6:BJ503,BJ503))</f>
        <v/>
      </c>
      <c r="AY503" s="79" t="str">
        <f aca="false">IF(B503="","",ROUND(SUMIFS(AM$5:AM502,B$5:B502,B503,BJ$5:BJ502,BJ503),2))</f>
        <v/>
      </c>
      <c r="AZ503" s="79" t="str">
        <f aca="false">IF(AM503="","",ROUND(AY503+AM503,2))</f>
        <v/>
      </c>
      <c r="BA503" s="79" t="str">
        <f aca="false">IF(B503="","",ROUND(SUMIFS(AM$5:AM502,B$5:B502,"&gt;="&amp;(B503-WEEKDAY(B503,2)+1),B$5:B502,"&lt;="&amp;B503,BJ$5:BJ502,BJ503),2))</f>
        <v/>
      </c>
      <c r="BB503" s="68" t="str">
        <f aca="false">IF(B503="","",IF(AND(AF503&lt;&gt;"",AV503&lt;&gt;"",N(AF503)&gt;N(AV503)*(1+Settings!$C$13)),"Oversized",IF(AX503&gt;Settings!$C$10,"Overtraded",IF(AY503&lt;=-Settings!$C$11*(AW503-AY503),"Daily loss hit",IF(BA503&lt;=-Settings!$C$12*(AW503-BA503),"Weekly loss hit","OK")))))</f>
        <v/>
      </c>
      <c r="BC503" s="69"/>
      <c r="BD503" s="69"/>
      <c r="BE503" s="69"/>
      <c r="BF503" s="73"/>
      <c r="BG503" s="73"/>
      <c r="BH503" s="71"/>
      <c r="BI503" s="71"/>
      <c r="BJ503" s="68" t="str">
        <f aca="false">IF(B503="","",IF(E503="",Settings!$F$5,E503))</f>
        <v/>
      </c>
      <c r="BK503" s="76" t="str">
        <f aca="false">IF(B503="","",IFERROR(INDEX(Settings!$G$5:$G$10,MATCH(BJ503,Settings!$F$5:$F$10,0)),Settings!$G$5))</f>
        <v/>
      </c>
      <c r="BL503" s="82" t="str">
        <f aca="false">IF(I503="","",IFERROR(1/(1/INDEX(Lists!$C$6:$C$17,MATCH(I503,Lists!$B$6:$B$17,0))),""))</f>
        <v/>
      </c>
      <c r="BM503" s="81" t="str">
        <f aca="false">IF(I503="","",IFERROR(1/(1/INDEX(Lists!$D$6:$D$17,MATCH(I503,Lists!$B$6:$B$17,0))),""))</f>
        <v/>
      </c>
      <c r="BN503" s="76" t="str">
        <f aca="false">IF(AN503="","",MAX(BK503,_xlfn.MAXIFS(AN$6:AN503,BJ$6:BJ503,BJ503)))</f>
        <v/>
      </c>
      <c r="BO503" s="83" t="str">
        <f aca="false">IF(AN503="","",(AN503-BN503)/BN503)</f>
        <v/>
      </c>
      <c r="BP503" s="66" t="n">
        <f aca="false">IF(OR(B503="",AL503=""),0,IF(OR(Settings!$C$28="All Accounts",BJ503=Settings!$C$28),1,0))</f>
        <v>0</v>
      </c>
      <c r="BQ503" s="66" t="str">
        <f aca="false">IF(BP503=1,SUM(BP$6:BP503),"")</f>
        <v/>
      </c>
      <c r="BR503" s="76" t="str">
        <f aca="false">IF(BP503=1,ROUND(Settings!$C$29+SUMIFS(AM$6:AM503,BP$6:BP503,1),2),"")</f>
        <v/>
      </c>
      <c r="BS503" s="76" t="str">
        <f aca="false">IF(BP503=1,MAX(Settings!$C$29,MAX(BR$6:BR503)),"")</f>
        <v/>
      </c>
      <c r="BT503" s="83" t="str">
        <f aca="false">IF(BP503=1,(BR503-BS503)/BS503,"")</f>
        <v/>
      </c>
      <c r="BU503" s="66" t="str">
        <f aca="false">IF(BP503=1,IF(AL503="Win",1+IF(BQ503=1,0,INDEX(BU$5:BU502,MATCH(BQ503-1,BQ$5:BQ502,0))),0),"")</f>
        <v/>
      </c>
      <c r="BV503" s="66" t="str">
        <f aca="false">IF(BP503=1,IF(AL503="Loss",1+IF(BQ503=1,0,INDEX(BV$5:BV502,MATCH(BQ503-1,BQ$5:BQ502,0))),0),"")</f>
        <v/>
      </c>
    </row>
    <row r="504" customFormat="false" ht="15" hidden="false" customHeight="false" outlineLevel="0" collapsed="false">
      <c r="A504" s="66" t="str">
        <f aca="false">IF(B504="","",ROW()-5)</f>
        <v/>
      </c>
      <c r="B504" s="67"/>
      <c r="C504" s="68" t="str">
        <f aca="false">IF(B504="","",CHOOSE(WEEKDAY(B504,2),"Mon","Tue","Wed","Thu","Fri","Sat","Sun"))</f>
        <v/>
      </c>
      <c r="D504" s="66" t="str">
        <f aca="false">IF(B504="","",WEEKNUM(B504,2))</f>
        <v/>
      </c>
      <c r="E504" s="69"/>
      <c r="F504" s="69"/>
      <c r="G504" s="70"/>
      <c r="H504" s="70"/>
      <c r="I504" s="69"/>
      <c r="J504" s="69"/>
      <c r="K504" s="69"/>
      <c r="L504" s="71"/>
      <c r="M504" s="69"/>
      <c r="N504" s="69"/>
      <c r="O504" s="69"/>
      <c r="P504" s="71"/>
      <c r="Q504" s="69"/>
      <c r="R504" s="69"/>
      <c r="S504" s="69"/>
      <c r="T504" s="69"/>
      <c r="U504" s="69"/>
      <c r="V504" s="69"/>
      <c r="W504" s="69"/>
      <c r="X504" s="66" t="str">
        <f aca="false">IF(B504="","",COUNTIF(Q504:W504,"Yes"))</f>
        <v/>
      </c>
      <c r="Y504" s="68" t="str">
        <f aca="false">IF(B504="","",IF(X504&gt;=Settings!$C$16,"A+",IF(X504&gt;=Settings!$C$17,"A",IF(X504&gt;=Settings!$C$18,"B","C"))))</f>
        <v/>
      </c>
      <c r="Z504" s="72"/>
      <c r="AA504" s="72"/>
      <c r="AB504" s="72"/>
      <c r="AC504" s="72"/>
      <c r="AD504" s="72"/>
      <c r="AE504" s="72"/>
      <c r="AF504" s="73"/>
      <c r="AG504" s="74"/>
      <c r="AH504" s="75"/>
      <c r="AI504" s="76" t="str">
        <f aca="false">IF(B504="","",ROUND(IF(AG504="",Settings!$C$5,AG504)*AW504,2))</f>
        <v/>
      </c>
      <c r="AJ504" s="77" t="str">
        <f aca="false">IF(OR(B504="",AB504="",AC504="",AD504=""),"",IFERROR(ROUND(ABS(AD504-AB504)/ABS(AB504-AC504),2),""))</f>
        <v/>
      </c>
      <c r="AK504" s="78" t="str">
        <f aca="false">IF(OR(B504="",AB504="",AC504="",AE504=""),"",IFERROR(ROUND(IF(J504="Short",AB504-AE504,AE504-AB504)/ABS(AB504-AC504),2),""))</f>
        <v/>
      </c>
      <c r="AL504" s="68" t="str">
        <f aca="false">IF(AK504="","",IF(ABS(AK504)&lt;=Settings!$C$6,"BE",IF(AK504&gt;0,"Win","Loss")))</f>
        <v/>
      </c>
      <c r="AM504" s="79" t="str">
        <f aca="false">IF(OR(AK504="",AI504=""),"",ROUND(AK504*AI504-N(AH504),2))</f>
        <v/>
      </c>
      <c r="AN504" s="76" t="str">
        <f aca="false">IF(AM504="","",ROUND(BK504+SUMIFS(AM$6:AM504,BJ$6:BJ504,BJ504),2))</f>
        <v/>
      </c>
      <c r="AO504" s="78" t="str">
        <f aca="false">IF(AK504="","",ROUND(SUMIFS(AK$6:AK504,BJ$6:BJ504,BJ504),2))</f>
        <v/>
      </c>
      <c r="AP504" s="80" t="str">
        <f aca="false">IF(OR(AK504="",BL504=""),"",IFERROR(ROUND(IF(J504="Short",AB504-AE504,AE504-AB504)/BL504,1),""))</f>
        <v/>
      </c>
      <c r="AQ504" s="66" t="str">
        <f aca="false">IF(OR(G504="",H504=""),"",ROUND(MOD(H504-G504,1)*1440,0))</f>
        <v/>
      </c>
      <c r="AR504" s="68" t="str">
        <f aca="false">IF(AQ504="","",IF(AQ504&lt;15,"Under 15m",IF(AQ504&lt;60,"15-60m",IF(AQ504&lt;240,"1-4 hours","4+ hours"))))</f>
        <v/>
      </c>
      <c r="AS504" s="66" t="str">
        <f aca="false">IF(G504="","",HOUR(G504))</f>
        <v/>
      </c>
      <c r="AT504" s="80" t="str">
        <f aca="false">IF(OR(Z504="",AB504="",BL504=""),"",IFERROR(ROUND(IF(J504="Short",Z504-AB504,AB504-Z504)/BL504,1),""))</f>
        <v/>
      </c>
      <c r="AU504" s="68" t="str">
        <f aca="false">IF(OR(AA504="",AC504=""),"",IF(AA504=AC504,"No","Yes"))</f>
        <v/>
      </c>
      <c r="AV504" s="81" t="str">
        <f aca="false">IF(OR(B504="",BL504="",BM504="",AB504="",AC504=""),"",IFERROR(ROUND(AI504/(ABS(AB504-AC504)/BL504*BM504),2),""))</f>
        <v/>
      </c>
      <c r="AW504" s="76" t="str">
        <f aca="false">IF(B504="","",ROUND(BK504+SUMIFS(AM$5:AM503,BJ$5:BJ503,BJ504),2))</f>
        <v/>
      </c>
      <c r="AX504" s="66" t="str">
        <f aca="false">IF(B504="","",COUNTIFS(B$6:B504,B504,BJ$6:BJ504,BJ504))</f>
        <v/>
      </c>
      <c r="AY504" s="79" t="str">
        <f aca="false">IF(B504="","",ROUND(SUMIFS(AM$5:AM503,B$5:B503,B504,BJ$5:BJ503,BJ504),2))</f>
        <v/>
      </c>
      <c r="AZ504" s="79" t="str">
        <f aca="false">IF(AM504="","",ROUND(AY504+AM504,2))</f>
        <v/>
      </c>
      <c r="BA504" s="79" t="str">
        <f aca="false">IF(B504="","",ROUND(SUMIFS(AM$5:AM503,B$5:B503,"&gt;="&amp;(B504-WEEKDAY(B504,2)+1),B$5:B503,"&lt;="&amp;B504,BJ$5:BJ503,BJ504),2))</f>
        <v/>
      </c>
      <c r="BB504" s="68" t="str">
        <f aca="false">IF(B504="","",IF(AND(AF504&lt;&gt;"",AV504&lt;&gt;"",N(AF504)&gt;N(AV504)*(1+Settings!$C$13)),"Oversized",IF(AX504&gt;Settings!$C$10,"Overtraded",IF(AY504&lt;=-Settings!$C$11*(AW504-AY504),"Daily loss hit",IF(BA504&lt;=-Settings!$C$12*(AW504-BA504),"Weekly loss hit","OK")))))</f>
        <v/>
      </c>
      <c r="BC504" s="69"/>
      <c r="BD504" s="69"/>
      <c r="BE504" s="69"/>
      <c r="BF504" s="73"/>
      <c r="BG504" s="73"/>
      <c r="BH504" s="71"/>
      <c r="BI504" s="71"/>
      <c r="BJ504" s="68" t="str">
        <f aca="false">IF(B504="","",IF(E504="",Settings!$F$5,E504))</f>
        <v/>
      </c>
      <c r="BK504" s="76" t="str">
        <f aca="false">IF(B504="","",IFERROR(INDEX(Settings!$G$5:$G$10,MATCH(BJ504,Settings!$F$5:$F$10,0)),Settings!$G$5))</f>
        <v/>
      </c>
      <c r="BL504" s="82" t="str">
        <f aca="false">IF(I504="","",IFERROR(1/(1/INDEX(Lists!$C$6:$C$17,MATCH(I504,Lists!$B$6:$B$17,0))),""))</f>
        <v/>
      </c>
      <c r="BM504" s="81" t="str">
        <f aca="false">IF(I504="","",IFERROR(1/(1/INDEX(Lists!$D$6:$D$17,MATCH(I504,Lists!$B$6:$B$17,0))),""))</f>
        <v/>
      </c>
      <c r="BN504" s="76" t="str">
        <f aca="false">IF(AN504="","",MAX(BK504,_xlfn.MAXIFS(AN$6:AN504,BJ$6:BJ504,BJ504)))</f>
        <v/>
      </c>
      <c r="BO504" s="83" t="str">
        <f aca="false">IF(AN504="","",(AN504-BN504)/BN504)</f>
        <v/>
      </c>
      <c r="BP504" s="66" t="n">
        <f aca="false">IF(OR(B504="",AL504=""),0,IF(OR(Settings!$C$28="All Accounts",BJ504=Settings!$C$28),1,0))</f>
        <v>0</v>
      </c>
      <c r="BQ504" s="66" t="str">
        <f aca="false">IF(BP504=1,SUM(BP$6:BP504),"")</f>
        <v/>
      </c>
      <c r="BR504" s="76" t="str">
        <f aca="false">IF(BP504=1,ROUND(Settings!$C$29+SUMIFS(AM$6:AM504,BP$6:BP504,1),2),"")</f>
        <v/>
      </c>
      <c r="BS504" s="76" t="str">
        <f aca="false">IF(BP504=1,MAX(Settings!$C$29,MAX(BR$6:BR504)),"")</f>
        <v/>
      </c>
      <c r="BT504" s="83" t="str">
        <f aca="false">IF(BP504=1,(BR504-BS504)/BS504,"")</f>
        <v/>
      </c>
      <c r="BU504" s="66" t="str">
        <f aca="false">IF(BP504=1,IF(AL504="Win",1+IF(BQ504=1,0,INDEX(BU$5:BU503,MATCH(BQ504-1,BQ$5:BQ503,0))),0),"")</f>
        <v/>
      </c>
      <c r="BV504" s="66" t="str">
        <f aca="false">IF(BP504=1,IF(AL504="Loss",1+IF(BQ504=1,0,INDEX(BV$5:BV503,MATCH(BQ504-1,BQ$5:BQ503,0))),0),"")</f>
        <v/>
      </c>
    </row>
    <row r="505" customFormat="false" ht="15" hidden="false" customHeight="false" outlineLevel="0" collapsed="false">
      <c r="A505" s="66" t="str">
        <f aca="false">IF(B505="","",ROW()-5)</f>
        <v/>
      </c>
      <c r="B505" s="67"/>
      <c r="C505" s="68" t="str">
        <f aca="false">IF(B505="","",CHOOSE(WEEKDAY(B505,2),"Mon","Tue","Wed","Thu","Fri","Sat","Sun"))</f>
        <v/>
      </c>
      <c r="D505" s="66" t="str">
        <f aca="false">IF(B505="","",WEEKNUM(B505,2))</f>
        <v/>
      </c>
      <c r="E505" s="69"/>
      <c r="F505" s="69"/>
      <c r="G505" s="70"/>
      <c r="H505" s="70"/>
      <c r="I505" s="69"/>
      <c r="J505" s="69"/>
      <c r="K505" s="69"/>
      <c r="L505" s="71"/>
      <c r="M505" s="69"/>
      <c r="N505" s="69"/>
      <c r="O505" s="69"/>
      <c r="P505" s="71"/>
      <c r="Q505" s="69"/>
      <c r="R505" s="69"/>
      <c r="S505" s="69"/>
      <c r="T505" s="69"/>
      <c r="U505" s="69"/>
      <c r="V505" s="69"/>
      <c r="W505" s="69"/>
      <c r="X505" s="66" t="str">
        <f aca="false">IF(B505="","",COUNTIF(Q505:W505,"Yes"))</f>
        <v/>
      </c>
      <c r="Y505" s="68" t="str">
        <f aca="false">IF(B505="","",IF(X505&gt;=Settings!$C$16,"A+",IF(X505&gt;=Settings!$C$17,"A",IF(X505&gt;=Settings!$C$18,"B","C"))))</f>
        <v/>
      </c>
      <c r="Z505" s="72"/>
      <c r="AA505" s="72"/>
      <c r="AB505" s="72"/>
      <c r="AC505" s="72"/>
      <c r="AD505" s="72"/>
      <c r="AE505" s="72"/>
      <c r="AF505" s="73"/>
      <c r="AG505" s="74"/>
      <c r="AH505" s="75"/>
      <c r="AI505" s="76" t="str">
        <f aca="false">IF(B505="","",ROUND(IF(AG505="",Settings!$C$5,AG505)*AW505,2))</f>
        <v/>
      </c>
      <c r="AJ505" s="77" t="str">
        <f aca="false">IF(OR(B505="",AB505="",AC505="",AD505=""),"",IFERROR(ROUND(ABS(AD505-AB505)/ABS(AB505-AC505),2),""))</f>
        <v/>
      </c>
      <c r="AK505" s="78" t="str">
        <f aca="false">IF(OR(B505="",AB505="",AC505="",AE505=""),"",IFERROR(ROUND(IF(J505="Short",AB505-AE505,AE505-AB505)/ABS(AB505-AC505),2),""))</f>
        <v/>
      </c>
      <c r="AL505" s="68" t="str">
        <f aca="false">IF(AK505="","",IF(ABS(AK505)&lt;=Settings!$C$6,"BE",IF(AK505&gt;0,"Win","Loss")))</f>
        <v/>
      </c>
      <c r="AM505" s="79" t="str">
        <f aca="false">IF(OR(AK505="",AI505=""),"",ROUND(AK505*AI505-N(AH505),2))</f>
        <v/>
      </c>
      <c r="AN505" s="76" t="str">
        <f aca="false">IF(AM505="","",ROUND(BK505+SUMIFS(AM$6:AM505,BJ$6:BJ505,BJ505),2))</f>
        <v/>
      </c>
      <c r="AO505" s="78" t="str">
        <f aca="false">IF(AK505="","",ROUND(SUMIFS(AK$6:AK505,BJ$6:BJ505,BJ505),2))</f>
        <v/>
      </c>
      <c r="AP505" s="80" t="str">
        <f aca="false">IF(OR(AK505="",BL505=""),"",IFERROR(ROUND(IF(J505="Short",AB505-AE505,AE505-AB505)/BL505,1),""))</f>
        <v/>
      </c>
      <c r="AQ505" s="66" t="str">
        <f aca="false">IF(OR(G505="",H505=""),"",ROUND(MOD(H505-G505,1)*1440,0))</f>
        <v/>
      </c>
      <c r="AR505" s="68" t="str">
        <f aca="false">IF(AQ505="","",IF(AQ505&lt;15,"Under 15m",IF(AQ505&lt;60,"15-60m",IF(AQ505&lt;240,"1-4 hours","4+ hours"))))</f>
        <v/>
      </c>
      <c r="AS505" s="66" t="str">
        <f aca="false">IF(G505="","",HOUR(G505))</f>
        <v/>
      </c>
      <c r="AT505" s="80" t="str">
        <f aca="false">IF(OR(Z505="",AB505="",BL505=""),"",IFERROR(ROUND(IF(J505="Short",Z505-AB505,AB505-Z505)/BL505,1),""))</f>
        <v/>
      </c>
      <c r="AU505" s="68" t="str">
        <f aca="false">IF(OR(AA505="",AC505=""),"",IF(AA505=AC505,"No","Yes"))</f>
        <v/>
      </c>
      <c r="AV505" s="81" t="str">
        <f aca="false">IF(OR(B505="",BL505="",BM505="",AB505="",AC505=""),"",IFERROR(ROUND(AI505/(ABS(AB505-AC505)/BL505*BM505),2),""))</f>
        <v/>
      </c>
      <c r="AW505" s="76" t="str">
        <f aca="false">IF(B505="","",ROUND(BK505+SUMIFS(AM$5:AM504,BJ$5:BJ504,BJ505),2))</f>
        <v/>
      </c>
      <c r="AX505" s="66" t="str">
        <f aca="false">IF(B505="","",COUNTIFS(B$6:B505,B505,BJ$6:BJ505,BJ505))</f>
        <v/>
      </c>
      <c r="AY505" s="79" t="str">
        <f aca="false">IF(B505="","",ROUND(SUMIFS(AM$5:AM504,B$5:B504,B505,BJ$5:BJ504,BJ505),2))</f>
        <v/>
      </c>
      <c r="AZ505" s="79" t="str">
        <f aca="false">IF(AM505="","",ROUND(AY505+AM505,2))</f>
        <v/>
      </c>
      <c r="BA505" s="79" t="str">
        <f aca="false">IF(B505="","",ROUND(SUMIFS(AM$5:AM504,B$5:B504,"&gt;="&amp;(B505-WEEKDAY(B505,2)+1),B$5:B504,"&lt;="&amp;B505,BJ$5:BJ504,BJ505),2))</f>
        <v/>
      </c>
      <c r="BB505" s="68" t="str">
        <f aca="false">IF(B505="","",IF(AND(AF505&lt;&gt;"",AV505&lt;&gt;"",N(AF505)&gt;N(AV505)*(1+Settings!$C$13)),"Oversized",IF(AX505&gt;Settings!$C$10,"Overtraded",IF(AY505&lt;=-Settings!$C$11*(AW505-AY505),"Daily loss hit",IF(BA505&lt;=-Settings!$C$12*(AW505-BA505),"Weekly loss hit","OK")))))</f>
        <v/>
      </c>
      <c r="BC505" s="69"/>
      <c r="BD505" s="69"/>
      <c r="BE505" s="69"/>
      <c r="BF505" s="73"/>
      <c r="BG505" s="73"/>
      <c r="BH505" s="71"/>
      <c r="BI505" s="71"/>
      <c r="BJ505" s="68" t="str">
        <f aca="false">IF(B505="","",IF(E505="",Settings!$F$5,E505))</f>
        <v/>
      </c>
      <c r="BK505" s="76" t="str">
        <f aca="false">IF(B505="","",IFERROR(INDEX(Settings!$G$5:$G$10,MATCH(BJ505,Settings!$F$5:$F$10,0)),Settings!$G$5))</f>
        <v/>
      </c>
      <c r="BL505" s="82" t="str">
        <f aca="false">IF(I505="","",IFERROR(1/(1/INDEX(Lists!$C$6:$C$17,MATCH(I505,Lists!$B$6:$B$17,0))),""))</f>
        <v/>
      </c>
      <c r="BM505" s="81" t="str">
        <f aca="false">IF(I505="","",IFERROR(1/(1/INDEX(Lists!$D$6:$D$17,MATCH(I505,Lists!$B$6:$B$17,0))),""))</f>
        <v/>
      </c>
      <c r="BN505" s="76" t="str">
        <f aca="false">IF(AN505="","",MAX(BK505,_xlfn.MAXIFS(AN$6:AN505,BJ$6:BJ505,BJ505)))</f>
        <v/>
      </c>
      <c r="BO505" s="83" t="str">
        <f aca="false">IF(AN505="","",(AN505-BN505)/BN505)</f>
        <v/>
      </c>
      <c r="BP505" s="66" t="n">
        <f aca="false">IF(OR(B505="",AL505=""),0,IF(OR(Settings!$C$28="All Accounts",BJ505=Settings!$C$28),1,0))</f>
        <v>0</v>
      </c>
      <c r="BQ505" s="66" t="str">
        <f aca="false">IF(BP505=1,SUM(BP$6:BP505),"")</f>
        <v/>
      </c>
      <c r="BR505" s="76" t="str">
        <f aca="false">IF(BP505=1,ROUND(Settings!$C$29+SUMIFS(AM$6:AM505,BP$6:BP505,1),2),"")</f>
        <v/>
      </c>
      <c r="BS505" s="76" t="str">
        <f aca="false">IF(BP505=1,MAX(Settings!$C$29,MAX(BR$6:BR505)),"")</f>
        <v/>
      </c>
      <c r="BT505" s="83" t="str">
        <f aca="false">IF(BP505=1,(BR505-BS505)/BS505,"")</f>
        <v/>
      </c>
      <c r="BU505" s="66" t="str">
        <f aca="false">IF(BP505=1,IF(AL505="Win",1+IF(BQ505=1,0,INDEX(BU$5:BU504,MATCH(BQ505-1,BQ$5:BQ504,0))),0),"")</f>
        <v/>
      </c>
      <c r="BV505" s="66" t="str">
        <f aca="false">IF(BP505=1,IF(AL505="Loss",1+IF(BQ505=1,0,INDEX(BV$5:BV504,MATCH(BQ505-1,BQ$5:BQ504,0))),0),"")</f>
        <v/>
      </c>
    </row>
  </sheetData>
  <autoFilter ref="A5:BV505"/>
  <mergeCells count="8">
    <mergeCell ref="A4:J4"/>
    <mergeCell ref="K4:P4"/>
    <mergeCell ref="Q4:Y4"/>
    <mergeCell ref="Z4:AH4"/>
    <mergeCell ref="AI4:AV4"/>
    <mergeCell ref="AW4:BB4"/>
    <mergeCell ref="BC4:BI4"/>
    <mergeCell ref="BJ4:BV4"/>
  </mergeCells>
  <conditionalFormatting sqref="AL6:AL505">
    <cfRule type="cellIs" priority="2" operator="equal" aboveAverage="0" equalAverage="0" bottom="0" percent="0" rank="0" text="" dxfId="21">
      <formula>"Win"</formula>
    </cfRule>
    <cfRule type="cellIs" priority="3" operator="equal" aboveAverage="0" equalAverage="0" bottom="0" percent="0" rank="0" text="" dxfId="22">
      <formula>"Loss"</formula>
    </cfRule>
    <cfRule type="cellIs" priority="4" operator="equal" aboveAverage="0" equalAverage="0" bottom="0" percent="0" rank="0" text="" dxfId="23">
      <formula>"BE"</formula>
    </cfRule>
  </conditionalFormatting>
  <conditionalFormatting sqref="Y6:Y505">
    <cfRule type="cellIs" priority="5" operator="equal" aboveAverage="0" equalAverage="0" bottom="0" percent="0" rank="0" text="" dxfId="24">
      <formula>"A+"</formula>
    </cfRule>
    <cfRule type="cellIs" priority="6" operator="equal" aboveAverage="0" equalAverage="0" bottom="0" percent="0" rank="0" text="" dxfId="25">
      <formula>"A"</formula>
    </cfRule>
    <cfRule type="cellIs" priority="7" operator="equal" aboveAverage="0" equalAverage="0" bottom="0" percent="0" rank="0" text="" dxfId="23">
      <formula>"B"</formula>
    </cfRule>
    <cfRule type="cellIs" priority="8" operator="equal" aboveAverage="0" equalAverage="0" bottom="0" percent="0" rank="0" text="" dxfId="22">
      <formula>"C"</formula>
    </cfRule>
  </conditionalFormatting>
  <conditionalFormatting sqref="Q6:Q505">
    <cfRule type="cellIs" priority="9" operator="equal" aboveAverage="0" equalAverage="0" bottom="0" percent="0" rank="0" text="" dxfId="25">
      <formula>"Yes"</formula>
    </cfRule>
    <cfRule type="cellIs" priority="10" operator="equal" aboveAverage="0" equalAverage="0" bottom="0" percent="0" rank="0" text="" dxfId="26">
      <formula>"No"</formula>
    </cfRule>
  </conditionalFormatting>
  <conditionalFormatting sqref="R6:R505">
    <cfRule type="cellIs" priority="11" operator="equal" aboveAverage="0" equalAverage="0" bottom="0" percent="0" rank="0" text="" dxfId="25">
      <formula>"Yes"</formula>
    </cfRule>
    <cfRule type="cellIs" priority="12" operator="equal" aboveAverage="0" equalAverage="0" bottom="0" percent="0" rank="0" text="" dxfId="26">
      <formula>"No"</formula>
    </cfRule>
  </conditionalFormatting>
  <conditionalFormatting sqref="S6:S505">
    <cfRule type="cellIs" priority="13" operator="equal" aboveAverage="0" equalAverage="0" bottom="0" percent="0" rank="0" text="" dxfId="25">
      <formula>"Yes"</formula>
    </cfRule>
    <cfRule type="cellIs" priority="14" operator="equal" aboveAverage="0" equalAverage="0" bottom="0" percent="0" rank="0" text="" dxfId="26">
      <formula>"No"</formula>
    </cfRule>
  </conditionalFormatting>
  <conditionalFormatting sqref="T6:T505">
    <cfRule type="cellIs" priority="15" operator="equal" aboveAverage="0" equalAverage="0" bottom="0" percent="0" rank="0" text="" dxfId="25">
      <formula>"Yes"</formula>
    </cfRule>
    <cfRule type="cellIs" priority="16" operator="equal" aboveAverage="0" equalAverage="0" bottom="0" percent="0" rank="0" text="" dxfId="26">
      <formula>"No"</formula>
    </cfRule>
  </conditionalFormatting>
  <conditionalFormatting sqref="U6:U505">
    <cfRule type="cellIs" priority="17" operator="equal" aboveAverage="0" equalAverage="0" bottom="0" percent="0" rank="0" text="" dxfId="25">
      <formula>"Yes"</formula>
    </cfRule>
    <cfRule type="cellIs" priority="18" operator="equal" aboveAverage="0" equalAverage="0" bottom="0" percent="0" rank="0" text="" dxfId="26">
      <formula>"No"</formula>
    </cfRule>
  </conditionalFormatting>
  <conditionalFormatting sqref="V6:V505">
    <cfRule type="cellIs" priority="19" operator="equal" aboveAverage="0" equalAverage="0" bottom="0" percent="0" rank="0" text="" dxfId="25">
      <formula>"Yes"</formula>
    </cfRule>
    <cfRule type="cellIs" priority="20" operator="equal" aboveAverage="0" equalAverage="0" bottom="0" percent="0" rank="0" text="" dxfId="26">
      <formula>"No"</formula>
    </cfRule>
  </conditionalFormatting>
  <conditionalFormatting sqref="W6:W505">
    <cfRule type="cellIs" priority="21" operator="equal" aboveAverage="0" equalAverage="0" bottom="0" percent="0" rank="0" text="" dxfId="25">
      <formula>"Yes"</formula>
    </cfRule>
    <cfRule type="cellIs" priority="22" operator="equal" aboveAverage="0" equalAverage="0" bottom="0" percent="0" rank="0" text="" dxfId="26">
      <formula>"No"</formula>
    </cfRule>
  </conditionalFormatting>
  <conditionalFormatting sqref="BD6:BD505">
    <cfRule type="cellIs" priority="23" operator="equal" aboveAverage="0" equalAverage="0" bottom="0" percent="0" rank="0" text="" dxfId="25">
      <formula>"Yes"</formula>
    </cfRule>
    <cfRule type="cellIs" priority="24" operator="equal" aboveAverage="0" equalAverage="0" bottom="0" percent="0" rank="0" text="" dxfId="22">
      <formula>"No"</formula>
    </cfRule>
  </conditionalFormatting>
  <conditionalFormatting sqref="J6:J505">
    <cfRule type="cellIs" priority="25" operator="equal" aboveAverage="0" equalAverage="0" bottom="0" percent="0" rank="0" text="" dxfId="25">
      <formula>"Long"</formula>
    </cfRule>
    <cfRule type="cellIs" priority="26" operator="equal" aboveAverage="0" equalAverage="0" bottom="0" percent="0" rank="0" text="" dxfId="22">
      <formula>"Short"</formula>
    </cfRule>
  </conditionalFormatting>
  <conditionalFormatting sqref="BB6:BB505">
    <cfRule type="expression" priority="27" aboveAverage="0" equalAverage="0" bottom="0" percent="0" rank="0" text="" dxfId="22">
      <formula>AND(BB6&lt;&gt;"",BB6&lt;&gt;"OK")</formula>
    </cfRule>
    <cfRule type="cellIs" priority="28" operator="equal" aboveAverage="0" equalAverage="0" bottom="0" percent="0" rank="0" text="" dxfId="27">
      <formula>"OK"</formula>
    </cfRule>
  </conditionalFormatting>
  <conditionalFormatting sqref="AU6:AU505">
    <cfRule type="cellIs" priority="29" operator="equal" aboveAverage="0" equalAverage="0" bottom="0" percent="0" rank="0" text="" dxfId="22">
      <formula>"Yes"</formula>
    </cfRule>
  </conditionalFormatting>
  <dataValidations count="19">
    <dataValidation allowBlank="true" errorStyle="stop" operator="between" showDropDown="false" showErrorMessage="false" showInputMessage="false" sqref="E6:E505" type="list">
      <formula1>Settings!$F$5:$F$10</formula1>
      <formula2>0</formula2>
    </dataValidation>
    <dataValidation allowBlank="true" errorStyle="stop" operator="between" showDropDown="false" showErrorMessage="false" showInputMessage="false" sqref="F6:F505" type="list">
      <formula1>Lists!$F$6:$F$11</formula1>
      <formula2>0</formula2>
    </dataValidation>
    <dataValidation allowBlank="true" errorStyle="stop" operator="between" showDropDown="false" showErrorMessage="false" showInputMessage="false" sqref="I6:I505" type="list">
      <formula1>Lists!$B$6:$B$17</formula1>
      <formula2>0</formula2>
    </dataValidation>
    <dataValidation allowBlank="true" errorStyle="stop" operator="between" showDropDown="false" showErrorMessage="false" showInputMessage="false" sqref="J6:J505" type="list">
      <formula1>Lists!$M$6:$M$7</formula1>
      <formula2>0</formula2>
    </dataValidation>
    <dataValidation allowBlank="true" errorStyle="stop" operator="between" showDropDown="false" showErrorMessage="false" showInputMessage="false" sqref="K6:K505" type="list">
      <formula1>Lists!$J$6:$J$9</formula1>
      <formula2>0</formula2>
    </dataValidation>
    <dataValidation allowBlank="true" errorStyle="stop" operator="between" showDropDown="false" showErrorMessage="false" showInputMessage="false" sqref="L6:L505" type="list">
      <formula1>Lists!$G$6:$G$17</formula1>
      <formula2>0</formula2>
    </dataValidation>
    <dataValidation allowBlank="true" errorStyle="stop" operator="between" showDropDown="false" showErrorMessage="false" showInputMessage="false" sqref="M6:M505" type="list">
      <formula1>Lists!$H$6:$H$13</formula1>
      <formula2>0</formula2>
    </dataValidation>
    <dataValidation allowBlank="true" errorStyle="stop" operator="between" showDropDown="false" showErrorMessage="false" showInputMessage="false" sqref="N6:N505" type="list">
      <formula1>Lists!$N$6:$N$7</formula1>
      <formula2>0</formula2>
    </dataValidation>
    <dataValidation allowBlank="true" errorStyle="stop" operator="between" showDropDown="false" showErrorMessage="false" showInputMessage="false" sqref="O6:O505" type="list">
      <formula1>Lists!$I$6:$I$13</formula1>
      <formula2>0</formula2>
    </dataValidation>
    <dataValidation allowBlank="true" errorStyle="stop" operator="between" showDropDown="false" showErrorMessage="false" showInputMessage="false" sqref="BC6:BC505" type="list">
      <formula1>Lists!$K$6:$K$13</formula1>
      <formula2>0</formula2>
    </dataValidation>
    <dataValidation allowBlank="true" errorStyle="stop" operator="between" showDropDown="false" showErrorMessage="false" showInputMessage="false" sqref="BD6:BD505" type="list">
      <formula1>Lists!$N$6:$N$7</formula1>
      <formula2>0</formula2>
    </dataValidation>
    <dataValidation allowBlank="true" errorStyle="stop" operator="between" showDropDown="false" showErrorMessage="false" showInputMessage="false" sqref="BE6:BE505" type="list">
      <formula1>Lists!$L$6:$L$15</formula1>
      <formula2>0</formula2>
    </dataValidation>
    <dataValidation allowBlank="true" errorStyle="stop" operator="between" showDropDown="false" showErrorMessage="false" showInputMessage="false" sqref="Q6:Q505" type="list">
      <formula1>Lists!$N$6:$N$7</formula1>
      <formula2>0</formula2>
    </dataValidation>
    <dataValidation allowBlank="true" errorStyle="stop" operator="between" showDropDown="false" showErrorMessage="false" showInputMessage="false" sqref="R6:R505" type="list">
      <formula1>Lists!$N$6:$N$7</formula1>
      <formula2>0</formula2>
    </dataValidation>
    <dataValidation allowBlank="true" errorStyle="stop" operator="between" showDropDown="false" showErrorMessage="false" showInputMessage="false" sqref="S6:S505" type="list">
      <formula1>Lists!$N$6:$N$7</formula1>
      <formula2>0</formula2>
    </dataValidation>
    <dataValidation allowBlank="true" errorStyle="stop" operator="between" showDropDown="false" showErrorMessage="false" showInputMessage="false" sqref="T6:T505" type="list">
      <formula1>Lists!$N$6:$N$7</formula1>
      <formula2>0</formula2>
    </dataValidation>
    <dataValidation allowBlank="true" errorStyle="stop" operator="between" showDropDown="false" showErrorMessage="false" showInputMessage="false" sqref="U6:U505" type="list">
      <formula1>Lists!$N$6:$N$7</formula1>
      <formula2>0</formula2>
    </dataValidation>
    <dataValidation allowBlank="true" errorStyle="stop" operator="between" showDropDown="false" showErrorMessage="false" showInputMessage="false" sqref="V6:V505" type="list">
      <formula1>Lists!$N$6:$N$7</formula1>
      <formula2>0</formula2>
    </dataValidation>
    <dataValidation allowBlank="true" errorStyle="stop" operator="between" showDropDown="false" showErrorMessage="false" showInputMessage="false" sqref="W6:W505" type="list">
      <formula1>Lists!$N$6:$N$7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9A9A"/>
    <pageSetUpPr fitToPage="false"/>
  </sheetPr>
  <dimension ref="A1:J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8"/>
    <col collapsed="false" customWidth="true" hidden="false" outlineLevel="0" max="9" min="9" style="0" width="52"/>
  </cols>
  <sheetData>
    <row r="1" customFormat="false" ht="33.75" hidden="false" customHeight="true" outlineLevel="0" collapsed="false">
      <c r="A1" s="10"/>
      <c r="B1" s="84" t="s">
        <v>216</v>
      </c>
      <c r="C1" s="10"/>
      <c r="D1" s="10"/>
      <c r="E1" s="10"/>
      <c r="F1" s="10"/>
      <c r="G1" s="10"/>
      <c r="H1" s="10"/>
      <c r="I1" s="10"/>
      <c r="J1" s="10"/>
    </row>
    <row r="2" customFormat="false" ht="18" hidden="false" customHeight="true" outlineLevel="0" collapsed="false">
      <c r="A2" s="10"/>
      <c r="B2" s="85" t="s">
        <v>217</v>
      </c>
      <c r="C2" s="10"/>
      <c r="D2" s="10"/>
      <c r="E2" s="10"/>
      <c r="F2" s="10"/>
      <c r="G2" s="10"/>
      <c r="H2" s="10"/>
      <c r="I2" s="10"/>
      <c r="J2" s="10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5" customFormat="false" ht="31.5" hidden="false" customHeight="true" outlineLevel="0" collapsed="false">
      <c r="B5" s="86" t="s">
        <v>128</v>
      </c>
      <c r="C5" s="86" t="s">
        <v>129</v>
      </c>
      <c r="D5" s="86" t="s">
        <v>218</v>
      </c>
      <c r="E5" s="86" t="s">
        <v>165</v>
      </c>
      <c r="F5" s="86" t="s">
        <v>219</v>
      </c>
      <c r="G5" s="86" t="s">
        <v>220</v>
      </c>
      <c r="H5" s="86" t="s">
        <v>221</v>
      </c>
      <c r="I5" s="86" t="s">
        <v>222</v>
      </c>
    </row>
    <row r="6" customFormat="false" ht="15" hidden="false" customHeight="false" outlineLevel="0" collapsed="false">
      <c r="B6" s="87" t="n">
        <f aca="false">WORKDAY(Settings!$C$7-1,1)</f>
        <v>46293</v>
      </c>
      <c r="C6" s="68" t="str">
        <f aca="false">CHOOSE(WEEKDAY(B6,2),"Mon","Tue","Wed","Thu","Fri","Sat","Sun")</f>
        <v>Mon</v>
      </c>
      <c r="D6" s="66" t="n">
        <f aca="false">COUNTIFS(Journal!$B$6:$B$505,B6,Journal!$BP$6:$BP$505,1)</f>
        <v>1</v>
      </c>
      <c r="E6" s="79" t="n">
        <f aca="false">SUMIFS(Journal!$AM$6:$AM$505,Journal!$B$6:$B$505,B6,Journal!$BP$6:$BP$505,1)</f>
        <v>229.5</v>
      </c>
      <c r="F6" s="88"/>
      <c r="G6" s="89"/>
      <c r="H6" s="90"/>
      <c r="I6" s="90"/>
    </row>
    <row r="7" customFormat="false" ht="15" hidden="false" customHeight="false" outlineLevel="0" collapsed="false">
      <c r="B7" s="87" t="n">
        <f aca="false">WORKDAY(B6,1)</f>
        <v>46294</v>
      </c>
      <c r="C7" s="68" t="str">
        <f aca="false">CHOOSE(WEEKDAY(B7,2),"Mon","Tue","Wed","Thu","Fri","Sat","Sun")</f>
        <v>Tue</v>
      </c>
      <c r="D7" s="66" t="n">
        <f aca="false">COUNTIFS(Journal!$B$6:$B$505,B7,Journal!$BP$6:$BP$505,1)</f>
        <v>0</v>
      </c>
      <c r="E7" s="79" t="n">
        <f aca="false">SUMIFS(Journal!$AM$6:$AM$505,Journal!$B$6:$B$505,B7,Journal!$BP$6:$BP$505,1)</f>
        <v>0</v>
      </c>
      <c r="F7" s="88"/>
      <c r="G7" s="89"/>
      <c r="H7" s="90"/>
      <c r="I7" s="90"/>
    </row>
    <row r="8" customFormat="false" ht="15" hidden="false" customHeight="false" outlineLevel="0" collapsed="false">
      <c r="B8" s="87" t="n">
        <f aca="false">WORKDAY(B7,1)</f>
        <v>46295</v>
      </c>
      <c r="C8" s="68" t="str">
        <f aca="false">CHOOSE(WEEKDAY(B8,2),"Mon","Tue","Wed","Thu","Fri","Sat","Sun")</f>
        <v>Wed</v>
      </c>
      <c r="D8" s="66" t="n">
        <f aca="false">COUNTIFS(Journal!$B$6:$B$505,B8,Journal!$BP$6:$BP$505,1)</f>
        <v>0</v>
      </c>
      <c r="E8" s="79" t="n">
        <f aca="false">SUMIFS(Journal!$AM$6:$AM$505,Journal!$B$6:$B$505,B8,Journal!$BP$6:$BP$505,1)</f>
        <v>0</v>
      </c>
      <c r="F8" s="88"/>
      <c r="G8" s="89"/>
      <c r="H8" s="90"/>
      <c r="I8" s="90"/>
    </row>
    <row r="9" customFormat="false" ht="15" hidden="false" customHeight="false" outlineLevel="0" collapsed="false">
      <c r="B9" s="87" t="n">
        <f aca="false">WORKDAY(B8,1)</f>
        <v>46296</v>
      </c>
      <c r="C9" s="68" t="str">
        <f aca="false">CHOOSE(WEEKDAY(B9,2),"Mon","Tue","Wed","Thu","Fri","Sat","Sun")</f>
        <v>Thu</v>
      </c>
      <c r="D9" s="66" t="n">
        <f aca="false">COUNTIFS(Journal!$B$6:$B$505,B9,Journal!$BP$6:$BP$505,1)</f>
        <v>0</v>
      </c>
      <c r="E9" s="79" t="n">
        <f aca="false">SUMIFS(Journal!$AM$6:$AM$505,Journal!$B$6:$B$505,B9,Journal!$BP$6:$BP$505,1)</f>
        <v>0</v>
      </c>
      <c r="F9" s="88"/>
      <c r="G9" s="89"/>
      <c r="H9" s="90"/>
      <c r="I9" s="90"/>
    </row>
    <row r="10" customFormat="false" ht="15" hidden="false" customHeight="false" outlineLevel="0" collapsed="false">
      <c r="B10" s="87" t="n">
        <f aca="false">WORKDAY(B9,1)</f>
        <v>46297</v>
      </c>
      <c r="C10" s="68" t="str">
        <f aca="false">CHOOSE(WEEKDAY(B10,2),"Mon","Tue","Wed","Thu","Fri","Sat","Sun")</f>
        <v>Fri</v>
      </c>
      <c r="D10" s="66" t="n">
        <f aca="false">COUNTIFS(Journal!$B$6:$B$505,B10,Journal!$BP$6:$BP$505,1)</f>
        <v>0</v>
      </c>
      <c r="E10" s="79" t="n">
        <f aca="false">SUMIFS(Journal!$AM$6:$AM$505,Journal!$B$6:$B$505,B10,Journal!$BP$6:$BP$505,1)</f>
        <v>0</v>
      </c>
      <c r="F10" s="88"/>
      <c r="G10" s="89"/>
      <c r="H10" s="90"/>
      <c r="I10" s="90"/>
    </row>
    <row r="11" customFormat="false" ht="15" hidden="false" customHeight="false" outlineLevel="0" collapsed="false">
      <c r="B11" s="87" t="n">
        <f aca="false">WORKDAY(B10,1)</f>
        <v>46300</v>
      </c>
      <c r="C11" s="68" t="str">
        <f aca="false">CHOOSE(WEEKDAY(B11,2),"Mon","Tue","Wed","Thu","Fri","Sat","Sun")</f>
        <v>Mon</v>
      </c>
      <c r="D11" s="66" t="n">
        <f aca="false">COUNTIFS(Journal!$B$6:$B$505,B11,Journal!$BP$6:$BP$505,1)</f>
        <v>0</v>
      </c>
      <c r="E11" s="79" t="n">
        <f aca="false">SUMIFS(Journal!$AM$6:$AM$505,Journal!$B$6:$B$505,B11,Journal!$BP$6:$BP$505,1)</f>
        <v>0</v>
      </c>
      <c r="F11" s="88"/>
      <c r="G11" s="89"/>
      <c r="H11" s="90"/>
      <c r="I11" s="90"/>
    </row>
    <row r="12" customFormat="false" ht="15" hidden="false" customHeight="false" outlineLevel="0" collapsed="false">
      <c r="B12" s="87" t="n">
        <f aca="false">WORKDAY(B11,1)</f>
        <v>46301</v>
      </c>
      <c r="C12" s="68" t="str">
        <f aca="false">CHOOSE(WEEKDAY(B12,2),"Mon","Tue","Wed","Thu","Fri","Sat","Sun")</f>
        <v>Tue</v>
      </c>
      <c r="D12" s="66" t="n">
        <f aca="false">COUNTIFS(Journal!$B$6:$B$505,B12,Journal!$BP$6:$BP$505,1)</f>
        <v>0</v>
      </c>
      <c r="E12" s="79" t="n">
        <f aca="false">SUMIFS(Journal!$AM$6:$AM$505,Journal!$B$6:$B$505,B12,Journal!$BP$6:$BP$505,1)</f>
        <v>0</v>
      </c>
      <c r="F12" s="88"/>
      <c r="G12" s="89"/>
      <c r="H12" s="90"/>
      <c r="I12" s="90"/>
    </row>
    <row r="13" customFormat="false" ht="15" hidden="false" customHeight="false" outlineLevel="0" collapsed="false">
      <c r="B13" s="87" t="n">
        <f aca="false">WORKDAY(B12,1)</f>
        <v>46302</v>
      </c>
      <c r="C13" s="68" t="str">
        <f aca="false">CHOOSE(WEEKDAY(B13,2),"Mon","Tue","Wed","Thu","Fri","Sat","Sun")</f>
        <v>Wed</v>
      </c>
      <c r="D13" s="66" t="n">
        <f aca="false">COUNTIFS(Journal!$B$6:$B$505,B13,Journal!$BP$6:$BP$505,1)</f>
        <v>0</v>
      </c>
      <c r="E13" s="79" t="n">
        <f aca="false">SUMIFS(Journal!$AM$6:$AM$505,Journal!$B$6:$B$505,B13,Journal!$BP$6:$BP$505,1)</f>
        <v>0</v>
      </c>
      <c r="F13" s="88"/>
      <c r="G13" s="89"/>
      <c r="H13" s="90"/>
      <c r="I13" s="90"/>
    </row>
    <row r="14" customFormat="false" ht="15" hidden="false" customHeight="false" outlineLevel="0" collapsed="false">
      <c r="B14" s="87" t="n">
        <f aca="false">WORKDAY(B13,1)</f>
        <v>46303</v>
      </c>
      <c r="C14" s="68" t="str">
        <f aca="false">CHOOSE(WEEKDAY(B14,2),"Mon","Tue","Wed","Thu","Fri","Sat","Sun")</f>
        <v>Thu</v>
      </c>
      <c r="D14" s="66" t="n">
        <f aca="false">COUNTIFS(Journal!$B$6:$B$505,B14,Journal!$BP$6:$BP$505,1)</f>
        <v>0</v>
      </c>
      <c r="E14" s="79" t="n">
        <f aca="false">SUMIFS(Journal!$AM$6:$AM$505,Journal!$B$6:$B$505,B14,Journal!$BP$6:$BP$505,1)</f>
        <v>0</v>
      </c>
      <c r="F14" s="88"/>
      <c r="G14" s="89"/>
      <c r="H14" s="90"/>
      <c r="I14" s="90"/>
    </row>
    <row r="15" customFormat="false" ht="15" hidden="false" customHeight="false" outlineLevel="0" collapsed="false">
      <c r="B15" s="87" t="n">
        <f aca="false">WORKDAY(B14,1)</f>
        <v>46304</v>
      </c>
      <c r="C15" s="68" t="str">
        <f aca="false">CHOOSE(WEEKDAY(B15,2),"Mon","Tue","Wed","Thu","Fri","Sat","Sun")</f>
        <v>Fri</v>
      </c>
      <c r="D15" s="66" t="n">
        <f aca="false">COUNTIFS(Journal!$B$6:$B$505,B15,Journal!$BP$6:$BP$505,1)</f>
        <v>0</v>
      </c>
      <c r="E15" s="79" t="n">
        <f aca="false">SUMIFS(Journal!$AM$6:$AM$505,Journal!$B$6:$B$505,B15,Journal!$BP$6:$BP$505,1)</f>
        <v>0</v>
      </c>
      <c r="F15" s="88"/>
      <c r="G15" s="89"/>
      <c r="H15" s="90"/>
      <c r="I15" s="90"/>
    </row>
    <row r="16" customFormat="false" ht="15" hidden="false" customHeight="false" outlineLevel="0" collapsed="false">
      <c r="B16" s="87" t="n">
        <f aca="false">WORKDAY(B15,1)</f>
        <v>46307</v>
      </c>
      <c r="C16" s="68" t="str">
        <f aca="false">CHOOSE(WEEKDAY(B16,2),"Mon","Tue","Wed","Thu","Fri","Sat","Sun")</f>
        <v>Mon</v>
      </c>
      <c r="D16" s="66" t="n">
        <f aca="false">COUNTIFS(Journal!$B$6:$B$505,B16,Journal!$BP$6:$BP$505,1)</f>
        <v>0</v>
      </c>
      <c r="E16" s="79" t="n">
        <f aca="false">SUMIFS(Journal!$AM$6:$AM$505,Journal!$B$6:$B$505,B16,Journal!$BP$6:$BP$505,1)</f>
        <v>0</v>
      </c>
      <c r="F16" s="88"/>
      <c r="G16" s="89"/>
      <c r="H16" s="90"/>
      <c r="I16" s="90"/>
    </row>
    <row r="17" customFormat="false" ht="15" hidden="false" customHeight="false" outlineLevel="0" collapsed="false">
      <c r="B17" s="87" t="n">
        <f aca="false">WORKDAY(B16,1)</f>
        <v>46308</v>
      </c>
      <c r="C17" s="68" t="str">
        <f aca="false">CHOOSE(WEEKDAY(B17,2),"Mon","Tue","Wed","Thu","Fri","Sat","Sun")</f>
        <v>Tue</v>
      </c>
      <c r="D17" s="66" t="n">
        <f aca="false">COUNTIFS(Journal!$B$6:$B$505,B17,Journal!$BP$6:$BP$505,1)</f>
        <v>0</v>
      </c>
      <c r="E17" s="79" t="n">
        <f aca="false">SUMIFS(Journal!$AM$6:$AM$505,Journal!$B$6:$B$505,B17,Journal!$BP$6:$BP$505,1)</f>
        <v>0</v>
      </c>
      <c r="F17" s="88"/>
      <c r="G17" s="89"/>
      <c r="H17" s="90"/>
      <c r="I17" s="90"/>
    </row>
    <row r="18" customFormat="false" ht="15" hidden="false" customHeight="false" outlineLevel="0" collapsed="false">
      <c r="B18" s="87" t="n">
        <f aca="false">WORKDAY(B17,1)</f>
        <v>46309</v>
      </c>
      <c r="C18" s="68" t="str">
        <f aca="false">CHOOSE(WEEKDAY(B18,2),"Mon","Tue","Wed","Thu","Fri","Sat","Sun")</f>
        <v>Wed</v>
      </c>
      <c r="D18" s="66" t="n">
        <f aca="false">COUNTIFS(Journal!$B$6:$B$505,B18,Journal!$BP$6:$BP$505,1)</f>
        <v>0</v>
      </c>
      <c r="E18" s="79" t="n">
        <f aca="false">SUMIFS(Journal!$AM$6:$AM$505,Journal!$B$6:$B$505,B18,Journal!$BP$6:$BP$505,1)</f>
        <v>0</v>
      </c>
      <c r="F18" s="88"/>
      <c r="G18" s="89"/>
      <c r="H18" s="90"/>
      <c r="I18" s="90"/>
    </row>
    <row r="19" customFormat="false" ht="15" hidden="false" customHeight="false" outlineLevel="0" collapsed="false">
      <c r="B19" s="87" t="n">
        <f aca="false">WORKDAY(B18,1)</f>
        <v>46310</v>
      </c>
      <c r="C19" s="68" t="str">
        <f aca="false">CHOOSE(WEEKDAY(B19,2),"Mon","Tue","Wed","Thu","Fri","Sat","Sun")</f>
        <v>Thu</v>
      </c>
      <c r="D19" s="66" t="n">
        <f aca="false">COUNTIFS(Journal!$B$6:$B$505,B19,Journal!$BP$6:$BP$505,1)</f>
        <v>0</v>
      </c>
      <c r="E19" s="79" t="n">
        <f aca="false">SUMIFS(Journal!$AM$6:$AM$505,Journal!$B$6:$B$505,B19,Journal!$BP$6:$BP$505,1)</f>
        <v>0</v>
      </c>
      <c r="F19" s="88"/>
      <c r="G19" s="89"/>
      <c r="H19" s="90"/>
      <c r="I19" s="90"/>
    </row>
    <row r="20" customFormat="false" ht="15" hidden="false" customHeight="false" outlineLevel="0" collapsed="false">
      <c r="B20" s="87" t="n">
        <f aca="false">WORKDAY(B19,1)</f>
        <v>46311</v>
      </c>
      <c r="C20" s="68" t="str">
        <f aca="false">CHOOSE(WEEKDAY(B20,2),"Mon","Tue","Wed","Thu","Fri","Sat","Sun")</f>
        <v>Fri</v>
      </c>
      <c r="D20" s="66" t="n">
        <f aca="false">COUNTIFS(Journal!$B$6:$B$505,B20,Journal!$BP$6:$BP$505,1)</f>
        <v>0</v>
      </c>
      <c r="E20" s="79" t="n">
        <f aca="false">SUMIFS(Journal!$AM$6:$AM$505,Journal!$B$6:$B$505,B20,Journal!$BP$6:$BP$505,1)</f>
        <v>0</v>
      </c>
      <c r="F20" s="88"/>
      <c r="G20" s="89"/>
      <c r="H20" s="90"/>
      <c r="I20" s="90"/>
    </row>
    <row r="21" customFormat="false" ht="15" hidden="false" customHeight="false" outlineLevel="0" collapsed="false">
      <c r="B21" s="87" t="n">
        <f aca="false">WORKDAY(B20,1)</f>
        <v>46314</v>
      </c>
      <c r="C21" s="68" t="str">
        <f aca="false">CHOOSE(WEEKDAY(B21,2),"Mon","Tue","Wed","Thu","Fri","Sat","Sun")</f>
        <v>Mon</v>
      </c>
      <c r="D21" s="66" t="n">
        <f aca="false">COUNTIFS(Journal!$B$6:$B$505,B21,Journal!$BP$6:$BP$505,1)</f>
        <v>0</v>
      </c>
      <c r="E21" s="79" t="n">
        <f aca="false">SUMIFS(Journal!$AM$6:$AM$505,Journal!$B$6:$B$505,B21,Journal!$BP$6:$BP$505,1)</f>
        <v>0</v>
      </c>
      <c r="F21" s="88"/>
      <c r="G21" s="89"/>
      <c r="H21" s="90"/>
      <c r="I21" s="90"/>
    </row>
    <row r="22" customFormat="false" ht="15" hidden="false" customHeight="false" outlineLevel="0" collapsed="false">
      <c r="B22" s="87" t="n">
        <f aca="false">WORKDAY(B21,1)</f>
        <v>46315</v>
      </c>
      <c r="C22" s="68" t="str">
        <f aca="false">CHOOSE(WEEKDAY(B22,2),"Mon","Tue","Wed","Thu","Fri","Sat","Sun")</f>
        <v>Tue</v>
      </c>
      <c r="D22" s="66" t="n">
        <f aca="false">COUNTIFS(Journal!$B$6:$B$505,B22,Journal!$BP$6:$BP$505,1)</f>
        <v>0</v>
      </c>
      <c r="E22" s="79" t="n">
        <f aca="false">SUMIFS(Journal!$AM$6:$AM$505,Journal!$B$6:$B$505,B22,Journal!$BP$6:$BP$505,1)</f>
        <v>0</v>
      </c>
      <c r="F22" s="88"/>
      <c r="G22" s="89"/>
      <c r="H22" s="90"/>
      <c r="I22" s="90"/>
    </row>
    <row r="23" customFormat="false" ht="15" hidden="false" customHeight="false" outlineLevel="0" collapsed="false">
      <c r="B23" s="87" t="n">
        <f aca="false">WORKDAY(B22,1)</f>
        <v>46316</v>
      </c>
      <c r="C23" s="68" t="str">
        <f aca="false">CHOOSE(WEEKDAY(B23,2),"Mon","Tue","Wed","Thu","Fri","Sat","Sun")</f>
        <v>Wed</v>
      </c>
      <c r="D23" s="66" t="n">
        <f aca="false">COUNTIFS(Journal!$B$6:$B$505,B23,Journal!$BP$6:$BP$505,1)</f>
        <v>0</v>
      </c>
      <c r="E23" s="79" t="n">
        <f aca="false">SUMIFS(Journal!$AM$6:$AM$505,Journal!$B$6:$B$505,B23,Journal!$BP$6:$BP$505,1)</f>
        <v>0</v>
      </c>
      <c r="F23" s="88"/>
      <c r="G23" s="89"/>
      <c r="H23" s="90"/>
      <c r="I23" s="90"/>
    </row>
    <row r="24" customFormat="false" ht="15" hidden="false" customHeight="false" outlineLevel="0" collapsed="false">
      <c r="B24" s="87" t="n">
        <f aca="false">WORKDAY(B23,1)</f>
        <v>46317</v>
      </c>
      <c r="C24" s="68" t="str">
        <f aca="false">CHOOSE(WEEKDAY(B24,2),"Mon","Tue","Wed","Thu","Fri","Sat","Sun")</f>
        <v>Thu</v>
      </c>
      <c r="D24" s="66" t="n">
        <f aca="false">COUNTIFS(Journal!$B$6:$B$505,B24,Journal!$BP$6:$BP$505,1)</f>
        <v>0</v>
      </c>
      <c r="E24" s="79" t="n">
        <f aca="false">SUMIFS(Journal!$AM$6:$AM$505,Journal!$B$6:$B$505,B24,Journal!$BP$6:$BP$505,1)</f>
        <v>0</v>
      </c>
      <c r="F24" s="88"/>
      <c r="G24" s="89"/>
      <c r="H24" s="90"/>
      <c r="I24" s="90"/>
    </row>
    <row r="25" customFormat="false" ht="15" hidden="false" customHeight="false" outlineLevel="0" collapsed="false">
      <c r="B25" s="87" t="n">
        <f aca="false">WORKDAY(B24,1)</f>
        <v>46318</v>
      </c>
      <c r="C25" s="68" t="str">
        <f aca="false">CHOOSE(WEEKDAY(B25,2),"Mon","Tue","Wed","Thu","Fri","Sat","Sun")</f>
        <v>Fri</v>
      </c>
      <c r="D25" s="66" t="n">
        <f aca="false">COUNTIFS(Journal!$B$6:$B$505,B25,Journal!$BP$6:$BP$505,1)</f>
        <v>0</v>
      </c>
      <c r="E25" s="79" t="n">
        <f aca="false">SUMIFS(Journal!$AM$6:$AM$505,Journal!$B$6:$B$505,B25,Journal!$BP$6:$BP$505,1)</f>
        <v>0</v>
      </c>
      <c r="F25" s="88"/>
      <c r="G25" s="89"/>
      <c r="H25" s="90"/>
      <c r="I25" s="90"/>
    </row>
    <row r="26" customFormat="false" ht="15" hidden="false" customHeight="false" outlineLevel="0" collapsed="false">
      <c r="B26" s="87" t="n">
        <f aca="false">WORKDAY(B25,1)</f>
        <v>46321</v>
      </c>
      <c r="C26" s="68" t="str">
        <f aca="false">CHOOSE(WEEKDAY(B26,2),"Mon","Tue","Wed","Thu","Fri","Sat","Sun")</f>
        <v>Mon</v>
      </c>
      <c r="D26" s="66" t="n">
        <f aca="false">COUNTIFS(Journal!$B$6:$B$505,B26,Journal!$BP$6:$BP$505,1)</f>
        <v>0</v>
      </c>
      <c r="E26" s="79" t="n">
        <f aca="false">SUMIFS(Journal!$AM$6:$AM$505,Journal!$B$6:$B$505,B26,Journal!$BP$6:$BP$505,1)</f>
        <v>0</v>
      </c>
      <c r="F26" s="88"/>
      <c r="G26" s="89"/>
      <c r="H26" s="90"/>
      <c r="I26" s="90"/>
    </row>
    <row r="27" customFormat="false" ht="15" hidden="false" customHeight="false" outlineLevel="0" collapsed="false">
      <c r="B27" s="87" t="n">
        <f aca="false">WORKDAY(B26,1)</f>
        <v>46322</v>
      </c>
      <c r="C27" s="68" t="str">
        <f aca="false">CHOOSE(WEEKDAY(B27,2),"Mon","Tue","Wed","Thu","Fri","Sat","Sun")</f>
        <v>Tue</v>
      </c>
      <c r="D27" s="66" t="n">
        <f aca="false">COUNTIFS(Journal!$B$6:$B$505,B27,Journal!$BP$6:$BP$505,1)</f>
        <v>0</v>
      </c>
      <c r="E27" s="79" t="n">
        <f aca="false">SUMIFS(Journal!$AM$6:$AM$505,Journal!$B$6:$B$505,B27,Journal!$BP$6:$BP$505,1)</f>
        <v>0</v>
      </c>
      <c r="F27" s="88"/>
      <c r="G27" s="89"/>
      <c r="H27" s="90"/>
      <c r="I27" s="90"/>
    </row>
    <row r="28" customFormat="false" ht="15" hidden="false" customHeight="false" outlineLevel="0" collapsed="false">
      <c r="B28" s="87" t="n">
        <f aca="false">WORKDAY(B27,1)</f>
        <v>46323</v>
      </c>
      <c r="C28" s="68" t="str">
        <f aca="false">CHOOSE(WEEKDAY(B28,2),"Mon","Tue","Wed","Thu","Fri","Sat","Sun")</f>
        <v>Wed</v>
      </c>
      <c r="D28" s="66" t="n">
        <f aca="false">COUNTIFS(Journal!$B$6:$B$505,B28,Journal!$BP$6:$BP$505,1)</f>
        <v>0</v>
      </c>
      <c r="E28" s="79" t="n">
        <f aca="false">SUMIFS(Journal!$AM$6:$AM$505,Journal!$B$6:$B$505,B28,Journal!$BP$6:$BP$505,1)</f>
        <v>0</v>
      </c>
      <c r="F28" s="88"/>
      <c r="G28" s="89"/>
      <c r="H28" s="90"/>
      <c r="I28" s="90"/>
    </row>
    <row r="29" customFormat="false" ht="15" hidden="false" customHeight="false" outlineLevel="0" collapsed="false">
      <c r="B29" s="87" t="n">
        <f aca="false">WORKDAY(B28,1)</f>
        <v>46324</v>
      </c>
      <c r="C29" s="68" t="str">
        <f aca="false">CHOOSE(WEEKDAY(B29,2),"Mon","Tue","Wed","Thu","Fri","Sat","Sun")</f>
        <v>Thu</v>
      </c>
      <c r="D29" s="66" t="n">
        <f aca="false">COUNTIFS(Journal!$B$6:$B$505,B29,Journal!$BP$6:$BP$505,1)</f>
        <v>0</v>
      </c>
      <c r="E29" s="79" t="n">
        <f aca="false">SUMIFS(Journal!$AM$6:$AM$505,Journal!$B$6:$B$505,B29,Journal!$BP$6:$BP$505,1)</f>
        <v>0</v>
      </c>
      <c r="F29" s="88"/>
      <c r="G29" s="89"/>
      <c r="H29" s="90"/>
      <c r="I29" s="90"/>
    </row>
    <row r="30" customFormat="false" ht="15" hidden="false" customHeight="false" outlineLevel="0" collapsed="false">
      <c r="B30" s="87" t="n">
        <f aca="false">WORKDAY(B29,1)</f>
        <v>46325</v>
      </c>
      <c r="C30" s="68" t="str">
        <f aca="false">CHOOSE(WEEKDAY(B30,2),"Mon","Tue","Wed","Thu","Fri","Sat","Sun")</f>
        <v>Fri</v>
      </c>
      <c r="D30" s="66" t="n">
        <f aca="false">COUNTIFS(Journal!$B$6:$B$505,B30,Journal!$BP$6:$BP$505,1)</f>
        <v>0</v>
      </c>
      <c r="E30" s="79" t="n">
        <f aca="false">SUMIFS(Journal!$AM$6:$AM$505,Journal!$B$6:$B$505,B30,Journal!$BP$6:$BP$505,1)</f>
        <v>0</v>
      </c>
      <c r="F30" s="88"/>
      <c r="G30" s="89"/>
      <c r="H30" s="90"/>
      <c r="I30" s="90"/>
    </row>
    <row r="31" customFormat="false" ht="15" hidden="false" customHeight="false" outlineLevel="0" collapsed="false">
      <c r="B31" s="87" t="n">
        <f aca="false">WORKDAY(B30,1)</f>
        <v>46328</v>
      </c>
      <c r="C31" s="68" t="str">
        <f aca="false">CHOOSE(WEEKDAY(B31,2),"Mon","Tue","Wed","Thu","Fri","Sat","Sun")</f>
        <v>Mon</v>
      </c>
      <c r="D31" s="66" t="n">
        <f aca="false">COUNTIFS(Journal!$B$6:$B$505,B31,Journal!$BP$6:$BP$505,1)</f>
        <v>0</v>
      </c>
      <c r="E31" s="79" t="n">
        <f aca="false">SUMIFS(Journal!$AM$6:$AM$505,Journal!$B$6:$B$505,B31,Journal!$BP$6:$BP$505,1)</f>
        <v>0</v>
      </c>
      <c r="F31" s="88"/>
      <c r="G31" s="89"/>
      <c r="H31" s="90"/>
      <c r="I31" s="90"/>
    </row>
    <row r="32" customFormat="false" ht="15" hidden="false" customHeight="false" outlineLevel="0" collapsed="false">
      <c r="B32" s="87" t="n">
        <f aca="false">WORKDAY(B31,1)</f>
        <v>46329</v>
      </c>
      <c r="C32" s="68" t="str">
        <f aca="false">CHOOSE(WEEKDAY(B32,2),"Mon","Tue","Wed","Thu","Fri","Sat","Sun")</f>
        <v>Tue</v>
      </c>
      <c r="D32" s="66" t="n">
        <f aca="false">COUNTIFS(Journal!$B$6:$B$505,B32,Journal!$BP$6:$BP$505,1)</f>
        <v>0</v>
      </c>
      <c r="E32" s="79" t="n">
        <f aca="false">SUMIFS(Journal!$AM$6:$AM$505,Journal!$B$6:$B$505,B32,Journal!$BP$6:$BP$505,1)</f>
        <v>0</v>
      </c>
      <c r="F32" s="88"/>
      <c r="G32" s="89"/>
      <c r="H32" s="90"/>
      <c r="I32" s="90"/>
    </row>
    <row r="33" customFormat="false" ht="15" hidden="false" customHeight="false" outlineLevel="0" collapsed="false">
      <c r="B33" s="87" t="n">
        <f aca="false">WORKDAY(B32,1)</f>
        <v>46330</v>
      </c>
      <c r="C33" s="68" t="str">
        <f aca="false">CHOOSE(WEEKDAY(B33,2),"Mon","Tue","Wed","Thu","Fri","Sat","Sun")</f>
        <v>Wed</v>
      </c>
      <c r="D33" s="66" t="n">
        <f aca="false">COUNTIFS(Journal!$B$6:$B$505,B33,Journal!$BP$6:$BP$505,1)</f>
        <v>0</v>
      </c>
      <c r="E33" s="79" t="n">
        <f aca="false">SUMIFS(Journal!$AM$6:$AM$505,Journal!$B$6:$B$505,B33,Journal!$BP$6:$BP$505,1)</f>
        <v>0</v>
      </c>
      <c r="F33" s="88"/>
      <c r="G33" s="89"/>
      <c r="H33" s="90"/>
      <c r="I33" s="90"/>
    </row>
    <row r="34" customFormat="false" ht="15" hidden="false" customHeight="false" outlineLevel="0" collapsed="false">
      <c r="B34" s="87" t="n">
        <f aca="false">WORKDAY(B33,1)</f>
        <v>46331</v>
      </c>
      <c r="C34" s="68" t="str">
        <f aca="false">CHOOSE(WEEKDAY(B34,2),"Mon","Tue","Wed","Thu","Fri","Sat","Sun")</f>
        <v>Thu</v>
      </c>
      <c r="D34" s="66" t="n">
        <f aca="false">COUNTIFS(Journal!$B$6:$B$505,B34,Journal!$BP$6:$BP$505,1)</f>
        <v>0</v>
      </c>
      <c r="E34" s="79" t="n">
        <f aca="false">SUMIFS(Journal!$AM$6:$AM$505,Journal!$B$6:$B$505,B34,Journal!$BP$6:$BP$505,1)</f>
        <v>0</v>
      </c>
      <c r="F34" s="88"/>
      <c r="G34" s="89"/>
      <c r="H34" s="90"/>
      <c r="I34" s="90"/>
    </row>
    <row r="35" customFormat="false" ht="15" hidden="false" customHeight="false" outlineLevel="0" collapsed="false">
      <c r="B35" s="87" t="n">
        <f aca="false">WORKDAY(B34,1)</f>
        <v>46332</v>
      </c>
      <c r="C35" s="68" t="str">
        <f aca="false">CHOOSE(WEEKDAY(B35,2),"Mon","Tue","Wed","Thu","Fri","Sat","Sun")</f>
        <v>Fri</v>
      </c>
      <c r="D35" s="66" t="n">
        <f aca="false">COUNTIFS(Journal!$B$6:$B$505,B35,Journal!$BP$6:$BP$505,1)</f>
        <v>0</v>
      </c>
      <c r="E35" s="79" t="n">
        <f aca="false">SUMIFS(Journal!$AM$6:$AM$505,Journal!$B$6:$B$505,B35,Journal!$BP$6:$BP$505,1)</f>
        <v>0</v>
      </c>
      <c r="F35" s="88"/>
      <c r="G35" s="89"/>
      <c r="H35" s="90"/>
      <c r="I35" s="90"/>
    </row>
    <row r="36" customFormat="false" ht="15" hidden="false" customHeight="false" outlineLevel="0" collapsed="false">
      <c r="B36" s="87" t="n">
        <f aca="false">WORKDAY(B35,1)</f>
        <v>46335</v>
      </c>
      <c r="C36" s="68" t="str">
        <f aca="false">CHOOSE(WEEKDAY(B36,2),"Mon","Tue","Wed","Thu","Fri","Sat","Sun")</f>
        <v>Mon</v>
      </c>
      <c r="D36" s="66" t="n">
        <f aca="false">COUNTIFS(Journal!$B$6:$B$505,B36,Journal!$BP$6:$BP$505,1)</f>
        <v>0</v>
      </c>
      <c r="E36" s="79" t="n">
        <f aca="false">SUMIFS(Journal!$AM$6:$AM$505,Journal!$B$6:$B$505,B36,Journal!$BP$6:$BP$505,1)</f>
        <v>0</v>
      </c>
      <c r="F36" s="88"/>
      <c r="G36" s="89"/>
      <c r="H36" s="90"/>
      <c r="I36" s="90"/>
    </row>
    <row r="37" customFormat="false" ht="15" hidden="false" customHeight="false" outlineLevel="0" collapsed="false">
      <c r="B37" s="87" t="n">
        <f aca="false">WORKDAY(B36,1)</f>
        <v>46336</v>
      </c>
      <c r="C37" s="68" t="str">
        <f aca="false">CHOOSE(WEEKDAY(B37,2),"Mon","Tue","Wed","Thu","Fri","Sat","Sun")</f>
        <v>Tue</v>
      </c>
      <c r="D37" s="66" t="n">
        <f aca="false">COUNTIFS(Journal!$B$6:$B$505,B37,Journal!$BP$6:$BP$505,1)</f>
        <v>0</v>
      </c>
      <c r="E37" s="79" t="n">
        <f aca="false">SUMIFS(Journal!$AM$6:$AM$505,Journal!$B$6:$B$505,B37,Journal!$BP$6:$BP$505,1)</f>
        <v>0</v>
      </c>
      <c r="F37" s="88"/>
      <c r="G37" s="89"/>
      <c r="H37" s="90"/>
      <c r="I37" s="90"/>
    </row>
    <row r="38" customFormat="false" ht="15" hidden="false" customHeight="false" outlineLevel="0" collapsed="false">
      <c r="B38" s="87" t="n">
        <f aca="false">WORKDAY(B37,1)</f>
        <v>46337</v>
      </c>
      <c r="C38" s="68" t="str">
        <f aca="false">CHOOSE(WEEKDAY(B38,2),"Mon","Tue","Wed","Thu","Fri","Sat","Sun")</f>
        <v>Wed</v>
      </c>
      <c r="D38" s="66" t="n">
        <f aca="false">COUNTIFS(Journal!$B$6:$B$505,B38,Journal!$BP$6:$BP$505,1)</f>
        <v>0</v>
      </c>
      <c r="E38" s="79" t="n">
        <f aca="false">SUMIFS(Journal!$AM$6:$AM$505,Journal!$B$6:$B$505,B38,Journal!$BP$6:$BP$505,1)</f>
        <v>0</v>
      </c>
      <c r="F38" s="88"/>
      <c r="G38" s="89"/>
      <c r="H38" s="90"/>
      <c r="I38" s="90"/>
    </row>
    <row r="39" customFormat="false" ht="15" hidden="false" customHeight="false" outlineLevel="0" collapsed="false">
      <c r="B39" s="87" t="n">
        <f aca="false">WORKDAY(B38,1)</f>
        <v>46338</v>
      </c>
      <c r="C39" s="68" t="str">
        <f aca="false">CHOOSE(WEEKDAY(B39,2),"Mon","Tue","Wed","Thu","Fri","Sat","Sun")</f>
        <v>Thu</v>
      </c>
      <c r="D39" s="66" t="n">
        <f aca="false">COUNTIFS(Journal!$B$6:$B$505,B39,Journal!$BP$6:$BP$505,1)</f>
        <v>0</v>
      </c>
      <c r="E39" s="79" t="n">
        <f aca="false">SUMIFS(Journal!$AM$6:$AM$505,Journal!$B$6:$B$505,B39,Journal!$BP$6:$BP$505,1)</f>
        <v>0</v>
      </c>
      <c r="F39" s="88"/>
      <c r="G39" s="89"/>
      <c r="H39" s="90"/>
      <c r="I39" s="90"/>
    </row>
    <row r="40" customFormat="false" ht="15" hidden="false" customHeight="false" outlineLevel="0" collapsed="false">
      <c r="B40" s="87" t="n">
        <f aca="false">WORKDAY(B39,1)</f>
        <v>46339</v>
      </c>
      <c r="C40" s="68" t="str">
        <f aca="false">CHOOSE(WEEKDAY(B40,2),"Mon","Tue","Wed","Thu","Fri","Sat","Sun")</f>
        <v>Fri</v>
      </c>
      <c r="D40" s="66" t="n">
        <f aca="false">COUNTIFS(Journal!$B$6:$B$505,B40,Journal!$BP$6:$BP$505,1)</f>
        <v>0</v>
      </c>
      <c r="E40" s="79" t="n">
        <f aca="false">SUMIFS(Journal!$AM$6:$AM$505,Journal!$B$6:$B$505,B40,Journal!$BP$6:$BP$505,1)</f>
        <v>0</v>
      </c>
      <c r="F40" s="88"/>
      <c r="G40" s="89"/>
      <c r="H40" s="90"/>
      <c r="I40" s="90"/>
    </row>
    <row r="41" customFormat="false" ht="15" hidden="false" customHeight="false" outlineLevel="0" collapsed="false">
      <c r="B41" s="87" t="n">
        <f aca="false">WORKDAY(B40,1)</f>
        <v>46342</v>
      </c>
      <c r="C41" s="68" t="str">
        <f aca="false">CHOOSE(WEEKDAY(B41,2),"Mon","Tue","Wed","Thu","Fri","Sat","Sun")</f>
        <v>Mon</v>
      </c>
      <c r="D41" s="66" t="n">
        <f aca="false">COUNTIFS(Journal!$B$6:$B$505,B41,Journal!$BP$6:$BP$505,1)</f>
        <v>0</v>
      </c>
      <c r="E41" s="79" t="n">
        <f aca="false">SUMIFS(Journal!$AM$6:$AM$505,Journal!$B$6:$B$505,B41,Journal!$BP$6:$BP$505,1)</f>
        <v>0</v>
      </c>
      <c r="F41" s="88"/>
      <c r="G41" s="89"/>
      <c r="H41" s="90"/>
      <c r="I41" s="90"/>
    </row>
    <row r="42" customFormat="false" ht="15" hidden="false" customHeight="false" outlineLevel="0" collapsed="false">
      <c r="B42" s="87" t="n">
        <f aca="false">WORKDAY(B41,1)</f>
        <v>46343</v>
      </c>
      <c r="C42" s="68" t="str">
        <f aca="false">CHOOSE(WEEKDAY(B42,2),"Mon","Tue","Wed","Thu","Fri","Sat","Sun")</f>
        <v>Tue</v>
      </c>
      <c r="D42" s="66" t="n">
        <f aca="false">COUNTIFS(Journal!$B$6:$B$505,B42,Journal!$BP$6:$BP$505,1)</f>
        <v>0</v>
      </c>
      <c r="E42" s="79" t="n">
        <f aca="false">SUMIFS(Journal!$AM$6:$AM$505,Journal!$B$6:$B$505,B42,Journal!$BP$6:$BP$505,1)</f>
        <v>0</v>
      </c>
      <c r="F42" s="88"/>
      <c r="G42" s="89"/>
      <c r="H42" s="90"/>
      <c r="I42" s="90"/>
    </row>
    <row r="43" customFormat="false" ht="15" hidden="false" customHeight="false" outlineLevel="0" collapsed="false">
      <c r="B43" s="87" t="n">
        <f aca="false">WORKDAY(B42,1)</f>
        <v>46344</v>
      </c>
      <c r="C43" s="68" t="str">
        <f aca="false">CHOOSE(WEEKDAY(B43,2),"Mon","Tue","Wed","Thu","Fri","Sat","Sun")</f>
        <v>Wed</v>
      </c>
      <c r="D43" s="66" t="n">
        <f aca="false">COUNTIFS(Journal!$B$6:$B$505,B43,Journal!$BP$6:$BP$505,1)</f>
        <v>0</v>
      </c>
      <c r="E43" s="79" t="n">
        <f aca="false">SUMIFS(Journal!$AM$6:$AM$505,Journal!$B$6:$B$505,B43,Journal!$BP$6:$BP$505,1)</f>
        <v>0</v>
      </c>
      <c r="F43" s="88"/>
      <c r="G43" s="89"/>
      <c r="H43" s="90"/>
      <c r="I43" s="90"/>
    </row>
    <row r="44" customFormat="false" ht="15" hidden="false" customHeight="false" outlineLevel="0" collapsed="false">
      <c r="B44" s="87" t="n">
        <f aca="false">WORKDAY(B43,1)</f>
        <v>46345</v>
      </c>
      <c r="C44" s="68" t="str">
        <f aca="false">CHOOSE(WEEKDAY(B44,2),"Mon","Tue","Wed","Thu","Fri","Sat","Sun")</f>
        <v>Thu</v>
      </c>
      <c r="D44" s="66" t="n">
        <f aca="false">COUNTIFS(Journal!$B$6:$B$505,B44,Journal!$BP$6:$BP$505,1)</f>
        <v>0</v>
      </c>
      <c r="E44" s="79" t="n">
        <f aca="false">SUMIFS(Journal!$AM$6:$AM$505,Journal!$B$6:$B$505,B44,Journal!$BP$6:$BP$505,1)</f>
        <v>0</v>
      </c>
      <c r="F44" s="88"/>
      <c r="G44" s="89"/>
      <c r="H44" s="90"/>
      <c r="I44" s="90"/>
    </row>
    <row r="45" customFormat="false" ht="15" hidden="false" customHeight="false" outlineLevel="0" collapsed="false">
      <c r="B45" s="87" t="n">
        <f aca="false">WORKDAY(B44,1)</f>
        <v>46346</v>
      </c>
      <c r="C45" s="68" t="str">
        <f aca="false">CHOOSE(WEEKDAY(B45,2),"Mon","Tue","Wed","Thu","Fri","Sat","Sun")</f>
        <v>Fri</v>
      </c>
      <c r="D45" s="66" t="n">
        <f aca="false">COUNTIFS(Journal!$B$6:$B$505,B45,Journal!$BP$6:$BP$505,1)</f>
        <v>0</v>
      </c>
      <c r="E45" s="79" t="n">
        <f aca="false">SUMIFS(Journal!$AM$6:$AM$505,Journal!$B$6:$B$505,B45,Journal!$BP$6:$BP$505,1)</f>
        <v>0</v>
      </c>
      <c r="F45" s="88"/>
      <c r="G45" s="89"/>
      <c r="H45" s="90"/>
      <c r="I45" s="90"/>
    </row>
    <row r="46" customFormat="false" ht="15" hidden="false" customHeight="false" outlineLevel="0" collapsed="false">
      <c r="B46" s="87" t="n">
        <f aca="false">WORKDAY(B45,1)</f>
        <v>46349</v>
      </c>
      <c r="C46" s="68" t="str">
        <f aca="false">CHOOSE(WEEKDAY(B46,2),"Mon","Tue","Wed","Thu","Fri","Sat","Sun")</f>
        <v>Mon</v>
      </c>
      <c r="D46" s="66" t="n">
        <f aca="false">COUNTIFS(Journal!$B$6:$B$505,B46,Journal!$BP$6:$BP$505,1)</f>
        <v>0</v>
      </c>
      <c r="E46" s="79" t="n">
        <f aca="false">SUMIFS(Journal!$AM$6:$AM$505,Journal!$B$6:$B$505,B46,Journal!$BP$6:$BP$505,1)</f>
        <v>0</v>
      </c>
      <c r="F46" s="88"/>
      <c r="G46" s="89"/>
      <c r="H46" s="90"/>
      <c r="I46" s="90"/>
    </row>
    <row r="47" customFormat="false" ht="15" hidden="false" customHeight="false" outlineLevel="0" collapsed="false">
      <c r="B47" s="87" t="n">
        <f aca="false">WORKDAY(B46,1)</f>
        <v>46350</v>
      </c>
      <c r="C47" s="68" t="str">
        <f aca="false">CHOOSE(WEEKDAY(B47,2),"Mon","Tue","Wed","Thu","Fri","Sat","Sun")</f>
        <v>Tue</v>
      </c>
      <c r="D47" s="66" t="n">
        <f aca="false">COUNTIFS(Journal!$B$6:$B$505,B47,Journal!$BP$6:$BP$505,1)</f>
        <v>0</v>
      </c>
      <c r="E47" s="79" t="n">
        <f aca="false">SUMIFS(Journal!$AM$6:$AM$505,Journal!$B$6:$B$505,B47,Journal!$BP$6:$BP$505,1)</f>
        <v>0</v>
      </c>
      <c r="F47" s="88"/>
      <c r="G47" s="89"/>
      <c r="H47" s="90"/>
      <c r="I47" s="90"/>
    </row>
    <row r="48" customFormat="false" ht="15" hidden="false" customHeight="false" outlineLevel="0" collapsed="false">
      <c r="B48" s="87" t="n">
        <f aca="false">WORKDAY(B47,1)</f>
        <v>46351</v>
      </c>
      <c r="C48" s="68" t="str">
        <f aca="false">CHOOSE(WEEKDAY(B48,2),"Mon","Tue","Wed","Thu","Fri","Sat","Sun")</f>
        <v>Wed</v>
      </c>
      <c r="D48" s="66" t="n">
        <f aca="false">COUNTIFS(Journal!$B$6:$B$505,B48,Journal!$BP$6:$BP$505,1)</f>
        <v>0</v>
      </c>
      <c r="E48" s="79" t="n">
        <f aca="false">SUMIFS(Journal!$AM$6:$AM$505,Journal!$B$6:$B$505,B48,Journal!$BP$6:$BP$505,1)</f>
        <v>0</v>
      </c>
      <c r="F48" s="88"/>
      <c r="G48" s="89"/>
      <c r="H48" s="90"/>
      <c r="I48" s="90"/>
    </row>
    <row r="49" customFormat="false" ht="15" hidden="false" customHeight="false" outlineLevel="0" collapsed="false">
      <c r="B49" s="87" t="n">
        <f aca="false">WORKDAY(B48,1)</f>
        <v>46352</v>
      </c>
      <c r="C49" s="68" t="str">
        <f aca="false">CHOOSE(WEEKDAY(B49,2),"Mon","Tue","Wed","Thu","Fri","Sat","Sun")</f>
        <v>Thu</v>
      </c>
      <c r="D49" s="66" t="n">
        <f aca="false">COUNTIFS(Journal!$B$6:$B$505,B49,Journal!$BP$6:$BP$505,1)</f>
        <v>0</v>
      </c>
      <c r="E49" s="79" t="n">
        <f aca="false">SUMIFS(Journal!$AM$6:$AM$505,Journal!$B$6:$B$505,B49,Journal!$BP$6:$BP$505,1)</f>
        <v>0</v>
      </c>
      <c r="F49" s="88"/>
      <c r="G49" s="89"/>
      <c r="H49" s="90"/>
      <c r="I49" s="90"/>
    </row>
    <row r="50" customFormat="false" ht="15" hidden="false" customHeight="false" outlineLevel="0" collapsed="false">
      <c r="B50" s="87" t="n">
        <f aca="false">WORKDAY(B49,1)</f>
        <v>46353</v>
      </c>
      <c r="C50" s="68" t="str">
        <f aca="false">CHOOSE(WEEKDAY(B50,2),"Mon","Tue","Wed","Thu","Fri","Sat","Sun")</f>
        <v>Fri</v>
      </c>
      <c r="D50" s="66" t="n">
        <f aca="false">COUNTIFS(Journal!$B$6:$B$505,B50,Journal!$BP$6:$BP$505,1)</f>
        <v>0</v>
      </c>
      <c r="E50" s="79" t="n">
        <f aca="false">SUMIFS(Journal!$AM$6:$AM$505,Journal!$B$6:$B$505,B50,Journal!$BP$6:$BP$505,1)</f>
        <v>0</v>
      </c>
      <c r="F50" s="88"/>
      <c r="G50" s="89"/>
      <c r="H50" s="90"/>
      <c r="I50" s="90"/>
    </row>
    <row r="51" customFormat="false" ht="15" hidden="false" customHeight="false" outlineLevel="0" collapsed="false">
      <c r="B51" s="87" t="n">
        <f aca="false">WORKDAY(B50,1)</f>
        <v>46356</v>
      </c>
      <c r="C51" s="68" t="str">
        <f aca="false">CHOOSE(WEEKDAY(B51,2),"Mon","Tue","Wed","Thu","Fri","Sat","Sun")</f>
        <v>Mon</v>
      </c>
      <c r="D51" s="66" t="n">
        <f aca="false">COUNTIFS(Journal!$B$6:$B$505,B51,Journal!$BP$6:$BP$505,1)</f>
        <v>0</v>
      </c>
      <c r="E51" s="79" t="n">
        <f aca="false">SUMIFS(Journal!$AM$6:$AM$505,Journal!$B$6:$B$505,B51,Journal!$BP$6:$BP$505,1)</f>
        <v>0</v>
      </c>
      <c r="F51" s="88"/>
      <c r="G51" s="89"/>
      <c r="H51" s="90"/>
      <c r="I51" s="90"/>
    </row>
    <row r="52" customFormat="false" ht="15" hidden="false" customHeight="false" outlineLevel="0" collapsed="false">
      <c r="B52" s="87" t="n">
        <f aca="false">WORKDAY(B51,1)</f>
        <v>46357</v>
      </c>
      <c r="C52" s="68" t="str">
        <f aca="false">CHOOSE(WEEKDAY(B52,2),"Mon","Tue","Wed","Thu","Fri","Sat","Sun")</f>
        <v>Tue</v>
      </c>
      <c r="D52" s="66" t="n">
        <f aca="false">COUNTIFS(Journal!$B$6:$B$505,B52,Journal!$BP$6:$BP$505,1)</f>
        <v>0</v>
      </c>
      <c r="E52" s="79" t="n">
        <f aca="false">SUMIFS(Journal!$AM$6:$AM$505,Journal!$B$6:$B$505,B52,Journal!$BP$6:$BP$505,1)</f>
        <v>0</v>
      </c>
      <c r="F52" s="88"/>
      <c r="G52" s="89"/>
      <c r="H52" s="90"/>
      <c r="I52" s="90"/>
    </row>
    <row r="53" customFormat="false" ht="15" hidden="false" customHeight="false" outlineLevel="0" collapsed="false">
      <c r="B53" s="87" t="n">
        <f aca="false">WORKDAY(B52,1)</f>
        <v>46358</v>
      </c>
      <c r="C53" s="68" t="str">
        <f aca="false">CHOOSE(WEEKDAY(B53,2),"Mon","Tue","Wed","Thu","Fri","Sat","Sun")</f>
        <v>Wed</v>
      </c>
      <c r="D53" s="66" t="n">
        <f aca="false">COUNTIFS(Journal!$B$6:$B$505,B53,Journal!$BP$6:$BP$505,1)</f>
        <v>0</v>
      </c>
      <c r="E53" s="79" t="n">
        <f aca="false">SUMIFS(Journal!$AM$6:$AM$505,Journal!$B$6:$B$505,B53,Journal!$BP$6:$BP$505,1)</f>
        <v>0</v>
      </c>
      <c r="F53" s="88"/>
      <c r="G53" s="89"/>
      <c r="H53" s="90"/>
      <c r="I53" s="90"/>
    </row>
    <row r="54" customFormat="false" ht="15" hidden="false" customHeight="false" outlineLevel="0" collapsed="false">
      <c r="B54" s="87" t="n">
        <f aca="false">WORKDAY(B53,1)</f>
        <v>46359</v>
      </c>
      <c r="C54" s="68" t="str">
        <f aca="false">CHOOSE(WEEKDAY(B54,2),"Mon","Tue","Wed","Thu","Fri","Sat","Sun")</f>
        <v>Thu</v>
      </c>
      <c r="D54" s="66" t="n">
        <f aca="false">COUNTIFS(Journal!$B$6:$B$505,B54,Journal!$BP$6:$BP$505,1)</f>
        <v>0</v>
      </c>
      <c r="E54" s="79" t="n">
        <f aca="false">SUMIFS(Journal!$AM$6:$AM$505,Journal!$B$6:$B$505,B54,Journal!$BP$6:$BP$505,1)</f>
        <v>0</v>
      </c>
      <c r="F54" s="88"/>
      <c r="G54" s="89"/>
      <c r="H54" s="90"/>
      <c r="I54" s="90"/>
    </row>
    <row r="55" customFormat="false" ht="15" hidden="false" customHeight="false" outlineLevel="0" collapsed="false">
      <c r="B55" s="87" t="n">
        <f aca="false">WORKDAY(B54,1)</f>
        <v>46360</v>
      </c>
      <c r="C55" s="68" t="str">
        <f aca="false">CHOOSE(WEEKDAY(B55,2),"Mon","Tue","Wed","Thu","Fri","Sat","Sun")</f>
        <v>Fri</v>
      </c>
      <c r="D55" s="66" t="n">
        <f aca="false">COUNTIFS(Journal!$B$6:$B$505,B55,Journal!$BP$6:$BP$505,1)</f>
        <v>0</v>
      </c>
      <c r="E55" s="79" t="n">
        <f aca="false">SUMIFS(Journal!$AM$6:$AM$505,Journal!$B$6:$B$505,B55,Journal!$BP$6:$BP$505,1)</f>
        <v>0</v>
      </c>
      <c r="F55" s="88"/>
      <c r="G55" s="89"/>
      <c r="H55" s="90"/>
      <c r="I55" s="90"/>
    </row>
    <row r="56" customFormat="false" ht="15" hidden="false" customHeight="false" outlineLevel="0" collapsed="false">
      <c r="B56" s="87" t="n">
        <f aca="false">WORKDAY(B55,1)</f>
        <v>46363</v>
      </c>
      <c r="C56" s="68" t="str">
        <f aca="false">CHOOSE(WEEKDAY(B56,2),"Mon","Tue","Wed","Thu","Fri","Sat","Sun")</f>
        <v>Mon</v>
      </c>
      <c r="D56" s="66" t="n">
        <f aca="false">COUNTIFS(Journal!$B$6:$B$505,B56,Journal!$BP$6:$BP$505,1)</f>
        <v>0</v>
      </c>
      <c r="E56" s="79" t="n">
        <f aca="false">SUMIFS(Journal!$AM$6:$AM$505,Journal!$B$6:$B$505,B56,Journal!$BP$6:$BP$505,1)</f>
        <v>0</v>
      </c>
      <c r="F56" s="88"/>
      <c r="G56" s="89"/>
      <c r="H56" s="90"/>
      <c r="I56" s="90"/>
    </row>
    <row r="57" customFormat="false" ht="15" hidden="false" customHeight="false" outlineLevel="0" collapsed="false">
      <c r="B57" s="87" t="n">
        <f aca="false">WORKDAY(B56,1)</f>
        <v>46364</v>
      </c>
      <c r="C57" s="68" t="str">
        <f aca="false">CHOOSE(WEEKDAY(B57,2),"Mon","Tue","Wed","Thu","Fri","Sat","Sun")</f>
        <v>Tue</v>
      </c>
      <c r="D57" s="66" t="n">
        <f aca="false">COUNTIFS(Journal!$B$6:$B$505,B57,Journal!$BP$6:$BP$505,1)</f>
        <v>0</v>
      </c>
      <c r="E57" s="79" t="n">
        <f aca="false">SUMIFS(Journal!$AM$6:$AM$505,Journal!$B$6:$B$505,B57,Journal!$BP$6:$BP$505,1)</f>
        <v>0</v>
      </c>
      <c r="F57" s="88"/>
      <c r="G57" s="89"/>
      <c r="H57" s="90"/>
      <c r="I57" s="90"/>
    </row>
    <row r="58" customFormat="false" ht="15" hidden="false" customHeight="false" outlineLevel="0" collapsed="false">
      <c r="B58" s="87" t="n">
        <f aca="false">WORKDAY(B57,1)</f>
        <v>46365</v>
      </c>
      <c r="C58" s="68" t="str">
        <f aca="false">CHOOSE(WEEKDAY(B58,2),"Mon","Tue","Wed","Thu","Fri","Sat","Sun")</f>
        <v>Wed</v>
      </c>
      <c r="D58" s="66" t="n">
        <f aca="false">COUNTIFS(Journal!$B$6:$B$505,B58,Journal!$BP$6:$BP$505,1)</f>
        <v>0</v>
      </c>
      <c r="E58" s="79" t="n">
        <f aca="false">SUMIFS(Journal!$AM$6:$AM$505,Journal!$B$6:$B$505,B58,Journal!$BP$6:$BP$505,1)</f>
        <v>0</v>
      </c>
      <c r="F58" s="88"/>
      <c r="G58" s="89"/>
      <c r="H58" s="90"/>
      <c r="I58" s="90"/>
    </row>
    <row r="59" customFormat="false" ht="15" hidden="false" customHeight="false" outlineLevel="0" collapsed="false">
      <c r="B59" s="87" t="n">
        <f aca="false">WORKDAY(B58,1)</f>
        <v>46366</v>
      </c>
      <c r="C59" s="68" t="str">
        <f aca="false">CHOOSE(WEEKDAY(B59,2),"Mon","Tue","Wed","Thu","Fri","Sat","Sun")</f>
        <v>Thu</v>
      </c>
      <c r="D59" s="66" t="n">
        <f aca="false">COUNTIFS(Journal!$B$6:$B$505,B59,Journal!$BP$6:$BP$505,1)</f>
        <v>0</v>
      </c>
      <c r="E59" s="79" t="n">
        <f aca="false">SUMIFS(Journal!$AM$6:$AM$505,Journal!$B$6:$B$505,B59,Journal!$BP$6:$BP$505,1)</f>
        <v>0</v>
      </c>
      <c r="F59" s="88"/>
      <c r="G59" s="89"/>
      <c r="H59" s="90"/>
      <c r="I59" s="90"/>
    </row>
    <row r="60" customFormat="false" ht="15" hidden="false" customHeight="false" outlineLevel="0" collapsed="false">
      <c r="B60" s="87" t="n">
        <f aca="false">WORKDAY(B59,1)</f>
        <v>46367</v>
      </c>
      <c r="C60" s="68" t="str">
        <f aca="false">CHOOSE(WEEKDAY(B60,2),"Mon","Tue","Wed","Thu","Fri","Sat","Sun")</f>
        <v>Fri</v>
      </c>
      <c r="D60" s="66" t="n">
        <f aca="false">COUNTIFS(Journal!$B$6:$B$505,B60,Journal!$BP$6:$BP$505,1)</f>
        <v>0</v>
      </c>
      <c r="E60" s="79" t="n">
        <f aca="false">SUMIFS(Journal!$AM$6:$AM$505,Journal!$B$6:$B$505,B60,Journal!$BP$6:$BP$505,1)</f>
        <v>0</v>
      </c>
      <c r="F60" s="88"/>
      <c r="G60" s="89"/>
      <c r="H60" s="90"/>
      <c r="I60" s="90"/>
    </row>
    <row r="61" customFormat="false" ht="15" hidden="false" customHeight="false" outlineLevel="0" collapsed="false">
      <c r="B61" s="87" t="n">
        <f aca="false">WORKDAY(B60,1)</f>
        <v>46370</v>
      </c>
      <c r="C61" s="68" t="str">
        <f aca="false">CHOOSE(WEEKDAY(B61,2),"Mon","Tue","Wed","Thu","Fri","Sat","Sun")</f>
        <v>Mon</v>
      </c>
      <c r="D61" s="66" t="n">
        <f aca="false">COUNTIFS(Journal!$B$6:$B$505,B61,Journal!$BP$6:$BP$505,1)</f>
        <v>0</v>
      </c>
      <c r="E61" s="79" t="n">
        <f aca="false">SUMIFS(Journal!$AM$6:$AM$505,Journal!$B$6:$B$505,B61,Journal!$BP$6:$BP$505,1)</f>
        <v>0</v>
      </c>
      <c r="F61" s="88"/>
      <c r="G61" s="89"/>
      <c r="H61" s="90"/>
      <c r="I61" s="90"/>
    </row>
    <row r="62" customFormat="false" ht="15" hidden="false" customHeight="false" outlineLevel="0" collapsed="false">
      <c r="B62" s="87" t="n">
        <f aca="false">WORKDAY(B61,1)</f>
        <v>46371</v>
      </c>
      <c r="C62" s="68" t="str">
        <f aca="false">CHOOSE(WEEKDAY(B62,2),"Mon","Tue","Wed","Thu","Fri","Sat","Sun")</f>
        <v>Tue</v>
      </c>
      <c r="D62" s="66" t="n">
        <f aca="false">COUNTIFS(Journal!$B$6:$B$505,B62,Journal!$BP$6:$BP$505,1)</f>
        <v>0</v>
      </c>
      <c r="E62" s="79" t="n">
        <f aca="false">SUMIFS(Journal!$AM$6:$AM$505,Journal!$B$6:$B$505,B62,Journal!$BP$6:$BP$505,1)</f>
        <v>0</v>
      </c>
      <c r="F62" s="88"/>
      <c r="G62" s="89"/>
      <c r="H62" s="90"/>
      <c r="I62" s="90"/>
    </row>
    <row r="63" customFormat="false" ht="15" hidden="false" customHeight="false" outlineLevel="0" collapsed="false">
      <c r="B63" s="87" t="n">
        <f aca="false">WORKDAY(B62,1)</f>
        <v>46372</v>
      </c>
      <c r="C63" s="68" t="str">
        <f aca="false">CHOOSE(WEEKDAY(B63,2),"Mon","Tue","Wed","Thu","Fri","Sat","Sun")</f>
        <v>Wed</v>
      </c>
      <c r="D63" s="66" t="n">
        <f aca="false">COUNTIFS(Journal!$B$6:$B$505,B63,Journal!$BP$6:$BP$505,1)</f>
        <v>0</v>
      </c>
      <c r="E63" s="79" t="n">
        <f aca="false">SUMIFS(Journal!$AM$6:$AM$505,Journal!$B$6:$B$505,B63,Journal!$BP$6:$BP$505,1)</f>
        <v>0</v>
      </c>
      <c r="F63" s="88"/>
      <c r="G63" s="89"/>
      <c r="H63" s="90"/>
      <c r="I63" s="90"/>
    </row>
    <row r="64" customFormat="false" ht="15" hidden="false" customHeight="false" outlineLevel="0" collapsed="false">
      <c r="B64" s="87" t="n">
        <f aca="false">WORKDAY(B63,1)</f>
        <v>46373</v>
      </c>
      <c r="C64" s="68" t="str">
        <f aca="false">CHOOSE(WEEKDAY(B64,2),"Mon","Tue","Wed","Thu","Fri","Sat","Sun")</f>
        <v>Thu</v>
      </c>
      <c r="D64" s="66" t="n">
        <f aca="false">COUNTIFS(Journal!$B$6:$B$505,B64,Journal!$BP$6:$BP$505,1)</f>
        <v>0</v>
      </c>
      <c r="E64" s="79" t="n">
        <f aca="false">SUMIFS(Journal!$AM$6:$AM$505,Journal!$B$6:$B$505,B64,Journal!$BP$6:$BP$505,1)</f>
        <v>0</v>
      </c>
      <c r="F64" s="88"/>
      <c r="G64" s="89"/>
      <c r="H64" s="90"/>
      <c r="I64" s="90"/>
    </row>
    <row r="65" customFormat="false" ht="15" hidden="false" customHeight="false" outlineLevel="0" collapsed="false">
      <c r="B65" s="87" t="n">
        <f aca="false">WORKDAY(B64,1)</f>
        <v>46374</v>
      </c>
      <c r="C65" s="68" t="str">
        <f aca="false">CHOOSE(WEEKDAY(B65,2),"Mon","Tue","Wed","Thu","Fri","Sat","Sun")</f>
        <v>Fri</v>
      </c>
      <c r="D65" s="66" t="n">
        <f aca="false">COUNTIFS(Journal!$B$6:$B$505,B65,Journal!$BP$6:$BP$505,1)</f>
        <v>0</v>
      </c>
      <c r="E65" s="79" t="n">
        <f aca="false">SUMIFS(Journal!$AM$6:$AM$505,Journal!$B$6:$B$505,B65,Journal!$BP$6:$BP$505,1)</f>
        <v>0</v>
      </c>
      <c r="F65" s="88"/>
      <c r="G65" s="89"/>
      <c r="H65" s="90"/>
      <c r="I65" s="90"/>
    </row>
    <row r="66" customFormat="false" ht="15" hidden="false" customHeight="false" outlineLevel="0" collapsed="false">
      <c r="B66" s="87" t="n">
        <f aca="false">WORKDAY(B65,1)</f>
        <v>46377</v>
      </c>
      <c r="C66" s="68" t="str">
        <f aca="false">CHOOSE(WEEKDAY(B66,2),"Mon","Tue","Wed","Thu","Fri","Sat","Sun")</f>
        <v>Mon</v>
      </c>
      <c r="D66" s="66" t="n">
        <f aca="false">COUNTIFS(Journal!$B$6:$B$505,B66,Journal!$BP$6:$BP$505,1)</f>
        <v>0</v>
      </c>
      <c r="E66" s="79" t="n">
        <f aca="false">SUMIFS(Journal!$AM$6:$AM$505,Journal!$B$6:$B$505,B66,Journal!$BP$6:$BP$505,1)</f>
        <v>0</v>
      </c>
      <c r="F66" s="88"/>
      <c r="G66" s="89"/>
      <c r="H66" s="90"/>
      <c r="I66" s="90"/>
    </row>
    <row r="67" customFormat="false" ht="15" hidden="false" customHeight="false" outlineLevel="0" collapsed="false">
      <c r="B67" s="87" t="n">
        <f aca="false">WORKDAY(B66,1)</f>
        <v>46378</v>
      </c>
      <c r="C67" s="68" t="str">
        <f aca="false">CHOOSE(WEEKDAY(B67,2),"Mon","Tue","Wed","Thu","Fri","Sat","Sun")</f>
        <v>Tue</v>
      </c>
      <c r="D67" s="66" t="n">
        <f aca="false">COUNTIFS(Journal!$B$6:$B$505,B67,Journal!$BP$6:$BP$505,1)</f>
        <v>0</v>
      </c>
      <c r="E67" s="79" t="n">
        <f aca="false">SUMIFS(Journal!$AM$6:$AM$505,Journal!$B$6:$B$505,B67,Journal!$BP$6:$BP$505,1)</f>
        <v>0</v>
      </c>
      <c r="F67" s="88"/>
      <c r="G67" s="89"/>
      <c r="H67" s="90"/>
      <c r="I67" s="90"/>
    </row>
    <row r="68" customFormat="false" ht="15" hidden="false" customHeight="false" outlineLevel="0" collapsed="false">
      <c r="B68" s="87" t="n">
        <f aca="false">WORKDAY(B67,1)</f>
        <v>46379</v>
      </c>
      <c r="C68" s="68" t="str">
        <f aca="false">CHOOSE(WEEKDAY(B68,2),"Mon","Tue","Wed","Thu","Fri","Sat","Sun")</f>
        <v>Wed</v>
      </c>
      <c r="D68" s="66" t="n">
        <f aca="false">COUNTIFS(Journal!$B$6:$B$505,B68,Journal!$BP$6:$BP$505,1)</f>
        <v>0</v>
      </c>
      <c r="E68" s="79" t="n">
        <f aca="false">SUMIFS(Journal!$AM$6:$AM$505,Journal!$B$6:$B$505,B68,Journal!$BP$6:$BP$505,1)</f>
        <v>0</v>
      </c>
      <c r="F68" s="88"/>
      <c r="G68" s="89"/>
      <c r="H68" s="90"/>
      <c r="I68" s="90"/>
    </row>
    <row r="69" customFormat="false" ht="15" hidden="false" customHeight="false" outlineLevel="0" collapsed="false">
      <c r="B69" s="87" t="n">
        <f aca="false">WORKDAY(B68,1)</f>
        <v>46380</v>
      </c>
      <c r="C69" s="68" t="str">
        <f aca="false">CHOOSE(WEEKDAY(B69,2),"Mon","Tue","Wed","Thu","Fri","Sat","Sun")</f>
        <v>Thu</v>
      </c>
      <c r="D69" s="66" t="n">
        <f aca="false">COUNTIFS(Journal!$B$6:$B$505,B69,Journal!$BP$6:$BP$505,1)</f>
        <v>0</v>
      </c>
      <c r="E69" s="79" t="n">
        <f aca="false">SUMIFS(Journal!$AM$6:$AM$505,Journal!$B$6:$B$505,B69,Journal!$BP$6:$BP$505,1)</f>
        <v>0</v>
      </c>
      <c r="F69" s="88"/>
      <c r="G69" s="89"/>
      <c r="H69" s="90"/>
      <c r="I69" s="90"/>
    </row>
    <row r="70" customFormat="false" ht="15" hidden="false" customHeight="false" outlineLevel="0" collapsed="false">
      <c r="B70" s="87" t="n">
        <f aca="false">WORKDAY(B69,1)</f>
        <v>46381</v>
      </c>
      <c r="C70" s="68" t="str">
        <f aca="false">CHOOSE(WEEKDAY(B70,2),"Mon","Tue","Wed","Thu","Fri","Sat","Sun")</f>
        <v>Fri</v>
      </c>
      <c r="D70" s="66" t="n">
        <f aca="false">COUNTIFS(Journal!$B$6:$B$505,B70,Journal!$BP$6:$BP$505,1)</f>
        <v>0</v>
      </c>
      <c r="E70" s="79" t="n">
        <f aca="false">SUMIFS(Journal!$AM$6:$AM$505,Journal!$B$6:$B$505,B70,Journal!$BP$6:$BP$505,1)</f>
        <v>0</v>
      </c>
      <c r="F70" s="88"/>
      <c r="G70" s="89"/>
      <c r="H70" s="90"/>
      <c r="I70" s="90"/>
    </row>
    <row r="71" customFormat="false" ht="15" hidden="false" customHeight="false" outlineLevel="0" collapsed="false">
      <c r="B71" s="87" t="n">
        <f aca="false">WORKDAY(B70,1)</f>
        <v>46384</v>
      </c>
      <c r="C71" s="68" t="str">
        <f aca="false">CHOOSE(WEEKDAY(B71,2),"Mon","Tue","Wed","Thu","Fri","Sat","Sun")</f>
        <v>Mon</v>
      </c>
      <c r="D71" s="66" t="n">
        <f aca="false">COUNTIFS(Journal!$B$6:$B$505,B71,Journal!$BP$6:$BP$505,1)</f>
        <v>0</v>
      </c>
      <c r="E71" s="79" t="n">
        <f aca="false">SUMIFS(Journal!$AM$6:$AM$505,Journal!$B$6:$B$505,B71,Journal!$BP$6:$BP$505,1)</f>
        <v>0</v>
      </c>
      <c r="F71" s="88"/>
      <c r="G71" s="89"/>
      <c r="H71" s="90"/>
      <c r="I71" s="90"/>
    </row>
    <row r="72" customFormat="false" ht="15" hidden="false" customHeight="false" outlineLevel="0" collapsed="false">
      <c r="B72" s="87" t="n">
        <f aca="false">WORKDAY(B71,1)</f>
        <v>46385</v>
      </c>
      <c r="C72" s="68" t="str">
        <f aca="false">CHOOSE(WEEKDAY(B72,2),"Mon","Tue","Wed","Thu","Fri","Sat","Sun")</f>
        <v>Tue</v>
      </c>
      <c r="D72" s="66" t="n">
        <f aca="false">COUNTIFS(Journal!$B$6:$B$505,B72,Journal!$BP$6:$BP$505,1)</f>
        <v>0</v>
      </c>
      <c r="E72" s="79" t="n">
        <f aca="false">SUMIFS(Journal!$AM$6:$AM$505,Journal!$B$6:$B$505,B72,Journal!$BP$6:$BP$505,1)</f>
        <v>0</v>
      </c>
      <c r="F72" s="88"/>
      <c r="G72" s="89"/>
      <c r="H72" s="90"/>
      <c r="I72" s="90"/>
    </row>
    <row r="73" customFormat="false" ht="15" hidden="false" customHeight="false" outlineLevel="0" collapsed="false">
      <c r="B73" s="87" t="n">
        <f aca="false">WORKDAY(B72,1)</f>
        <v>46386</v>
      </c>
      <c r="C73" s="68" t="str">
        <f aca="false">CHOOSE(WEEKDAY(B73,2),"Mon","Tue","Wed","Thu","Fri","Sat","Sun")</f>
        <v>Wed</v>
      </c>
      <c r="D73" s="66" t="n">
        <f aca="false">COUNTIFS(Journal!$B$6:$B$505,B73,Journal!$BP$6:$BP$505,1)</f>
        <v>0</v>
      </c>
      <c r="E73" s="79" t="n">
        <f aca="false">SUMIFS(Journal!$AM$6:$AM$505,Journal!$B$6:$B$505,B73,Journal!$BP$6:$BP$505,1)</f>
        <v>0</v>
      </c>
      <c r="F73" s="88"/>
      <c r="G73" s="89"/>
      <c r="H73" s="90"/>
      <c r="I73" s="90"/>
    </row>
    <row r="74" customFormat="false" ht="15" hidden="false" customHeight="false" outlineLevel="0" collapsed="false">
      <c r="B74" s="87" t="n">
        <f aca="false">WORKDAY(B73,1)</f>
        <v>46387</v>
      </c>
      <c r="C74" s="68" t="str">
        <f aca="false">CHOOSE(WEEKDAY(B74,2),"Mon","Tue","Wed","Thu","Fri","Sat","Sun")</f>
        <v>Thu</v>
      </c>
      <c r="D74" s="66" t="n">
        <f aca="false">COUNTIFS(Journal!$B$6:$B$505,B74,Journal!$BP$6:$BP$505,1)</f>
        <v>0</v>
      </c>
      <c r="E74" s="79" t="n">
        <f aca="false">SUMIFS(Journal!$AM$6:$AM$505,Journal!$B$6:$B$505,B74,Journal!$BP$6:$BP$505,1)</f>
        <v>0</v>
      </c>
      <c r="F74" s="88"/>
      <c r="G74" s="89"/>
      <c r="H74" s="90"/>
      <c r="I74" s="90"/>
    </row>
    <row r="75" customFormat="false" ht="15" hidden="false" customHeight="false" outlineLevel="0" collapsed="false">
      <c r="B75" s="87" t="n">
        <f aca="false">WORKDAY(B74,1)</f>
        <v>46388</v>
      </c>
      <c r="C75" s="68" t="str">
        <f aca="false">CHOOSE(WEEKDAY(B75,2),"Mon","Tue","Wed","Thu","Fri","Sat","Sun")</f>
        <v>Fri</v>
      </c>
      <c r="D75" s="66" t="n">
        <f aca="false">COUNTIFS(Journal!$B$6:$B$505,B75,Journal!$BP$6:$BP$505,1)</f>
        <v>0</v>
      </c>
      <c r="E75" s="79" t="n">
        <f aca="false">SUMIFS(Journal!$AM$6:$AM$505,Journal!$B$6:$B$505,B75,Journal!$BP$6:$BP$505,1)</f>
        <v>0</v>
      </c>
      <c r="F75" s="88"/>
      <c r="G75" s="89"/>
      <c r="H75" s="90"/>
      <c r="I75" s="90"/>
    </row>
    <row r="76" customFormat="false" ht="15" hidden="false" customHeight="false" outlineLevel="0" collapsed="false">
      <c r="B76" s="87" t="n">
        <f aca="false">WORKDAY(B75,1)</f>
        <v>46391</v>
      </c>
      <c r="C76" s="68" t="str">
        <f aca="false">CHOOSE(WEEKDAY(B76,2),"Mon","Tue","Wed","Thu","Fri","Sat","Sun")</f>
        <v>Mon</v>
      </c>
      <c r="D76" s="66" t="n">
        <f aca="false">COUNTIFS(Journal!$B$6:$B$505,B76,Journal!$BP$6:$BP$505,1)</f>
        <v>0</v>
      </c>
      <c r="E76" s="79" t="n">
        <f aca="false">SUMIFS(Journal!$AM$6:$AM$505,Journal!$B$6:$B$505,B76,Journal!$BP$6:$BP$505,1)</f>
        <v>0</v>
      </c>
      <c r="F76" s="88"/>
      <c r="G76" s="89"/>
      <c r="H76" s="90"/>
      <c r="I76" s="90"/>
    </row>
    <row r="77" customFormat="false" ht="15" hidden="false" customHeight="false" outlineLevel="0" collapsed="false">
      <c r="B77" s="87" t="n">
        <f aca="false">WORKDAY(B76,1)</f>
        <v>46392</v>
      </c>
      <c r="C77" s="68" t="str">
        <f aca="false">CHOOSE(WEEKDAY(B77,2),"Mon","Tue","Wed","Thu","Fri","Sat","Sun")</f>
        <v>Tue</v>
      </c>
      <c r="D77" s="66" t="n">
        <f aca="false">COUNTIFS(Journal!$B$6:$B$505,B77,Journal!$BP$6:$BP$505,1)</f>
        <v>0</v>
      </c>
      <c r="E77" s="79" t="n">
        <f aca="false">SUMIFS(Journal!$AM$6:$AM$505,Journal!$B$6:$B$505,B77,Journal!$BP$6:$BP$505,1)</f>
        <v>0</v>
      </c>
      <c r="F77" s="88"/>
      <c r="G77" s="89"/>
      <c r="H77" s="90"/>
      <c r="I77" s="90"/>
    </row>
    <row r="78" customFormat="false" ht="15" hidden="false" customHeight="false" outlineLevel="0" collapsed="false">
      <c r="B78" s="87" t="n">
        <f aca="false">WORKDAY(B77,1)</f>
        <v>46393</v>
      </c>
      <c r="C78" s="68" t="str">
        <f aca="false">CHOOSE(WEEKDAY(B78,2),"Mon","Tue","Wed","Thu","Fri","Sat","Sun")</f>
        <v>Wed</v>
      </c>
      <c r="D78" s="66" t="n">
        <f aca="false">COUNTIFS(Journal!$B$6:$B$505,B78,Journal!$BP$6:$BP$505,1)</f>
        <v>0</v>
      </c>
      <c r="E78" s="79" t="n">
        <f aca="false">SUMIFS(Journal!$AM$6:$AM$505,Journal!$B$6:$B$505,B78,Journal!$BP$6:$BP$505,1)</f>
        <v>0</v>
      </c>
      <c r="F78" s="88"/>
      <c r="G78" s="89"/>
      <c r="H78" s="90"/>
      <c r="I78" s="90"/>
    </row>
    <row r="79" customFormat="false" ht="15" hidden="false" customHeight="false" outlineLevel="0" collapsed="false">
      <c r="B79" s="87" t="n">
        <f aca="false">WORKDAY(B78,1)</f>
        <v>46394</v>
      </c>
      <c r="C79" s="68" t="str">
        <f aca="false">CHOOSE(WEEKDAY(B79,2),"Mon","Tue","Wed","Thu","Fri","Sat","Sun")</f>
        <v>Thu</v>
      </c>
      <c r="D79" s="66" t="n">
        <f aca="false">COUNTIFS(Journal!$B$6:$B$505,B79,Journal!$BP$6:$BP$505,1)</f>
        <v>0</v>
      </c>
      <c r="E79" s="79" t="n">
        <f aca="false">SUMIFS(Journal!$AM$6:$AM$505,Journal!$B$6:$B$505,B79,Journal!$BP$6:$BP$505,1)</f>
        <v>0</v>
      </c>
      <c r="F79" s="88"/>
      <c r="G79" s="89"/>
      <c r="H79" s="90"/>
      <c r="I79" s="90"/>
    </row>
    <row r="80" customFormat="false" ht="15" hidden="false" customHeight="false" outlineLevel="0" collapsed="false">
      <c r="B80" s="87" t="n">
        <f aca="false">WORKDAY(B79,1)</f>
        <v>46395</v>
      </c>
      <c r="C80" s="68" t="str">
        <f aca="false">CHOOSE(WEEKDAY(B80,2),"Mon","Tue","Wed","Thu","Fri","Sat","Sun")</f>
        <v>Fri</v>
      </c>
      <c r="D80" s="66" t="n">
        <f aca="false">COUNTIFS(Journal!$B$6:$B$505,B80,Journal!$BP$6:$BP$505,1)</f>
        <v>0</v>
      </c>
      <c r="E80" s="79" t="n">
        <f aca="false">SUMIFS(Journal!$AM$6:$AM$505,Journal!$B$6:$B$505,B80,Journal!$BP$6:$BP$505,1)</f>
        <v>0</v>
      </c>
      <c r="F80" s="88"/>
      <c r="G80" s="89"/>
      <c r="H80" s="90"/>
      <c r="I80" s="90"/>
    </row>
    <row r="81" customFormat="false" ht="15" hidden="false" customHeight="false" outlineLevel="0" collapsed="false">
      <c r="B81" s="87" t="n">
        <f aca="false">WORKDAY(B80,1)</f>
        <v>46398</v>
      </c>
      <c r="C81" s="68" t="str">
        <f aca="false">CHOOSE(WEEKDAY(B81,2),"Mon","Tue","Wed","Thu","Fri","Sat","Sun")</f>
        <v>Mon</v>
      </c>
      <c r="D81" s="66" t="n">
        <f aca="false">COUNTIFS(Journal!$B$6:$B$505,B81,Journal!$BP$6:$BP$505,1)</f>
        <v>0</v>
      </c>
      <c r="E81" s="79" t="n">
        <f aca="false">SUMIFS(Journal!$AM$6:$AM$505,Journal!$B$6:$B$505,B81,Journal!$BP$6:$BP$505,1)</f>
        <v>0</v>
      </c>
      <c r="F81" s="88"/>
      <c r="G81" s="89"/>
      <c r="H81" s="90"/>
      <c r="I81" s="90"/>
    </row>
    <row r="82" customFormat="false" ht="15" hidden="false" customHeight="false" outlineLevel="0" collapsed="false">
      <c r="B82" s="87" t="n">
        <f aca="false">WORKDAY(B81,1)</f>
        <v>46399</v>
      </c>
      <c r="C82" s="68" t="str">
        <f aca="false">CHOOSE(WEEKDAY(B82,2),"Mon","Tue","Wed","Thu","Fri","Sat","Sun")</f>
        <v>Tue</v>
      </c>
      <c r="D82" s="66" t="n">
        <f aca="false">COUNTIFS(Journal!$B$6:$B$505,B82,Journal!$BP$6:$BP$505,1)</f>
        <v>0</v>
      </c>
      <c r="E82" s="79" t="n">
        <f aca="false">SUMIFS(Journal!$AM$6:$AM$505,Journal!$B$6:$B$505,B82,Journal!$BP$6:$BP$505,1)</f>
        <v>0</v>
      </c>
      <c r="F82" s="88"/>
      <c r="G82" s="89"/>
      <c r="H82" s="90"/>
      <c r="I82" s="90"/>
    </row>
    <row r="83" customFormat="false" ht="15" hidden="false" customHeight="false" outlineLevel="0" collapsed="false">
      <c r="B83" s="87" t="n">
        <f aca="false">WORKDAY(B82,1)</f>
        <v>46400</v>
      </c>
      <c r="C83" s="68" t="str">
        <f aca="false">CHOOSE(WEEKDAY(B83,2),"Mon","Tue","Wed","Thu","Fri","Sat","Sun")</f>
        <v>Wed</v>
      </c>
      <c r="D83" s="66" t="n">
        <f aca="false">COUNTIFS(Journal!$B$6:$B$505,B83,Journal!$BP$6:$BP$505,1)</f>
        <v>0</v>
      </c>
      <c r="E83" s="79" t="n">
        <f aca="false">SUMIFS(Journal!$AM$6:$AM$505,Journal!$B$6:$B$505,B83,Journal!$BP$6:$BP$505,1)</f>
        <v>0</v>
      </c>
      <c r="F83" s="88"/>
      <c r="G83" s="89"/>
      <c r="H83" s="90"/>
      <c r="I83" s="90"/>
    </row>
    <row r="84" customFormat="false" ht="15" hidden="false" customHeight="false" outlineLevel="0" collapsed="false">
      <c r="B84" s="87" t="n">
        <f aca="false">WORKDAY(B83,1)</f>
        <v>46401</v>
      </c>
      <c r="C84" s="68" t="str">
        <f aca="false">CHOOSE(WEEKDAY(B84,2),"Mon","Tue","Wed","Thu","Fri","Sat","Sun")</f>
        <v>Thu</v>
      </c>
      <c r="D84" s="66" t="n">
        <f aca="false">COUNTIFS(Journal!$B$6:$B$505,B84,Journal!$BP$6:$BP$505,1)</f>
        <v>0</v>
      </c>
      <c r="E84" s="79" t="n">
        <f aca="false">SUMIFS(Journal!$AM$6:$AM$505,Journal!$B$6:$B$505,B84,Journal!$BP$6:$BP$505,1)</f>
        <v>0</v>
      </c>
      <c r="F84" s="88"/>
      <c r="G84" s="89"/>
      <c r="H84" s="90"/>
      <c r="I84" s="90"/>
    </row>
    <row r="85" customFormat="false" ht="15" hidden="false" customHeight="false" outlineLevel="0" collapsed="false">
      <c r="B85" s="87" t="n">
        <f aca="false">WORKDAY(B84,1)</f>
        <v>46402</v>
      </c>
      <c r="C85" s="68" t="str">
        <f aca="false">CHOOSE(WEEKDAY(B85,2),"Mon","Tue","Wed","Thu","Fri","Sat","Sun")</f>
        <v>Fri</v>
      </c>
      <c r="D85" s="66" t="n">
        <f aca="false">COUNTIFS(Journal!$B$6:$B$505,B85,Journal!$BP$6:$BP$505,1)</f>
        <v>0</v>
      </c>
      <c r="E85" s="79" t="n">
        <f aca="false">SUMIFS(Journal!$AM$6:$AM$505,Journal!$B$6:$B$505,B85,Journal!$BP$6:$BP$505,1)</f>
        <v>0</v>
      </c>
      <c r="F85" s="88"/>
      <c r="G85" s="89"/>
      <c r="H85" s="90"/>
      <c r="I85" s="90"/>
    </row>
    <row r="86" customFormat="false" ht="15" hidden="false" customHeight="false" outlineLevel="0" collapsed="false">
      <c r="B86" s="87" t="n">
        <f aca="false">WORKDAY(B85,1)</f>
        <v>46405</v>
      </c>
      <c r="C86" s="68" t="str">
        <f aca="false">CHOOSE(WEEKDAY(B86,2),"Mon","Tue","Wed","Thu","Fri","Sat","Sun")</f>
        <v>Mon</v>
      </c>
      <c r="D86" s="66" t="n">
        <f aca="false">COUNTIFS(Journal!$B$6:$B$505,B86,Journal!$BP$6:$BP$505,1)</f>
        <v>0</v>
      </c>
      <c r="E86" s="79" t="n">
        <f aca="false">SUMIFS(Journal!$AM$6:$AM$505,Journal!$B$6:$B$505,B86,Journal!$BP$6:$BP$505,1)</f>
        <v>0</v>
      </c>
      <c r="F86" s="88"/>
      <c r="G86" s="89"/>
      <c r="H86" s="90"/>
      <c r="I86" s="90"/>
    </row>
    <row r="87" customFormat="false" ht="15" hidden="false" customHeight="false" outlineLevel="0" collapsed="false">
      <c r="B87" s="87" t="n">
        <f aca="false">WORKDAY(B86,1)</f>
        <v>46406</v>
      </c>
      <c r="C87" s="68" t="str">
        <f aca="false">CHOOSE(WEEKDAY(B87,2),"Mon","Tue","Wed","Thu","Fri","Sat","Sun")</f>
        <v>Tue</v>
      </c>
      <c r="D87" s="66" t="n">
        <f aca="false">COUNTIFS(Journal!$B$6:$B$505,B87,Journal!$BP$6:$BP$505,1)</f>
        <v>0</v>
      </c>
      <c r="E87" s="79" t="n">
        <f aca="false">SUMIFS(Journal!$AM$6:$AM$505,Journal!$B$6:$B$505,B87,Journal!$BP$6:$BP$505,1)</f>
        <v>0</v>
      </c>
      <c r="F87" s="88"/>
      <c r="G87" s="89"/>
      <c r="H87" s="90"/>
      <c r="I87" s="90"/>
    </row>
    <row r="88" customFormat="false" ht="15" hidden="false" customHeight="false" outlineLevel="0" collapsed="false">
      <c r="B88" s="87" t="n">
        <f aca="false">WORKDAY(B87,1)</f>
        <v>46407</v>
      </c>
      <c r="C88" s="68" t="str">
        <f aca="false">CHOOSE(WEEKDAY(B88,2),"Mon","Tue","Wed","Thu","Fri","Sat","Sun")</f>
        <v>Wed</v>
      </c>
      <c r="D88" s="66" t="n">
        <f aca="false">COUNTIFS(Journal!$B$6:$B$505,B88,Journal!$BP$6:$BP$505,1)</f>
        <v>0</v>
      </c>
      <c r="E88" s="79" t="n">
        <f aca="false">SUMIFS(Journal!$AM$6:$AM$505,Journal!$B$6:$B$505,B88,Journal!$BP$6:$BP$505,1)</f>
        <v>0</v>
      </c>
      <c r="F88" s="88"/>
      <c r="G88" s="89"/>
      <c r="H88" s="90"/>
      <c r="I88" s="90"/>
    </row>
    <row r="89" customFormat="false" ht="15" hidden="false" customHeight="false" outlineLevel="0" collapsed="false">
      <c r="B89" s="87" t="n">
        <f aca="false">WORKDAY(B88,1)</f>
        <v>46408</v>
      </c>
      <c r="C89" s="68" t="str">
        <f aca="false">CHOOSE(WEEKDAY(B89,2),"Mon","Tue","Wed","Thu","Fri","Sat","Sun")</f>
        <v>Thu</v>
      </c>
      <c r="D89" s="66" t="n">
        <f aca="false">COUNTIFS(Journal!$B$6:$B$505,B89,Journal!$BP$6:$BP$505,1)</f>
        <v>0</v>
      </c>
      <c r="E89" s="79" t="n">
        <f aca="false">SUMIFS(Journal!$AM$6:$AM$505,Journal!$B$6:$B$505,B89,Journal!$BP$6:$BP$505,1)</f>
        <v>0</v>
      </c>
      <c r="F89" s="88"/>
      <c r="G89" s="89"/>
      <c r="H89" s="90"/>
      <c r="I89" s="90"/>
    </row>
    <row r="90" customFormat="false" ht="15" hidden="false" customHeight="false" outlineLevel="0" collapsed="false">
      <c r="B90" s="87" t="n">
        <f aca="false">WORKDAY(B89,1)</f>
        <v>46409</v>
      </c>
      <c r="C90" s="68" t="str">
        <f aca="false">CHOOSE(WEEKDAY(B90,2),"Mon","Tue","Wed","Thu","Fri","Sat","Sun")</f>
        <v>Fri</v>
      </c>
      <c r="D90" s="66" t="n">
        <f aca="false">COUNTIFS(Journal!$B$6:$B$505,B90,Journal!$BP$6:$BP$505,1)</f>
        <v>0</v>
      </c>
      <c r="E90" s="79" t="n">
        <f aca="false">SUMIFS(Journal!$AM$6:$AM$505,Journal!$B$6:$B$505,B90,Journal!$BP$6:$BP$505,1)</f>
        <v>0</v>
      </c>
      <c r="F90" s="88"/>
      <c r="G90" s="89"/>
      <c r="H90" s="90"/>
      <c r="I90" s="90"/>
    </row>
    <row r="91" customFormat="false" ht="15" hidden="false" customHeight="false" outlineLevel="0" collapsed="false">
      <c r="B91" s="87" t="n">
        <f aca="false">WORKDAY(B90,1)</f>
        <v>46412</v>
      </c>
      <c r="C91" s="68" t="str">
        <f aca="false">CHOOSE(WEEKDAY(B91,2),"Mon","Tue","Wed","Thu","Fri","Sat","Sun")</f>
        <v>Mon</v>
      </c>
      <c r="D91" s="66" t="n">
        <f aca="false">COUNTIFS(Journal!$B$6:$B$505,B91,Journal!$BP$6:$BP$505,1)</f>
        <v>0</v>
      </c>
      <c r="E91" s="79" t="n">
        <f aca="false">SUMIFS(Journal!$AM$6:$AM$505,Journal!$B$6:$B$505,B91,Journal!$BP$6:$BP$505,1)</f>
        <v>0</v>
      </c>
      <c r="F91" s="88"/>
      <c r="G91" s="89"/>
      <c r="H91" s="90"/>
      <c r="I91" s="90"/>
    </row>
    <row r="92" customFormat="false" ht="15" hidden="false" customHeight="false" outlineLevel="0" collapsed="false">
      <c r="B92" s="87" t="n">
        <f aca="false">WORKDAY(B91,1)</f>
        <v>46413</v>
      </c>
      <c r="C92" s="68" t="str">
        <f aca="false">CHOOSE(WEEKDAY(B92,2),"Mon","Tue","Wed","Thu","Fri","Sat","Sun")</f>
        <v>Tue</v>
      </c>
      <c r="D92" s="66" t="n">
        <f aca="false">COUNTIFS(Journal!$B$6:$B$505,B92,Journal!$BP$6:$BP$505,1)</f>
        <v>0</v>
      </c>
      <c r="E92" s="79" t="n">
        <f aca="false">SUMIFS(Journal!$AM$6:$AM$505,Journal!$B$6:$B$505,B92,Journal!$BP$6:$BP$505,1)</f>
        <v>0</v>
      </c>
      <c r="F92" s="88"/>
      <c r="G92" s="89"/>
      <c r="H92" s="90"/>
      <c r="I92" s="90"/>
    </row>
    <row r="93" customFormat="false" ht="15" hidden="false" customHeight="false" outlineLevel="0" collapsed="false">
      <c r="B93" s="87" t="n">
        <f aca="false">WORKDAY(B92,1)</f>
        <v>46414</v>
      </c>
      <c r="C93" s="68" t="str">
        <f aca="false">CHOOSE(WEEKDAY(B93,2),"Mon","Tue","Wed","Thu","Fri","Sat","Sun")</f>
        <v>Wed</v>
      </c>
      <c r="D93" s="66" t="n">
        <f aca="false">COUNTIFS(Journal!$B$6:$B$505,B93,Journal!$BP$6:$BP$505,1)</f>
        <v>0</v>
      </c>
      <c r="E93" s="79" t="n">
        <f aca="false">SUMIFS(Journal!$AM$6:$AM$505,Journal!$B$6:$B$505,B93,Journal!$BP$6:$BP$505,1)</f>
        <v>0</v>
      </c>
      <c r="F93" s="88"/>
      <c r="G93" s="89"/>
      <c r="H93" s="90"/>
      <c r="I93" s="90"/>
    </row>
    <row r="94" customFormat="false" ht="15" hidden="false" customHeight="false" outlineLevel="0" collapsed="false">
      <c r="B94" s="87" t="n">
        <f aca="false">WORKDAY(B93,1)</f>
        <v>46415</v>
      </c>
      <c r="C94" s="68" t="str">
        <f aca="false">CHOOSE(WEEKDAY(B94,2),"Mon","Tue","Wed","Thu","Fri","Sat","Sun")</f>
        <v>Thu</v>
      </c>
      <c r="D94" s="66" t="n">
        <f aca="false">COUNTIFS(Journal!$B$6:$B$505,B94,Journal!$BP$6:$BP$505,1)</f>
        <v>0</v>
      </c>
      <c r="E94" s="79" t="n">
        <f aca="false">SUMIFS(Journal!$AM$6:$AM$505,Journal!$B$6:$B$505,B94,Journal!$BP$6:$BP$505,1)</f>
        <v>0</v>
      </c>
      <c r="F94" s="88"/>
      <c r="G94" s="89"/>
      <c r="H94" s="90"/>
      <c r="I94" s="90"/>
    </row>
    <row r="95" customFormat="false" ht="15" hidden="false" customHeight="false" outlineLevel="0" collapsed="false">
      <c r="B95" s="87" t="n">
        <f aca="false">WORKDAY(B94,1)</f>
        <v>46416</v>
      </c>
      <c r="C95" s="68" t="str">
        <f aca="false">CHOOSE(WEEKDAY(B95,2),"Mon","Tue","Wed","Thu","Fri","Sat","Sun")</f>
        <v>Fri</v>
      </c>
      <c r="D95" s="66" t="n">
        <f aca="false">COUNTIFS(Journal!$B$6:$B$505,B95,Journal!$BP$6:$BP$505,1)</f>
        <v>0</v>
      </c>
      <c r="E95" s="79" t="n">
        <f aca="false">SUMIFS(Journal!$AM$6:$AM$505,Journal!$B$6:$B$505,B95,Journal!$BP$6:$BP$505,1)</f>
        <v>0</v>
      </c>
      <c r="F95" s="88"/>
      <c r="G95" s="89"/>
      <c r="H95" s="90"/>
      <c r="I95" s="90"/>
    </row>
    <row r="96" customFormat="false" ht="15" hidden="false" customHeight="false" outlineLevel="0" collapsed="false">
      <c r="B96" s="87" t="n">
        <f aca="false">WORKDAY(B95,1)</f>
        <v>46419</v>
      </c>
      <c r="C96" s="68" t="str">
        <f aca="false">CHOOSE(WEEKDAY(B96,2),"Mon","Tue","Wed","Thu","Fri","Sat","Sun")</f>
        <v>Mon</v>
      </c>
      <c r="D96" s="66" t="n">
        <f aca="false">COUNTIFS(Journal!$B$6:$B$505,B96,Journal!$BP$6:$BP$505,1)</f>
        <v>0</v>
      </c>
      <c r="E96" s="79" t="n">
        <f aca="false">SUMIFS(Journal!$AM$6:$AM$505,Journal!$B$6:$B$505,B96,Journal!$BP$6:$BP$505,1)</f>
        <v>0</v>
      </c>
      <c r="F96" s="88"/>
      <c r="G96" s="89"/>
      <c r="H96" s="90"/>
      <c r="I96" s="90"/>
    </row>
    <row r="97" customFormat="false" ht="15" hidden="false" customHeight="false" outlineLevel="0" collapsed="false">
      <c r="B97" s="87" t="n">
        <f aca="false">WORKDAY(B96,1)</f>
        <v>46420</v>
      </c>
      <c r="C97" s="68" t="str">
        <f aca="false">CHOOSE(WEEKDAY(B97,2),"Mon","Tue","Wed","Thu","Fri","Sat","Sun")</f>
        <v>Tue</v>
      </c>
      <c r="D97" s="66" t="n">
        <f aca="false">COUNTIFS(Journal!$B$6:$B$505,B97,Journal!$BP$6:$BP$505,1)</f>
        <v>0</v>
      </c>
      <c r="E97" s="79" t="n">
        <f aca="false">SUMIFS(Journal!$AM$6:$AM$505,Journal!$B$6:$B$505,B97,Journal!$BP$6:$BP$505,1)</f>
        <v>0</v>
      </c>
      <c r="F97" s="88"/>
      <c r="G97" s="89"/>
      <c r="H97" s="90"/>
      <c r="I97" s="90"/>
    </row>
    <row r="98" customFormat="false" ht="15" hidden="false" customHeight="false" outlineLevel="0" collapsed="false">
      <c r="B98" s="87" t="n">
        <f aca="false">WORKDAY(B97,1)</f>
        <v>46421</v>
      </c>
      <c r="C98" s="68" t="str">
        <f aca="false">CHOOSE(WEEKDAY(B98,2),"Mon","Tue","Wed","Thu","Fri","Sat","Sun")</f>
        <v>Wed</v>
      </c>
      <c r="D98" s="66" t="n">
        <f aca="false">COUNTIFS(Journal!$B$6:$B$505,B98,Journal!$BP$6:$BP$505,1)</f>
        <v>0</v>
      </c>
      <c r="E98" s="79" t="n">
        <f aca="false">SUMIFS(Journal!$AM$6:$AM$505,Journal!$B$6:$B$505,B98,Journal!$BP$6:$BP$505,1)</f>
        <v>0</v>
      </c>
      <c r="F98" s="88"/>
      <c r="G98" s="89"/>
      <c r="H98" s="90"/>
      <c r="I98" s="90"/>
    </row>
    <row r="99" customFormat="false" ht="15" hidden="false" customHeight="false" outlineLevel="0" collapsed="false">
      <c r="B99" s="87" t="n">
        <f aca="false">WORKDAY(B98,1)</f>
        <v>46422</v>
      </c>
      <c r="C99" s="68" t="str">
        <f aca="false">CHOOSE(WEEKDAY(B99,2),"Mon","Tue","Wed","Thu","Fri","Sat","Sun")</f>
        <v>Thu</v>
      </c>
      <c r="D99" s="66" t="n">
        <f aca="false">COUNTIFS(Journal!$B$6:$B$505,B99,Journal!$BP$6:$BP$505,1)</f>
        <v>0</v>
      </c>
      <c r="E99" s="79" t="n">
        <f aca="false">SUMIFS(Journal!$AM$6:$AM$505,Journal!$B$6:$B$505,B99,Journal!$BP$6:$BP$505,1)</f>
        <v>0</v>
      </c>
      <c r="F99" s="88"/>
      <c r="G99" s="89"/>
      <c r="H99" s="90"/>
      <c r="I99" s="90"/>
    </row>
    <row r="100" customFormat="false" ht="15" hidden="false" customHeight="false" outlineLevel="0" collapsed="false">
      <c r="B100" s="87" t="n">
        <f aca="false">WORKDAY(B99,1)</f>
        <v>46423</v>
      </c>
      <c r="C100" s="68" t="str">
        <f aca="false">CHOOSE(WEEKDAY(B100,2),"Mon","Tue","Wed","Thu","Fri","Sat","Sun")</f>
        <v>Fri</v>
      </c>
      <c r="D100" s="66" t="n">
        <f aca="false">COUNTIFS(Journal!$B$6:$B$505,B100,Journal!$BP$6:$BP$505,1)</f>
        <v>0</v>
      </c>
      <c r="E100" s="79" t="n">
        <f aca="false">SUMIFS(Journal!$AM$6:$AM$505,Journal!$B$6:$B$505,B100,Journal!$BP$6:$BP$505,1)</f>
        <v>0</v>
      </c>
      <c r="F100" s="88"/>
      <c r="G100" s="89"/>
      <c r="H100" s="90"/>
      <c r="I100" s="90"/>
    </row>
    <row r="101" customFormat="false" ht="15" hidden="false" customHeight="false" outlineLevel="0" collapsed="false">
      <c r="B101" s="87" t="n">
        <f aca="false">WORKDAY(B100,1)</f>
        <v>46426</v>
      </c>
      <c r="C101" s="68" t="str">
        <f aca="false">CHOOSE(WEEKDAY(B101,2),"Mon","Tue","Wed","Thu","Fri","Sat","Sun")</f>
        <v>Mon</v>
      </c>
      <c r="D101" s="66" t="n">
        <f aca="false">COUNTIFS(Journal!$B$6:$B$505,B101,Journal!$BP$6:$BP$505,1)</f>
        <v>0</v>
      </c>
      <c r="E101" s="79" t="n">
        <f aca="false">SUMIFS(Journal!$AM$6:$AM$505,Journal!$B$6:$B$505,B101,Journal!$BP$6:$BP$505,1)</f>
        <v>0</v>
      </c>
      <c r="F101" s="88"/>
      <c r="G101" s="89"/>
      <c r="H101" s="90"/>
      <c r="I101" s="90"/>
    </row>
    <row r="102" customFormat="false" ht="15" hidden="false" customHeight="false" outlineLevel="0" collapsed="false">
      <c r="B102" s="87" t="n">
        <f aca="false">WORKDAY(B101,1)</f>
        <v>46427</v>
      </c>
      <c r="C102" s="68" t="str">
        <f aca="false">CHOOSE(WEEKDAY(B102,2),"Mon","Tue","Wed","Thu","Fri","Sat","Sun")</f>
        <v>Tue</v>
      </c>
      <c r="D102" s="66" t="n">
        <f aca="false">COUNTIFS(Journal!$B$6:$B$505,B102,Journal!$BP$6:$BP$505,1)</f>
        <v>0</v>
      </c>
      <c r="E102" s="79" t="n">
        <f aca="false">SUMIFS(Journal!$AM$6:$AM$505,Journal!$B$6:$B$505,B102,Journal!$BP$6:$BP$505,1)</f>
        <v>0</v>
      </c>
      <c r="F102" s="88"/>
      <c r="G102" s="89"/>
      <c r="H102" s="90"/>
      <c r="I102" s="90"/>
    </row>
    <row r="103" customFormat="false" ht="15" hidden="false" customHeight="false" outlineLevel="0" collapsed="false">
      <c r="B103" s="87" t="n">
        <f aca="false">WORKDAY(B102,1)</f>
        <v>46428</v>
      </c>
      <c r="C103" s="68" t="str">
        <f aca="false">CHOOSE(WEEKDAY(B103,2),"Mon","Tue","Wed","Thu","Fri","Sat","Sun")</f>
        <v>Wed</v>
      </c>
      <c r="D103" s="66" t="n">
        <f aca="false">COUNTIFS(Journal!$B$6:$B$505,B103,Journal!$BP$6:$BP$505,1)</f>
        <v>0</v>
      </c>
      <c r="E103" s="79" t="n">
        <f aca="false">SUMIFS(Journal!$AM$6:$AM$505,Journal!$B$6:$B$505,B103,Journal!$BP$6:$BP$505,1)</f>
        <v>0</v>
      </c>
      <c r="F103" s="88"/>
      <c r="G103" s="89"/>
      <c r="H103" s="90"/>
      <c r="I103" s="90"/>
    </row>
    <row r="104" customFormat="false" ht="15" hidden="false" customHeight="false" outlineLevel="0" collapsed="false">
      <c r="B104" s="87" t="n">
        <f aca="false">WORKDAY(B103,1)</f>
        <v>46429</v>
      </c>
      <c r="C104" s="68" t="str">
        <f aca="false">CHOOSE(WEEKDAY(B104,2),"Mon","Tue","Wed","Thu","Fri","Sat","Sun")</f>
        <v>Thu</v>
      </c>
      <c r="D104" s="66" t="n">
        <f aca="false">COUNTIFS(Journal!$B$6:$B$505,B104,Journal!$BP$6:$BP$505,1)</f>
        <v>0</v>
      </c>
      <c r="E104" s="79" t="n">
        <f aca="false">SUMIFS(Journal!$AM$6:$AM$505,Journal!$B$6:$B$505,B104,Journal!$BP$6:$BP$505,1)</f>
        <v>0</v>
      </c>
      <c r="F104" s="88"/>
      <c r="G104" s="89"/>
      <c r="H104" s="90"/>
      <c r="I104" s="90"/>
    </row>
    <row r="105" customFormat="false" ht="15" hidden="false" customHeight="false" outlineLevel="0" collapsed="false">
      <c r="B105" s="87" t="n">
        <f aca="false">WORKDAY(B104,1)</f>
        <v>46430</v>
      </c>
      <c r="C105" s="68" t="str">
        <f aca="false">CHOOSE(WEEKDAY(B105,2),"Mon","Tue","Wed","Thu","Fri","Sat","Sun")</f>
        <v>Fri</v>
      </c>
      <c r="D105" s="66" t="n">
        <f aca="false">COUNTIFS(Journal!$B$6:$B$505,B105,Journal!$BP$6:$BP$505,1)</f>
        <v>0</v>
      </c>
      <c r="E105" s="79" t="n">
        <f aca="false">SUMIFS(Journal!$AM$6:$AM$505,Journal!$B$6:$B$505,B105,Journal!$BP$6:$BP$505,1)</f>
        <v>0</v>
      </c>
      <c r="F105" s="88"/>
      <c r="G105" s="89"/>
      <c r="H105" s="90"/>
      <c r="I105" s="90"/>
    </row>
    <row r="106" customFormat="false" ht="15" hidden="false" customHeight="false" outlineLevel="0" collapsed="false">
      <c r="B106" s="87" t="n">
        <f aca="false">WORKDAY(B105,1)</f>
        <v>46433</v>
      </c>
      <c r="C106" s="68" t="str">
        <f aca="false">CHOOSE(WEEKDAY(B106,2),"Mon","Tue","Wed","Thu","Fri","Sat","Sun")</f>
        <v>Mon</v>
      </c>
      <c r="D106" s="66" t="n">
        <f aca="false">COUNTIFS(Journal!$B$6:$B$505,B106,Journal!$BP$6:$BP$505,1)</f>
        <v>0</v>
      </c>
      <c r="E106" s="79" t="n">
        <f aca="false">SUMIFS(Journal!$AM$6:$AM$505,Journal!$B$6:$B$505,B106,Journal!$BP$6:$BP$505,1)</f>
        <v>0</v>
      </c>
      <c r="F106" s="88"/>
      <c r="G106" s="89"/>
      <c r="H106" s="90"/>
      <c r="I106" s="90"/>
    </row>
    <row r="107" customFormat="false" ht="15" hidden="false" customHeight="false" outlineLevel="0" collapsed="false">
      <c r="B107" s="87" t="n">
        <f aca="false">WORKDAY(B106,1)</f>
        <v>46434</v>
      </c>
      <c r="C107" s="68" t="str">
        <f aca="false">CHOOSE(WEEKDAY(B107,2),"Mon","Tue","Wed","Thu","Fri","Sat","Sun")</f>
        <v>Tue</v>
      </c>
      <c r="D107" s="66" t="n">
        <f aca="false">COUNTIFS(Journal!$B$6:$B$505,B107,Journal!$BP$6:$BP$505,1)</f>
        <v>0</v>
      </c>
      <c r="E107" s="79" t="n">
        <f aca="false">SUMIFS(Journal!$AM$6:$AM$505,Journal!$B$6:$B$505,B107,Journal!$BP$6:$BP$505,1)</f>
        <v>0</v>
      </c>
      <c r="F107" s="88"/>
      <c r="G107" s="89"/>
      <c r="H107" s="90"/>
      <c r="I107" s="90"/>
    </row>
    <row r="108" customFormat="false" ht="15" hidden="false" customHeight="false" outlineLevel="0" collapsed="false">
      <c r="B108" s="87" t="n">
        <f aca="false">WORKDAY(B107,1)</f>
        <v>46435</v>
      </c>
      <c r="C108" s="68" t="str">
        <f aca="false">CHOOSE(WEEKDAY(B108,2),"Mon","Tue","Wed","Thu","Fri","Sat","Sun")</f>
        <v>Wed</v>
      </c>
      <c r="D108" s="66" t="n">
        <f aca="false">COUNTIFS(Journal!$B$6:$B$505,B108,Journal!$BP$6:$BP$505,1)</f>
        <v>0</v>
      </c>
      <c r="E108" s="79" t="n">
        <f aca="false">SUMIFS(Journal!$AM$6:$AM$505,Journal!$B$6:$B$505,B108,Journal!$BP$6:$BP$505,1)</f>
        <v>0</v>
      </c>
      <c r="F108" s="88"/>
      <c r="G108" s="89"/>
      <c r="H108" s="90"/>
      <c r="I108" s="90"/>
    </row>
    <row r="109" customFormat="false" ht="15" hidden="false" customHeight="false" outlineLevel="0" collapsed="false">
      <c r="B109" s="87" t="n">
        <f aca="false">WORKDAY(B108,1)</f>
        <v>46436</v>
      </c>
      <c r="C109" s="68" t="str">
        <f aca="false">CHOOSE(WEEKDAY(B109,2),"Mon","Tue","Wed","Thu","Fri","Sat","Sun")</f>
        <v>Thu</v>
      </c>
      <c r="D109" s="66" t="n">
        <f aca="false">COUNTIFS(Journal!$B$6:$B$505,B109,Journal!$BP$6:$BP$505,1)</f>
        <v>0</v>
      </c>
      <c r="E109" s="79" t="n">
        <f aca="false">SUMIFS(Journal!$AM$6:$AM$505,Journal!$B$6:$B$505,B109,Journal!$BP$6:$BP$505,1)</f>
        <v>0</v>
      </c>
      <c r="F109" s="88"/>
      <c r="G109" s="89"/>
      <c r="H109" s="90"/>
      <c r="I109" s="90"/>
    </row>
    <row r="110" customFormat="false" ht="15" hidden="false" customHeight="false" outlineLevel="0" collapsed="false">
      <c r="B110" s="87" t="n">
        <f aca="false">WORKDAY(B109,1)</f>
        <v>46437</v>
      </c>
      <c r="C110" s="68" t="str">
        <f aca="false">CHOOSE(WEEKDAY(B110,2),"Mon","Tue","Wed","Thu","Fri","Sat","Sun")</f>
        <v>Fri</v>
      </c>
      <c r="D110" s="66" t="n">
        <f aca="false">COUNTIFS(Journal!$B$6:$B$505,B110,Journal!$BP$6:$BP$505,1)</f>
        <v>0</v>
      </c>
      <c r="E110" s="79" t="n">
        <f aca="false">SUMIFS(Journal!$AM$6:$AM$505,Journal!$B$6:$B$505,B110,Journal!$BP$6:$BP$505,1)</f>
        <v>0</v>
      </c>
      <c r="F110" s="88"/>
      <c r="G110" s="89"/>
      <c r="H110" s="90"/>
      <c r="I110" s="90"/>
    </row>
    <row r="111" customFormat="false" ht="15" hidden="false" customHeight="false" outlineLevel="0" collapsed="false">
      <c r="B111" s="87" t="n">
        <f aca="false">WORKDAY(B110,1)</f>
        <v>46440</v>
      </c>
      <c r="C111" s="68" t="str">
        <f aca="false">CHOOSE(WEEKDAY(B111,2),"Mon","Tue","Wed","Thu","Fri","Sat","Sun")</f>
        <v>Mon</v>
      </c>
      <c r="D111" s="66" t="n">
        <f aca="false">COUNTIFS(Journal!$B$6:$B$505,B111,Journal!$BP$6:$BP$505,1)</f>
        <v>0</v>
      </c>
      <c r="E111" s="79" t="n">
        <f aca="false">SUMIFS(Journal!$AM$6:$AM$505,Journal!$B$6:$B$505,B111,Journal!$BP$6:$BP$505,1)</f>
        <v>0</v>
      </c>
      <c r="F111" s="88"/>
      <c r="G111" s="89"/>
      <c r="H111" s="90"/>
      <c r="I111" s="90"/>
    </row>
    <row r="112" customFormat="false" ht="15" hidden="false" customHeight="false" outlineLevel="0" collapsed="false">
      <c r="B112" s="87" t="n">
        <f aca="false">WORKDAY(B111,1)</f>
        <v>46441</v>
      </c>
      <c r="C112" s="68" t="str">
        <f aca="false">CHOOSE(WEEKDAY(B112,2),"Mon","Tue","Wed","Thu","Fri","Sat","Sun")</f>
        <v>Tue</v>
      </c>
      <c r="D112" s="66" t="n">
        <f aca="false">COUNTIFS(Journal!$B$6:$B$505,B112,Journal!$BP$6:$BP$505,1)</f>
        <v>0</v>
      </c>
      <c r="E112" s="79" t="n">
        <f aca="false">SUMIFS(Journal!$AM$6:$AM$505,Journal!$B$6:$B$505,B112,Journal!$BP$6:$BP$505,1)</f>
        <v>0</v>
      </c>
      <c r="F112" s="88"/>
      <c r="G112" s="89"/>
      <c r="H112" s="90"/>
      <c r="I112" s="90"/>
    </row>
    <row r="113" customFormat="false" ht="15" hidden="false" customHeight="false" outlineLevel="0" collapsed="false">
      <c r="B113" s="87" t="n">
        <f aca="false">WORKDAY(B112,1)</f>
        <v>46442</v>
      </c>
      <c r="C113" s="68" t="str">
        <f aca="false">CHOOSE(WEEKDAY(B113,2),"Mon","Tue","Wed","Thu","Fri","Sat","Sun")</f>
        <v>Wed</v>
      </c>
      <c r="D113" s="66" t="n">
        <f aca="false">COUNTIFS(Journal!$B$6:$B$505,B113,Journal!$BP$6:$BP$505,1)</f>
        <v>0</v>
      </c>
      <c r="E113" s="79" t="n">
        <f aca="false">SUMIFS(Journal!$AM$6:$AM$505,Journal!$B$6:$B$505,B113,Journal!$BP$6:$BP$505,1)</f>
        <v>0</v>
      </c>
      <c r="F113" s="88"/>
      <c r="G113" s="89"/>
      <c r="H113" s="90"/>
      <c r="I113" s="90"/>
    </row>
    <row r="114" customFormat="false" ht="15" hidden="false" customHeight="false" outlineLevel="0" collapsed="false">
      <c r="B114" s="87" t="n">
        <f aca="false">WORKDAY(B113,1)</f>
        <v>46443</v>
      </c>
      <c r="C114" s="68" t="str">
        <f aca="false">CHOOSE(WEEKDAY(B114,2),"Mon","Tue","Wed","Thu","Fri","Sat","Sun")</f>
        <v>Thu</v>
      </c>
      <c r="D114" s="66" t="n">
        <f aca="false">COUNTIFS(Journal!$B$6:$B$505,B114,Journal!$BP$6:$BP$505,1)</f>
        <v>0</v>
      </c>
      <c r="E114" s="79" t="n">
        <f aca="false">SUMIFS(Journal!$AM$6:$AM$505,Journal!$B$6:$B$505,B114,Journal!$BP$6:$BP$505,1)</f>
        <v>0</v>
      </c>
      <c r="F114" s="88"/>
      <c r="G114" s="89"/>
      <c r="H114" s="90"/>
      <c r="I114" s="90"/>
    </row>
    <row r="115" customFormat="false" ht="15" hidden="false" customHeight="false" outlineLevel="0" collapsed="false">
      <c r="B115" s="87" t="n">
        <f aca="false">WORKDAY(B114,1)</f>
        <v>46444</v>
      </c>
      <c r="C115" s="68" t="str">
        <f aca="false">CHOOSE(WEEKDAY(B115,2),"Mon","Tue","Wed","Thu","Fri","Sat","Sun")</f>
        <v>Fri</v>
      </c>
      <c r="D115" s="66" t="n">
        <f aca="false">COUNTIFS(Journal!$B$6:$B$505,B115,Journal!$BP$6:$BP$505,1)</f>
        <v>0</v>
      </c>
      <c r="E115" s="79" t="n">
        <f aca="false">SUMIFS(Journal!$AM$6:$AM$505,Journal!$B$6:$B$505,B115,Journal!$BP$6:$BP$505,1)</f>
        <v>0</v>
      </c>
      <c r="F115" s="88"/>
      <c r="G115" s="89"/>
      <c r="H115" s="90"/>
      <c r="I115" s="90"/>
    </row>
    <row r="116" customFormat="false" ht="15" hidden="false" customHeight="false" outlineLevel="0" collapsed="false">
      <c r="B116" s="87" t="n">
        <f aca="false">WORKDAY(B115,1)</f>
        <v>46447</v>
      </c>
      <c r="C116" s="68" t="str">
        <f aca="false">CHOOSE(WEEKDAY(B116,2),"Mon","Tue","Wed","Thu","Fri","Sat","Sun")</f>
        <v>Mon</v>
      </c>
      <c r="D116" s="66" t="n">
        <f aca="false">COUNTIFS(Journal!$B$6:$B$505,B116,Journal!$BP$6:$BP$505,1)</f>
        <v>0</v>
      </c>
      <c r="E116" s="79" t="n">
        <f aca="false">SUMIFS(Journal!$AM$6:$AM$505,Journal!$B$6:$B$505,B116,Journal!$BP$6:$BP$505,1)</f>
        <v>0</v>
      </c>
      <c r="F116" s="88"/>
      <c r="G116" s="89"/>
      <c r="H116" s="90"/>
      <c r="I116" s="90"/>
    </row>
    <row r="117" customFormat="false" ht="15" hidden="false" customHeight="false" outlineLevel="0" collapsed="false">
      <c r="B117" s="87" t="n">
        <f aca="false">WORKDAY(B116,1)</f>
        <v>46448</v>
      </c>
      <c r="C117" s="68" t="str">
        <f aca="false">CHOOSE(WEEKDAY(B117,2),"Mon","Tue","Wed","Thu","Fri","Sat","Sun")</f>
        <v>Tue</v>
      </c>
      <c r="D117" s="66" t="n">
        <f aca="false">COUNTIFS(Journal!$B$6:$B$505,B117,Journal!$BP$6:$BP$505,1)</f>
        <v>0</v>
      </c>
      <c r="E117" s="79" t="n">
        <f aca="false">SUMIFS(Journal!$AM$6:$AM$505,Journal!$B$6:$B$505,B117,Journal!$BP$6:$BP$505,1)</f>
        <v>0</v>
      </c>
      <c r="F117" s="88"/>
      <c r="G117" s="89"/>
      <c r="H117" s="90"/>
      <c r="I117" s="90"/>
    </row>
    <row r="118" customFormat="false" ht="15" hidden="false" customHeight="false" outlineLevel="0" collapsed="false">
      <c r="B118" s="87" t="n">
        <f aca="false">WORKDAY(B117,1)</f>
        <v>46449</v>
      </c>
      <c r="C118" s="68" t="str">
        <f aca="false">CHOOSE(WEEKDAY(B118,2),"Mon","Tue","Wed","Thu","Fri","Sat","Sun")</f>
        <v>Wed</v>
      </c>
      <c r="D118" s="66" t="n">
        <f aca="false">COUNTIFS(Journal!$B$6:$B$505,B118,Journal!$BP$6:$BP$505,1)</f>
        <v>0</v>
      </c>
      <c r="E118" s="79" t="n">
        <f aca="false">SUMIFS(Journal!$AM$6:$AM$505,Journal!$B$6:$B$505,B118,Journal!$BP$6:$BP$505,1)</f>
        <v>0</v>
      </c>
      <c r="F118" s="88"/>
      <c r="G118" s="89"/>
      <c r="H118" s="90"/>
      <c r="I118" s="90"/>
    </row>
    <row r="119" customFormat="false" ht="15" hidden="false" customHeight="false" outlineLevel="0" collapsed="false">
      <c r="B119" s="87" t="n">
        <f aca="false">WORKDAY(B118,1)</f>
        <v>46450</v>
      </c>
      <c r="C119" s="68" t="str">
        <f aca="false">CHOOSE(WEEKDAY(B119,2),"Mon","Tue","Wed","Thu","Fri","Sat","Sun")</f>
        <v>Thu</v>
      </c>
      <c r="D119" s="66" t="n">
        <f aca="false">COUNTIFS(Journal!$B$6:$B$505,B119,Journal!$BP$6:$BP$505,1)</f>
        <v>0</v>
      </c>
      <c r="E119" s="79" t="n">
        <f aca="false">SUMIFS(Journal!$AM$6:$AM$505,Journal!$B$6:$B$505,B119,Journal!$BP$6:$BP$505,1)</f>
        <v>0</v>
      </c>
      <c r="F119" s="88"/>
      <c r="G119" s="89"/>
      <c r="H119" s="90"/>
      <c r="I119" s="90"/>
    </row>
    <row r="120" customFormat="false" ht="15" hidden="false" customHeight="false" outlineLevel="0" collapsed="false">
      <c r="B120" s="87" t="n">
        <f aca="false">WORKDAY(B119,1)</f>
        <v>46451</v>
      </c>
      <c r="C120" s="68" t="str">
        <f aca="false">CHOOSE(WEEKDAY(B120,2),"Mon","Tue","Wed","Thu","Fri","Sat","Sun")</f>
        <v>Fri</v>
      </c>
      <c r="D120" s="66" t="n">
        <f aca="false">COUNTIFS(Journal!$B$6:$B$505,B120,Journal!$BP$6:$BP$505,1)</f>
        <v>0</v>
      </c>
      <c r="E120" s="79" t="n">
        <f aca="false">SUMIFS(Journal!$AM$6:$AM$505,Journal!$B$6:$B$505,B120,Journal!$BP$6:$BP$505,1)</f>
        <v>0</v>
      </c>
      <c r="F120" s="88"/>
      <c r="G120" s="89"/>
      <c r="H120" s="90"/>
      <c r="I120" s="90"/>
    </row>
    <row r="121" customFormat="false" ht="15" hidden="false" customHeight="false" outlineLevel="0" collapsed="false">
      <c r="B121" s="87" t="n">
        <f aca="false">WORKDAY(B120,1)</f>
        <v>46454</v>
      </c>
      <c r="C121" s="68" t="str">
        <f aca="false">CHOOSE(WEEKDAY(B121,2),"Mon","Tue","Wed","Thu","Fri","Sat","Sun")</f>
        <v>Mon</v>
      </c>
      <c r="D121" s="66" t="n">
        <f aca="false">COUNTIFS(Journal!$B$6:$B$505,B121,Journal!$BP$6:$BP$505,1)</f>
        <v>0</v>
      </c>
      <c r="E121" s="79" t="n">
        <f aca="false">SUMIFS(Journal!$AM$6:$AM$505,Journal!$B$6:$B$505,B121,Journal!$BP$6:$BP$505,1)</f>
        <v>0</v>
      </c>
      <c r="F121" s="88"/>
      <c r="G121" s="89"/>
      <c r="H121" s="90"/>
      <c r="I121" s="90"/>
    </row>
    <row r="122" customFormat="false" ht="15" hidden="false" customHeight="false" outlineLevel="0" collapsed="false">
      <c r="B122" s="87" t="n">
        <f aca="false">WORKDAY(B121,1)</f>
        <v>46455</v>
      </c>
      <c r="C122" s="68" t="str">
        <f aca="false">CHOOSE(WEEKDAY(B122,2),"Mon","Tue","Wed","Thu","Fri","Sat","Sun")</f>
        <v>Tue</v>
      </c>
      <c r="D122" s="66" t="n">
        <f aca="false">COUNTIFS(Journal!$B$6:$B$505,B122,Journal!$BP$6:$BP$505,1)</f>
        <v>0</v>
      </c>
      <c r="E122" s="79" t="n">
        <f aca="false">SUMIFS(Journal!$AM$6:$AM$505,Journal!$B$6:$B$505,B122,Journal!$BP$6:$BP$505,1)</f>
        <v>0</v>
      </c>
      <c r="F122" s="88"/>
      <c r="G122" s="89"/>
      <c r="H122" s="90"/>
      <c r="I122" s="90"/>
    </row>
    <row r="123" customFormat="false" ht="15" hidden="false" customHeight="false" outlineLevel="0" collapsed="false">
      <c r="B123" s="87" t="n">
        <f aca="false">WORKDAY(B122,1)</f>
        <v>46456</v>
      </c>
      <c r="C123" s="68" t="str">
        <f aca="false">CHOOSE(WEEKDAY(B123,2),"Mon","Tue","Wed","Thu","Fri","Sat","Sun")</f>
        <v>Wed</v>
      </c>
      <c r="D123" s="66" t="n">
        <f aca="false">COUNTIFS(Journal!$B$6:$B$505,B123,Journal!$BP$6:$BP$505,1)</f>
        <v>0</v>
      </c>
      <c r="E123" s="79" t="n">
        <f aca="false">SUMIFS(Journal!$AM$6:$AM$505,Journal!$B$6:$B$505,B123,Journal!$BP$6:$BP$505,1)</f>
        <v>0</v>
      </c>
      <c r="F123" s="88"/>
      <c r="G123" s="89"/>
      <c r="H123" s="90"/>
      <c r="I123" s="90"/>
    </row>
    <row r="124" customFormat="false" ht="15" hidden="false" customHeight="false" outlineLevel="0" collapsed="false">
      <c r="B124" s="87" t="n">
        <f aca="false">WORKDAY(B123,1)</f>
        <v>46457</v>
      </c>
      <c r="C124" s="68" t="str">
        <f aca="false">CHOOSE(WEEKDAY(B124,2),"Mon","Tue","Wed","Thu","Fri","Sat","Sun")</f>
        <v>Thu</v>
      </c>
      <c r="D124" s="66" t="n">
        <f aca="false">COUNTIFS(Journal!$B$6:$B$505,B124,Journal!$BP$6:$BP$505,1)</f>
        <v>0</v>
      </c>
      <c r="E124" s="79" t="n">
        <f aca="false">SUMIFS(Journal!$AM$6:$AM$505,Journal!$B$6:$B$505,B124,Journal!$BP$6:$BP$505,1)</f>
        <v>0</v>
      </c>
      <c r="F124" s="88"/>
      <c r="G124" s="89"/>
      <c r="H124" s="90"/>
      <c r="I124" s="90"/>
    </row>
    <row r="125" customFormat="false" ht="15" hidden="false" customHeight="false" outlineLevel="0" collapsed="false">
      <c r="B125" s="87" t="n">
        <f aca="false">WORKDAY(B124,1)</f>
        <v>46458</v>
      </c>
      <c r="C125" s="68" t="str">
        <f aca="false">CHOOSE(WEEKDAY(B125,2),"Mon","Tue","Wed","Thu","Fri","Sat","Sun")</f>
        <v>Fri</v>
      </c>
      <c r="D125" s="66" t="n">
        <f aca="false">COUNTIFS(Journal!$B$6:$B$505,B125,Journal!$BP$6:$BP$505,1)</f>
        <v>0</v>
      </c>
      <c r="E125" s="79" t="n">
        <f aca="false">SUMIFS(Journal!$AM$6:$AM$505,Journal!$B$6:$B$505,B125,Journal!$BP$6:$BP$505,1)</f>
        <v>0</v>
      </c>
      <c r="F125" s="88"/>
      <c r="G125" s="89"/>
      <c r="H125" s="90"/>
      <c r="I125" s="90"/>
    </row>
    <row r="126" customFormat="false" ht="15" hidden="false" customHeight="false" outlineLevel="0" collapsed="false">
      <c r="B126" s="87" t="n">
        <f aca="false">WORKDAY(B125,1)</f>
        <v>46461</v>
      </c>
      <c r="C126" s="68" t="str">
        <f aca="false">CHOOSE(WEEKDAY(B126,2),"Mon","Tue","Wed","Thu","Fri","Sat","Sun")</f>
        <v>Mon</v>
      </c>
      <c r="D126" s="66" t="n">
        <f aca="false">COUNTIFS(Journal!$B$6:$B$505,B126,Journal!$BP$6:$BP$505,1)</f>
        <v>0</v>
      </c>
      <c r="E126" s="79" t="n">
        <f aca="false">SUMIFS(Journal!$AM$6:$AM$505,Journal!$B$6:$B$505,B126,Journal!$BP$6:$BP$505,1)</f>
        <v>0</v>
      </c>
      <c r="F126" s="88"/>
      <c r="G126" s="89"/>
      <c r="H126" s="90"/>
      <c r="I126" s="90"/>
    </row>
    <row r="127" customFormat="false" ht="15" hidden="false" customHeight="false" outlineLevel="0" collapsed="false">
      <c r="B127" s="87" t="n">
        <f aca="false">WORKDAY(B126,1)</f>
        <v>46462</v>
      </c>
      <c r="C127" s="68" t="str">
        <f aca="false">CHOOSE(WEEKDAY(B127,2),"Mon","Tue","Wed","Thu","Fri","Sat","Sun")</f>
        <v>Tue</v>
      </c>
      <c r="D127" s="66" t="n">
        <f aca="false">COUNTIFS(Journal!$B$6:$B$505,B127,Journal!$BP$6:$BP$505,1)</f>
        <v>0</v>
      </c>
      <c r="E127" s="79" t="n">
        <f aca="false">SUMIFS(Journal!$AM$6:$AM$505,Journal!$B$6:$B$505,B127,Journal!$BP$6:$BP$505,1)</f>
        <v>0</v>
      </c>
      <c r="F127" s="88"/>
      <c r="G127" s="89"/>
      <c r="H127" s="90"/>
      <c r="I127" s="90"/>
    </row>
    <row r="128" customFormat="false" ht="15" hidden="false" customHeight="false" outlineLevel="0" collapsed="false">
      <c r="B128" s="87" t="n">
        <f aca="false">WORKDAY(B127,1)</f>
        <v>46463</v>
      </c>
      <c r="C128" s="68" t="str">
        <f aca="false">CHOOSE(WEEKDAY(B128,2),"Mon","Tue","Wed","Thu","Fri","Sat","Sun")</f>
        <v>Wed</v>
      </c>
      <c r="D128" s="66" t="n">
        <f aca="false">COUNTIFS(Journal!$B$6:$B$505,B128,Journal!$BP$6:$BP$505,1)</f>
        <v>0</v>
      </c>
      <c r="E128" s="79" t="n">
        <f aca="false">SUMIFS(Journal!$AM$6:$AM$505,Journal!$B$6:$B$505,B128,Journal!$BP$6:$BP$505,1)</f>
        <v>0</v>
      </c>
      <c r="F128" s="88"/>
      <c r="G128" s="89"/>
      <c r="H128" s="90"/>
      <c r="I128" s="90"/>
    </row>
    <row r="129" customFormat="false" ht="15" hidden="false" customHeight="false" outlineLevel="0" collapsed="false">
      <c r="B129" s="87" t="n">
        <f aca="false">WORKDAY(B128,1)</f>
        <v>46464</v>
      </c>
      <c r="C129" s="68" t="str">
        <f aca="false">CHOOSE(WEEKDAY(B129,2),"Mon","Tue","Wed","Thu","Fri","Sat","Sun")</f>
        <v>Thu</v>
      </c>
      <c r="D129" s="66" t="n">
        <f aca="false">COUNTIFS(Journal!$B$6:$B$505,B129,Journal!$BP$6:$BP$505,1)</f>
        <v>0</v>
      </c>
      <c r="E129" s="79" t="n">
        <f aca="false">SUMIFS(Journal!$AM$6:$AM$505,Journal!$B$6:$B$505,B129,Journal!$BP$6:$BP$505,1)</f>
        <v>0</v>
      </c>
      <c r="F129" s="88"/>
      <c r="G129" s="89"/>
      <c r="H129" s="90"/>
      <c r="I129" s="90"/>
    </row>
    <row r="130" customFormat="false" ht="15" hidden="false" customHeight="false" outlineLevel="0" collapsed="false">
      <c r="B130" s="87" t="n">
        <f aca="false">WORKDAY(B129,1)</f>
        <v>46465</v>
      </c>
      <c r="C130" s="68" t="str">
        <f aca="false">CHOOSE(WEEKDAY(B130,2),"Mon","Tue","Wed","Thu","Fri","Sat","Sun")</f>
        <v>Fri</v>
      </c>
      <c r="D130" s="66" t="n">
        <f aca="false">COUNTIFS(Journal!$B$6:$B$505,B130,Journal!$BP$6:$BP$505,1)</f>
        <v>0</v>
      </c>
      <c r="E130" s="79" t="n">
        <f aca="false">SUMIFS(Journal!$AM$6:$AM$505,Journal!$B$6:$B$505,B130,Journal!$BP$6:$BP$505,1)</f>
        <v>0</v>
      </c>
      <c r="F130" s="88"/>
      <c r="G130" s="89"/>
      <c r="H130" s="90"/>
      <c r="I130" s="90"/>
    </row>
    <row r="131" customFormat="false" ht="15" hidden="false" customHeight="false" outlineLevel="0" collapsed="false">
      <c r="B131" s="87" t="n">
        <f aca="false">WORKDAY(B130,1)</f>
        <v>46468</v>
      </c>
      <c r="C131" s="68" t="str">
        <f aca="false">CHOOSE(WEEKDAY(B131,2),"Mon","Tue","Wed","Thu","Fri","Sat","Sun")</f>
        <v>Mon</v>
      </c>
      <c r="D131" s="66" t="n">
        <f aca="false">COUNTIFS(Journal!$B$6:$B$505,B131,Journal!$BP$6:$BP$505,1)</f>
        <v>0</v>
      </c>
      <c r="E131" s="79" t="n">
        <f aca="false">SUMIFS(Journal!$AM$6:$AM$505,Journal!$B$6:$B$505,B131,Journal!$BP$6:$BP$505,1)</f>
        <v>0</v>
      </c>
      <c r="F131" s="88"/>
      <c r="G131" s="89"/>
      <c r="H131" s="90"/>
      <c r="I131" s="90"/>
    </row>
    <row r="132" customFormat="false" ht="15" hidden="false" customHeight="false" outlineLevel="0" collapsed="false">
      <c r="B132" s="87" t="n">
        <f aca="false">WORKDAY(B131,1)</f>
        <v>46469</v>
      </c>
      <c r="C132" s="68" t="str">
        <f aca="false">CHOOSE(WEEKDAY(B132,2),"Mon","Tue","Wed","Thu","Fri","Sat","Sun")</f>
        <v>Tue</v>
      </c>
      <c r="D132" s="66" t="n">
        <f aca="false">COUNTIFS(Journal!$B$6:$B$505,B132,Journal!$BP$6:$BP$505,1)</f>
        <v>0</v>
      </c>
      <c r="E132" s="79" t="n">
        <f aca="false">SUMIFS(Journal!$AM$6:$AM$505,Journal!$B$6:$B$505,B132,Journal!$BP$6:$BP$505,1)</f>
        <v>0</v>
      </c>
      <c r="F132" s="88"/>
      <c r="G132" s="89"/>
      <c r="H132" s="90"/>
      <c r="I132" s="90"/>
    </row>
    <row r="133" customFormat="false" ht="15" hidden="false" customHeight="false" outlineLevel="0" collapsed="false">
      <c r="B133" s="87" t="n">
        <f aca="false">WORKDAY(B132,1)</f>
        <v>46470</v>
      </c>
      <c r="C133" s="68" t="str">
        <f aca="false">CHOOSE(WEEKDAY(B133,2),"Mon","Tue","Wed","Thu","Fri","Sat","Sun")</f>
        <v>Wed</v>
      </c>
      <c r="D133" s="66" t="n">
        <f aca="false">COUNTIFS(Journal!$B$6:$B$505,B133,Journal!$BP$6:$BP$505,1)</f>
        <v>0</v>
      </c>
      <c r="E133" s="79" t="n">
        <f aca="false">SUMIFS(Journal!$AM$6:$AM$505,Journal!$B$6:$B$505,B133,Journal!$BP$6:$BP$505,1)</f>
        <v>0</v>
      </c>
      <c r="F133" s="88"/>
      <c r="G133" s="89"/>
      <c r="H133" s="90"/>
      <c r="I133" s="90"/>
    </row>
    <row r="134" customFormat="false" ht="15" hidden="false" customHeight="false" outlineLevel="0" collapsed="false">
      <c r="B134" s="87" t="n">
        <f aca="false">WORKDAY(B133,1)</f>
        <v>46471</v>
      </c>
      <c r="C134" s="68" t="str">
        <f aca="false">CHOOSE(WEEKDAY(B134,2),"Mon","Tue","Wed","Thu","Fri","Sat","Sun")</f>
        <v>Thu</v>
      </c>
      <c r="D134" s="66" t="n">
        <f aca="false">COUNTIFS(Journal!$B$6:$B$505,B134,Journal!$BP$6:$BP$505,1)</f>
        <v>0</v>
      </c>
      <c r="E134" s="79" t="n">
        <f aca="false">SUMIFS(Journal!$AM$6:$AM$505,Journal!$B$6:$B$505,B134,Journal!$BP$6:$BP$505,1)</f>
        <v>0</v>
      </c>
      <c r="F134" s="88"/>
      <c r="G134" s="89"/>
      <c r="H134" s="90"/>
      <c r="I134" s="90"/>
    </row>
    <row r="135" customFormat="false" ht="15" hidden="false" customHeight="false" outlineLevel="0" collapsed="false">
      <c r="B135" s="87" t="n">
        <f aca="false">WORKDAY(B134,1)</f>
        <v>46472</v>
      </c>
      <c r="C135" s="68" t="str">
        <f aca="false">CHOOSE(WEEKDAY(B135,2),"Mon","Tue","Wed","Thu","Fri","Sat","Sun")</f>
        <v>Fri</v>
      </c>
      <c r="D135" s="66" t="n">
        <f aca="false">COUNTIFS(Journal!$B$6:$B$505,B135,Journal!$BP$6:$BP$505,1)</f>
        <v>0</v>
      </c>
      <c r="E135" s="79" t="n">
        <f aca="false">SUMIFS(Journal!$AM$6:$AM$505,Journal!$B$6:$B$505,B135,Journal!$BP$6:$BP$505,1)</f>
        <v>0</v>
      </c>
      <c r="F135" s="88"/>
      <c r="G135" s="89"/>
      <c r="H135" s="90"/>
      <c r="I135" s="90"/>
    </row>
  </sheetData>
  <conditionalFormatting sqref="E6:E135">
    <cfRule type="cellIs" priority="2" operator="greaterThan" aboveAverage="0" equalAverage="0" bottom="0" percent="0" rank="0" text="" dxfId="28">
      <formula>0</formula>
    </cfRule>
    <cfRule type="cellIs" priority="3" operator="lessThan" aboveAverage="0" equalAverage="0" bottom="0" percent="0" rank="0" text="" dxfId="29">
      <formula>0</formula>
    </cfRule>
  </conditionalFormatting>
  <dataValidations count="1">
    <dataValidation allowBlank="true" errorStyle="stop" operator="between" showDropDown="false" showErrorMessage="false" showInputMessage="false" sqref="G6:G135" type="list">
      <formula1>Lists!$P$6:$P$11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E6A"/>
    <pageSetUpPr fitToPage="false"/>
  </sheetPr>
  <dimension ref="A1:M2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3" min="13" style="0" width="28"/>
  </cols>
  <sheetData>
    <row r="1" customFormat="false" ht="33.75" hidden="false" customHeight="true" outlineLevel="0" collapsed="false">
      <c r="A1" s="12"/>
      <c r="B1" s="91" t="s">
        <v>223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8" hidden="false" customHeight="true" outlineLevel="0" collapsed="false">
      <c r="A2" s="12"/>
      <c r="B2" s="92" t="s">
        <v>224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21.75" hidden="false" customHeight="true" outlineLevel="0" collapsed="false">
      <c r="B5" s="93" t="s">
        <v>225</v>
      </c>
      <c r="C5" s="94"/>
      <c r="D5" s="94"/>
      <c r="E5" s="94"/>
      <c r="F5" s="94"/>
      <c r="G5" s="94"/>
      <c r="H5" s="94"/>
      <c r="I5" s="94"/>
      <c r="J5" s="94"/>
      <c r="K5" s="94"/>
      <c r="M5" s="50" t="s">
        <v>226</v>
      </c>
    </row>
    <row r="6" customFormat="false" ht="25.5" hidden="false" customHeight="true" outlineLevel="0" collapsed="false">
      <c r="B6" s="58" t="s">
        <v>132</v>
      </c>
      <c r="C6" s="58" t="s">
        <v>218</v>
      </c>
      <c r="D6" s="58" t="s">
        <v>227</v>
      </c>
      <c r="E6" s="58" t="s">
        <v>228</v>
      </c>
      <c r="F6" s="58" t="s">
        <v>229</v>
      </c>
      <c r="G6" s="58" t="s">
        <v>230</v>
      </c>
      <c r="H6" s="58" t="s">
        <v>231</v>
      </c>
      <c r="I6" s="58" t="s">
        <v>232</v>
      </c>
      <c r="J6" s="58" t="s">
        <v>165</v>
      </c>
      <c r="K6" s="58" t="s">
        <v>233</v>
      </c>
      <c r="M6" s="95" t="s">
        <v>132</v>
      </c>
    </row>
    <row r="7" customFormat="false" ht="15" hidden="false" customHeight="false" outlineLevel="0" collapsed="false">
      <c r="B7" s="13" t="str">
        <f aca="false">IF(Lists!$F$6="","",Lists!$F$6)</f>
        <v>Asia</v>
      </c>
      <c r="C7" s="96" t="n">
        <f aca="false">IF($B7="","",D7+E7+F7)</f>
        <v>0</v>
      </c>
      <c r="D7" s="96" t="n">
        <f aca="false">IF($B7="","",COUNTIFS(Journal!$F$6:$F$505,$B7,Journal!$AL$6:$AL$505,"Win",Journal!$BP$6:$BP$505,1))</f>
        <v>0</v>
      </c>
      <c r="E7" s="96" t="n">
        <f aca="false">IF($B7="","",COUNTIFS(Journal!$F$6:$F$505,$B7,Journal!$AL$6:$AL$505,"Loss",Journal!$BP$6:$BP$505,1))</f>
        <v>0</v>
      </c>
      <c r="F7" s="96" t="n">
        <f aca="false">IF($B7="","",COUNTIFS(Journal!$F$6:$F$505,$B7,Journal!$AL$6:$AL$505,"BE",Journal!$BP$6:$BP$505,1))</f>
        <v>0</v>
      </c>
      <c r="G7" s="97" t="n">
        <f aca="false">IF($B7="","",IFERROR(D7/C7,0))</f>
        <v>0</v>
      </c>
      <c r="H7" s="98" t="n">
        <f aca="false">IF($B7="","",SUMIFS(Journal!$AK$6:$AK$505,Journal!$F$6:$F$505,$B7,Journal!$BP$6:$BP$505,1))</f>
        <v>0</v>
      </c>
      <c r="I7" s="98" t="n">
        <f aca="false">IF($B7="","",IFERROR(H7/C7,0))</f>
        <v>0</v>
      </c>
      <c r="J7" s="99" t="n">
        <f aca="false">IF($B7="","",SUMIFS(Journal!$AM$6:$AM$505,Journal!$F$6:$F$505,$B7,Journal!$BP$6:$BP$505,1))</f>
        <v>0</v>
      </c>
      <c r="K7" s="100" t="str">
        <f aca="false">IF($B7="","",IFERROR(SUMIFS(Journal!$AM$6:$AM$505,Journal!$F$6:$F$505,$B7,Journal!$BP$6:$BP$505,1,Journal!$AM$6:$AM$505,"&gt;0")/ABS(SUMIFS(Journal!$AM$6:$AM$505,Journal!$F$6:$F$505,$B7,Journal!$BP$6:$BP$505,1,Journal!$AM$6:$AM$505,"&lt;0")),"-"))</f>
        <v>-</v>
      </c>
      <c r="M7" s="95" t="s">
        <v>135</v>
      </c>
    </row>
    <row r="8" customFormat="false" ht="15" hidden="false" customHeight="false" outlineLevel="0" collapsed="false">
      <c r="B8" s="13" t="str">
        <f aca="false">IF(Lists!$F$7="","",Lists!$F$7)</f>
        <v>London</v>
      </c>
      <c r="C8" s="96" t="n">
        <f aca="false">IF($B8="","",D8+E8+F8)</f>
        <v>1</v>
      </c>
      <c r="D8" s="96" t="n">
        <f aca="false">IF($B8="","",COUNTIFS(Journal!$F$6:$F$505,$B8,Journal!$AL$6:$AL$505,"Win",Journal!$BP$6:$BP$505,1))</f>
        <v>1</v>
      </c>
      <c r="E8" s="96" t="n">
        <f aca="false">IF($B8="","",COUNTIFS(Journal!$F$6:$F$505,$B8,Journal!$AL$6:$AL$505,"Loss",Journal!$BP$6:$BP$505,1))</f>
        <v>0</v>
      </c>
      <c r="F8" s="96" t="n">
        <f aca="false">IF($B8="","",COUNTIFS(Journal!$F$6:$F$505,$B8,Journal!$AL$6:$AL$505,"BE",Journal!$BP$6:$BP$505,1))</f>
        <v>0</v>
      </c>
      <c r="G8" s="97" t="n">
        <f aca="false">IF($B8="","",IFERROR(D8/C8,0))</f>
        <v>1</v>
      </c>
      <c r="H8" s="98" t="n">
        <f aca="false">IF($B8="","",SUMIFS(Journal!$AK$6:$AK$505,Journal!$F$6:$F$505,$B8,Journal!$BP$6:$BP$505,1))</f>
        <v>2.33</v>
      </c>
      <c r="I8" s="98" t="n">
        <f aca="false">IF($B8="","",IFERROR(H8/C8,0))</f>
        <v>2.33</v>
      </c>
      <c r="J8" s="99" t="n">
        <f aca="false">IF($B8="","",SUMIFS(Journal!$AM$6:$AM$505,Journal!$F$6:$F$505,$B8,Journal!$BP$6:$BP$505,1))</f>
        <v>229.5</v>
      </c>
      <c r="K8" s="100" t="str">
        <f aca="false">IF($B8="","",IFERROR(SUMIFS(Journal!$AM$6:$AM$505,Journal!$F$6:$F$505,$B8,Journal!$BP$6:$BP$505,1,Journal!$AM$6:$AM$505,"&gt;0")/ABS(SUMIFS(Journal!$AM$6:$AM$505,Journal!$F$6:$F$505,$B8,Journal!$BP$6:$BP$505,1,Journal!$AM$6:$AM$505,"&lt;0")),"-"))</f>
        <v>-</v>
      </c>
      <c r="M8" s="95" t="s">
        <v>138</v>
      </c>
    </row>
    <row r="9" customFormat="false" ht="15" hidden="false" customHeight="false" outlineLevel="0" collapsed="false">
      <c r="B9" s="13" t="str">
        <f aca="false">IF(Lists!$F$8="","",Lists!$F$8)</f>
        <v>New York</v>
      </c>
      <c r="C9" s="96" t="n">
        <f aca="false">IF($B9="","",D9+E9+F9)</f>
        <v>0</v>
      </c>
      <c r="D9" s="96" t="n">
        <f aca="false">IF($B9="","",COUNTIFS(Journal!$F$6:$F$505,$B9,Journal!$AL$6:$AL$505,"Win",Journal!$BP$6:$BP$505,1))</f>
        <v>0</v>
      </c>
      <c r="E9" s="96" t="n">
        <f aca="false">IF($B9="","",COUNTIFS(Journal!$F$6:$F$505,$B9,Journal!$AL$6:$AL$505,"Loss",Journal!$BP$6:$BP$505,1))</f>
        <v>0</v>
      </c>
      <c r="F9" s="96" t="n">
        <f aca="false">IF($B9="","",COUNTIFS(Journal!$F$6:$F$505,$B9,Journal!$AL$6:$AL$505,"BE",Journal!$BP$6:$BP$505,1))</f>
        <v>0</v>
      </c>
      <c r="G9" s="97" t="n">
        <f aca="false">IF($B9="","",IFERROR(D9/C9,0))</f>
        <v>0</v>
      </c>
      <c r="H9" s="98" t="n">
        <f aca="false">IF($B9="","",SUMIFS(Journal!$AK$6:$AK$505,Journal!$F$6:$F$505,$B9,Journal!$BP$6:$BP$505,1))</f>
        <v>0</v>
      </c>
      <c r="I9" s="98" t="n">
        <f aca="false">IF($B9="","",IFERROR(H9/C9,0))</f>
        <v>0</v>
      </c>
      <c r="J9" s="99" t="n">
        <f aca="false">IF($B9="","",SUMIFS(Journal!$AM$6:$AM$505,Journal!$F$6:$F$505,$B9,Journal!$BP$6:$BP$505,1))</f>
        <v>0</v>
      </c>
      <c r="K9" s="100" t="str">
        <f aca="false">IF($B9="","",IFERROR(SUMIFS(Journal!$AM$6:$AM$505,Journal!$F$6:$F$505,$B9,Journal!$BP$6:$BP$505,1,Journal!$AM$6:$AM$505,"&gt;0")/ABS(SUMIFS(Journal!$AM$6:$AM$505,Journal!$F$6:$F$505,$B9,Journal!$BP$6:$BP$505,1,Journal!$AM$6:$AM$505,"&lt;0")),"-"))</f>
        <v>-</v>
      </c>
      <c r="M9" s="95" t="s">
        <v>139</v>
      </c>
    </row>
    <row r="10" customFormat="false" ht="15" hidden="false" customHeight="false" outlineLevel="0" collapsed="false">
      <c r="B10" s="13" t="str">
        <f aca="false">IF(Lists!$F$9="","",Lists!$F$9)</f>
        <v>London-NY Overlap</v>
      </c>
      <c r="C10" s="96" t="n">
        <f aca="false">IF($B10="","",D10+E10+F10)</f>
        <v>0</v>
      </c>
      <c r="D10" s="96" t="n">
        <f aca="false">IF($B10="","",COUNTIFS(Journal!$F$6:$F$505,$B10,Journal!$AL$6:$AL$505,"Win",Journal!$BP$6:$BP$505,1))</f>
        <v>0</v>
      </c>
      <c r="E10" s="96" t="n">
        <f aca="false">IF($B10="","",COUNTIFS(Journal!$F$6:$F$505,$B10,Journal!$AL$6:$AL$505,"Loss",Journal!$BP$6:$BP$505,1))</f>
        <v>0</v>
      </c>
      <c r="F10" s="96" t="n">
        <f aca="false">IF($B10="","",COUNTIFS(Journal!$F$6:$F$505,$B10,Journal!$AL$6:$AL$505,"BE",Journal!$BP$6:$BP$505,1))</f>
        <v>0</v>
      </c>
      <c r="G10" s="97" t="n">
        <f aca="false">IF($B10="","",IFERROR(D10/C10,0))</f>
        <v>0</v>
      </c>
      <c r="H10" s="98" t="n">
        <f aca="false">IF($B10="","",SUMIFS(Journal!$AK$6:$AK$505,Journal!$F$6:$F$505,$B10,Journal!$BP$6:$BP$505,1))</f>
        <v>0</v>
      </c>
      <c r="I10" s="98" t="n">
        <f aca="false">IF($B10="","",IFERROR(H10/C10,0))</f>
        <v>0</v>
      </c>
      <c r="J10" s="99" t="n">
        <f aca="false">IF($B10="","",SUMIFS(Journal!$AM$6:$AM$505,Journal!$F$6:$F$505,$B10,Journal!$BP$6:$BP$505,1))</f>
        <v>0</v>
      </c>
      <c r="K10" s="100" t="str">
        <f aca="false">IF($B10="","",IFERROR(SUMIFS(Journal!$AM$6:$AM$505,Journal!$F$6:$F$505,$B10,Journal!$BP$6:$BP$505,1,Journal!$AM$6:$AM$505,"&gt;0")/ABS(SUMIFS(Journal!$AM$6:$AM$505,Journal!$F$6:$F$505,$B10,Journal!$BP$6:$BP$505,1,Journal!$AM$6:$AM$505,"&lt;0")),"-"))</f>
        <v>-</v>
      </c>
      <c r="M10" s="95" t="s">
        <v>141</v>
      </c>
    </row>
    <row r="11" customFormat="false" ht="15" hidden="false" customHeight="false" outlineLevel="0" collapsed="false">
      <c r="B11" s="13" t="str">
        <f aca="false">IF(Lists!$F$10="","",Lists!$F$10)</f>
        <v/>
      </c>
      <c r="C11" s="96" t="str">
        <f aca="false">IF($B11="","",D11+E11+F11)</f>
        <v/>
      </c>
      <c r="D11" s="96" t="str">
        <f aca="false">IF($B11="","",COUNTIFS(Journal!$F$6:$F$505,$B11,Journal!$AL$6:$AL$505,"Win",Journal!$BP$6:$BP$505,1))</f>
        <v/>
      </c>
      <c r="E11" s="96" t="str">
        <f aca="false">IF($B11="","",COUNTIFS(Journal!$F$6:$F$505,$B11,Journal!$AL$6:$AL$505,"Loss",Journal!$BP$6:$BP$505,1))</f>
        <v/>
      </c>
      <c r="F11" s="96" t="str">
        <f aca="false">IF($B11="","",COUNTIFS(Journal!$F$6:$F$505,$B11,Journal!$AL$6:$AL$505,"BE",Journal!$BP$6:$BP$505,1))</f>
        <v/>
      </c>
      <c r="G11" s="97" t="str">
        <f aca="false">IF($B11="","",IFERROR(D11/C11,0))</f>
        <v/>
      </c>
      <c r="H11" s="98" t="str">
        <f aca="false">IF($B11="","",SUMIFS(Journal!$AK$6:$AK$505,Journal!$F$6:$F$505,$B11,Journal!$BP$6:$BP$505,1))</f>
        <v/>
      </c>
      <c r="I11" s="98" t="str">
        <f aca="false">IF($B11="","",IFERROR(H11/C11,0))</f>
        <v/>
      </c>
      <c r="J11" s="99" t="str">
        <f aca="false">IF($B11="","",SUMIFS(Journal!$AM$6:$AM$505,Journal!$F$6:$F$505,$B11,Journal!$BP$6:$BP$505,1))</f>
        <v/>
      </c>
      <c r="K11" s="100" t="str">
        <f aca="false">IF($B11="","",IFERROR(SUMIFS(Journal!$AM$6:$AM$505,Journal!$F$6:$F$505,$B11,Journal!$BP$6:$BP$505,1,Journal!$AM$6:$AM$505,"&gt;0")/ABS(SUMIFS(Journal!$AM$6:$AM$505,Journal!$F$6:$F$505,$B11,Journal!$BP$6:$BP$505,1,Journal!$AM$6:$AM$505,"&lt;0")),"-"))</f>
        <v/>
      </c>
      <c r="M11" s="95" t="s">
        <v>234</v>
      </c>
    </row>
    <row r="12" customFormat="false" ht="15" hidden="false" customHeight="false" outlineLevel="0" collapsed="false">
      <c r="B12" s="13" t="str">
        <f aca="false">IF(Lists!$F$11="","",Lists!$F$11)</f>
        <v/>
      </c>
      <c r="C12" s="96" t="str">
        <f aca="false">IF($B12="","",D12+E12+F12)</f>
        <v/>
      </c>
      <c r="D12" s="96" t="str">
        <f aca="false">IF($B12="","",COUNTIFS(Journal!$F$6:$F$505,$B12,Journal!$AL$6:$AL$505,"Win",Journal!$BP$6:$BP$505,1))</f>
        <v/>
      </c>
      <c r="E12" s="96" t="str">
        <f aca="false">IF($B12="","",COUNTIFS(Journal!$F$6:$F$505,$B12,Journal!$AL$6:$AL$505,"Loss",Journal!$BP$6:$BP$505,1))</f>
        <v/>
      </c>
      <c r="F12" s="96" t="str">
        <f aca="false">IF($B12="","",COUNTIFS(Journal!$F$6:$F$505,$B12,Journal!$AL$6:$AL$505,"BE",Journal!$BP$6:$BP$505,1))</f>
        <v/>
      </c>
      <c r="G12" s="97" t="str">
        <f aca="false">IF($B12="","",IFERROR(D12/C12,0))</f>
        <v/>
      </c>
      <c r="H12" s="98" t="str">
        <f aca="false">IF($B12="","",SUMIFS(Journal!$AK$6:$AK$505,Journal!$F$6:$F$505,$B12,Journal!$BP$6:$BP$505,1))</f>
        <v/>
      </c>
      <c r="I12" s="98" t="str">
        <f aca="false">IF($B12="","",IFERROR(H12/C12,0))</f>
        <v/>
      </c>
      <c r="J12" s="99" t="str">
        <f aca="false">IF($B12="","",SUMIFS(Journal!$AM$6:$AM$505,Journal!$F$6:$F$505,$B12,Journal!$BP$6:$BP$505,1))</f>
        <v/>
      </c>
      <c r="K12" s="100" t="str">
        <f aca="false">IF($B12="","",IFERROR(SUMIFS(Journal!$AM$6:$AM$505,Journal!$F$6:$F$505,$B12,Journal!$BP$6:$BP$505,1,Journal!$AM$6:$AM$505,"&gt;0")/ABS(SUMIFS(Journal!$AM$6:$AM$505,Journal!$F$6:$F$505,$B12,Journal!$BP$6:$BP$505,1,Journal!$AM$6:$AM$505,"&lt;0")),"-"))</f>
        <v/>
      </c>
      <c r="M12" s="95" t="s">
        <v>137</v>
      </c>
    </row>
    <row r="13" customFormat="false" ht="15" hidden="false" customHeight="false" outlineLevel="0" collapsed="false">
      <c r="M13" s="95" t="s">
        <v>151</v>
      </c>
    </row>
    <row r="14" customFormat="false" ht="15" hidden="false" customHeight="false" outlineLevel="0" collapsed="false">
      <c r="M14" s="95" t="s">
        <v>136</v>
      </c>
    </row>
    <row r="15" customFormat="false" ht="21.75" hidden="false" customHeight="true" outlineLevel="0" collapsed="false">
      <c r="B15" s="93" t="s">
        <v>235</v>
      </c>
      <c r="C15" s="94"/>
      <c r="D15" s="94"/>
      <c r="E15" s="94"/>
      <c r="F15" s="94"/>
      <c r="G15" s="94"/>
      <c r="H15" s="94"/>
      <c r="I15" s="94"/>
      <c r="J15" s="94"/>
      <c r="K15" s="94"/>
      <c r="M15" s="95" t="s">
        <v>236</v>
      </c>
    </row>
    <row r="16" customFormat="false" ht="25.5" hidden="false" customHeight="true" outlineLevel="0" collapsed="false">
      <c r="B16" s="58" t="s">
        <v>135</v>
      </c>
      <c r="C16" s="58" t="s">
        <v>218</v>
      </c>
      <c r="D16" s="58" t="s">
        <v>227</v>
      </c>
      <c r="E16" s="58" t="s">
        <v>228</v>
      </c>
      <c r="F16" s="58" t="s">
        <v>229</v>
      </c>
      <c r="G16" s="58" t="s">
        <v>230</v>
      </c>
      <c r="H16" s="58" t="s">
        <v>231</v>
      </c>
      <c r="I16" s="58" t="s">
        <v>232</v>
      </c>
      <c r="J16" s="58" t="s">
        <v>165</v>
      </c>
      <c r="K16" s="58" t="s">
        <v>233</v>
      </c>
      <c r="M16" s="95" t="s">
        <v>171</v>
      </c>
    </row>
    <row r="17" customFormat="false" ht="15" hidden="false" customHeight="false" outlineLevel="0" collapsed="false">
      <c r="B17" s="13" t="str">
        <f aca="false">IF(Lists!$B$6="","",Lists!$B$6)</f>
        <v>XAUUSD</v>
      </c>
      <c r="C17" s="96" t="n">
        <f aca="false">IF($B17="","",D17+E17+F17)</f>
        <v>1</v>
      </c>
      <c r="D17" s="96" t="n">
        <f aca="false">IF($B17="","",COUNTIFS(Journal!$I$6:$I$505,$B17,Journal!$AL$6:$AL$505,"Win",Journal!$BP$6:$BP$505,1))</f>
        <v>1</v>
      </c>
      <c r="E17" s="96" t="n">
        <f aca="false">IF($B17="","",COUNTIFS(Journal!$I$6:$I$505,$B17,Journal!$AL$6:$AL$505,"Loss",Journal!$BP$6:$BP$505,1))</f>
        <v>0</v>
      </c>
      <c r="F17" s="96" t="n">
        <f aca="false">IF($B17="","",COUNTIFS(Journal!$I$6:$I$505,$B17,Journal!$AL$6:$AL$505,"BE",Journal!$BP$6:$BP$505,1))</f>
        <v>0</v>
      </c>
      <c r="G17" s="97" t="n">
        <f aca="false">IF($B17="","",IFERROR(D17/C17,0))</f>
        <v>1</v>
      </c>
      <c r="H17" s="98" t="n">
        <f aca="false">IF($B17="","",SUMIFS(Journal!$AK$6:$AK$505,Journal!$I$6:$I$505,$B17,Journal!$BP$6:$BP$505,1))</f>
        <v>2.33</v>
      </c>
      <c r="I17" s="98" t="n">
        <f aca="false">IF($B17="","",IFERROR(H17/C17,0))</f>
        <v>2.33</v>
      </c>
      <c r="J17" s="99" t="n">
        <f aca="false">IF($B17="","",SUMIFS(Journal!$AM$6:$AM$505,Journal!$I$6:$I$505,$B17,Journal!$BP$6:$BP$505,1))</f>
        <v>229.5</v>
      </c>
      <c r="K17" s="100" t="str">
        <f aca="false">IF($B17="","",IFERROR(SUMIFS(Journal!$AM$6:$AM$505,Journal!$I$6:$I$505,$B17,Journal!$BP$6:$BP$505,1,Journal!$AM$6:$AM$505,"&gt;0")/ABS(SUMIFS(Journal!$AM$6:$AM$505,Journal!$I$6:$I$505,$B17,Journal!$BP$6:$BP$505,1,Journal!$AM$6:$AM$505,"&lt;0")),"-"))</f>
        <v>-</v>
      </c>
      <c r="M17" s="95" t="s">
        <v>237</v>
      </c>
    </row>
    <row r="18" customFormat="false" ht="15" hidden="false" customHeight="false" outlineLevel="0" collapsed="false">
      <c r="B18" s="13" t="str">
        <f aca="false">IF(Lists!$B$7="","",Lists!$B$7)</f>
        <v>EURUSD</v>
      </c>
      <c r="C18" s="96" t="n">
        <f aca="false">IF($B18="","",D18+E18+F18)</f>
        <v>0</v>
      </c>
      <c r="D18" s="96" t="n">
        <f aca="false">IF($B18="","",COUNTIFS(Journal!$I$6:$I$505,$B18,Journal!$AL$6:$AL$505,"Win",Journal!$BP$6:$BP$505,1))</f>
        <v>0</v>
      </c>
      <c r="E18" s="96" t="n">
        <f aca="false">IF($B18="","",COUNTIFS(Journal!$I$6:$I$505,$B18,Journal!$AL$6:$AL$505,"Loss",Journal!$BP$6:$BP$505,1))</f>
        <v>0</v>
      </c>
      <c r="F18" s="96" t="n">
        <f aca="false">IF($B18="","",COUNTIFS(Journal!$I$6:$I$505,$B18,Journal!$AL$6:$AL$505,"BE",Journal!$BP$6:$BP$505,1))</f>
        <v>0</v>
      </c>
      <c r="G18" s="97" t="n">
        <f aca="false">IF($B18="","",IFERROR(D18/C18,0))</f>
        <v>0</v>
      </c>
      <c r="H18" s="98" t="n">
        <f aca="false">IF($B18="","",SUMIFS(Journal!$AK$6:$AK$505,Journal!$I$6:$I$505,$B18,Journal!$BP$6:$BP$505,1))</f>
        <v>0</v>
      </c>
      <c r="I18" s="98" t="n">
        <f aca="false">IF($B18="","",IFERROR(H18/C18,0))</f>
        <v>0</v>
      </c>
      <c r="J18" s="99" t="n">
        <f aca="false">IF($B18="","",SUMIFS(Journal!$AM$6:$AM$505,Journal!$I$6:$I$505,$B18,Journal!$BP$6:$BP$505,1))</f>
        <v>0</v>
      </c>
      <c r="K18" s="100" t="str">
        <f aca="false">IF($B18="","",IFERROR(SUMIFS(Journal!$AM$6:$AM$505,Journal!$I$6:$I$505,$B18,Journal!$BP$6:$BP$505,1,Journal!$AM$6:$AM$505,"&gt;0")/ABS(SUMIFS(Journal!$AM$6:$AM$505,Journal!$I$6:$I$505,$B18,Journal!$BP$6:$BP$505,1,Journal!$AM$6:$AM$505,"&lt;0")),"-"))</f>
        <v>-</v>
      </c>
      <c r="M18" s="95" t="s">
        <v>238</v>
      </c>
    </row>
    <row r="19" customFormat="false" ht="15" hidden="false" customHeight="false" outlineLevel="0" collapsed="false">
      <c r="B19" s="13" t="str">
        <f aca="false">IF(Lists!$B$8="","",Lists!$B$8)</f>
        <v>GBPUSD</v>
      </c>
      <c r="C19" s="96" t="n">
        <f aca="false">IF($B19="","",D19+E19+F19)</f>
        <v>0</v>
      </c>
      <c r="D19" s="96" t="n">
        <f aca="false">IF($B19="","",COUNTIFS(Journal!$I$6:$I$505,$B19,Journal!$AL$6:$AL$505,"Win",Journal!$BP$6:$BP$505,1))</f>
        <v>0</v>
      </c>
      <c r="E19" s="96" t="n">
        <f aca="false">IF($B19="","",COUNTIFS(Journal!$I$6:$I$505,$B19,Journal!$AL$6:$AL$505,"Loss",Journal!$BP$6:$BP$505,1))</f>
        <v>0</v>
      </c>
      <c r="F19" s="96" t="n">
        <f aca="false">IF($B19="","",COUNTIFS(Journal!$I$6:$I$505,$B19,Journal!$AL$6:$AL$505,"BE",Journal!$BP$6:$BP$505,1))</f>
        <v>0</v>
      </c>
      <c r="G19" s="97" t="n">
        <f aca="false">IF($B19="","",IFERROR(D19/C19,0))</f>
        <v>0</v>
      </c>
      <c r="H19" s="98" t="n">
        <f aca="false">IF($B19="","",SUMIFS(Journal!$AK$6:$AK$505,Journal!$I$6:$I$505,$B19,Journal!$BP$6:$BP$505,1))</f>
        <v>0</v>
      </c>
      <c r="I19" s="98" t="n">
        <f aca="false">IF($B19="","",IFERROR(H19/C19,0))</f>
        <v>0</v>
      </c>
      <c r="J19" s="99" t="n">
        <f aca="false">IF($B19="","",SUMIFS(Journal!$AM$6:$AM$505,Journal!$I$6:$I$505,$B19,Journal!$BP$6:$BP$505,1))</f>
        <v>0</v>
      </c>
      <c r="K19" s="100" t="str">
        <f aca="false">IF($B19="","",IFERROR(SUMIFS(Journal!$AM$6:$AM$505,Journal!$I$6:$I$505,$B19,Journal!$BP$6:$BP$505,1,Journal!$AM$6:$AM$505,"&gt;0")/ABS(SUMIFS(Journal!$AM$6:$AM$505,Journal!$I$6:$I$505,$B19,Journal!$BP$6:$BP$505,1,Journal!$AM$6:$AM$505,"&lt;0")),"-"))</f>
        <v>-</v>
      </c>
      <c r="M19" s="95" t="s">
        <v>183</v>
      </c>
    </row>
    <row r="20" customFormat="false" ht="15" hidden="false" customHeight="false" outlineLevel="0" collapsed="false">
      <c r="B20" s="13" t="str">
        <f aca="false">IF(Lists!$B$9="","",Lists!$B$9)</f>
        <v>USDJPY</v>
      </c>
      <c r="C20" s="96" t="n">
        <f aca="false">IF($B20="","",D20+E20+F20)</f>
        <v>0</v>
      </c>
      <c r="D20" s="96" t="n">
        <f aca="false">IF($B20="","",COUNTIFS(Journal!$I$6:$I$505,$B20,Journal!$AL$6:$AL$505,"Win",Journal!$BP$6:$BP$505,1))</f>
        <v>0</v>
      </c>
      <c r="E20" s="96" t="n">
        <f aca="false">IF($B20="","",COUNTIFS(Journal!$I$6:$I$505,$B20,Journal!$AL$6:$AL$505,"Loss",Journal!$BP$6:$BP$505,1))</f>
        <v>0</v>
      </c>
      <c r="F20" s="96" t="n">
        <f aca="false">IF($B20="","",COUNTIFS(Journal!$I$6:$I$505,$B20,Journal!$AL$6:$AL$505,"BE",Journal!$BP$6:$BP$505,1))</f>
        <v>0</v>
      </c>
      <c r="G20" s="97" t="n">
        <f aca="false">IF($B20="","",IFERROR(D20/C20,0))</f>
        <v>0</v>
      </c>
      <c r="H20" s="98" t="n">
        <f aca="false">IF($B20="","",SUMIFS(Journal!$AK$6:$AK$505,Journal!$I$6:$I$505,$B20,Journal!$BP$6:$BP$505,1))</f>
        <v>0</v>
      </c>
      <c r="I20" s="98" t="n">
        <f aca="false">IF($B20="","",IFERROR(H20/C20,0))</f>
        <v>0</v>
      </c>
      <c r="J20" s="99" t="n">
        <f aca="false">IF($B20="","",SUMIFS(Journal!$AM$6:$AM$505,Journal!$I$6:$I$505,$B20,Journal!$BP$6:$BP$505,1))</f>
        <v>0</v>
      </c>
      <c r="K20" s="100" t="str">
        <f aca="false">IF($B20="","",IFERROR(SUMIFS(Journal!$AM$6:$AM$505,Journal!$I$6:$I$505,$B20,Journal!$BP$6:$BP$505,1,Journal!$AM$6:$AM$505,"&gt;0")/ABS(SUMIFS(Journal!$AM$6:$AM$505,Journal!$I$6:$I$505,$B20,Journal!$BP$6:$BP$505,1,Journal!$AM$6:$AM$505,"&lt;0")),"-"))</f>
        <v>-</v>
      </c>
      <c r="M20" s="95" t="s">
        <v>180</v>
      </c>
    </row>
    <row r="21" customFormat="false" ht="15" hidden="false" customHeight="false" outlineLevel="0" collapsed="false">
      <c r="B21" s="13" t="str">
        <f aca="false">IF(Lists!$B$10="","",Lists!$B$10)</f>
        <v>GBPJPY</v>
      </c>
      <c r="C21" s="96" t="n">
        <f aca="false">IF($B21="","",D21+E21+F21)</f>
        <v>0</v>
      </c>
      <c r="D21" s="96" t="n">
        <f aca="false">IF($B21="","",COUNTIFS(Journal!$I$6:$I$505,$B21,Journal!$AL$6:$AL$505,"Win",Journal!$BP$6:$BP$505,1))</f>
        <v>0</v>
      </c>
      <c r="E21" s="96" t="n">
        <f aca="false">IF($B21="","",COUNTIFS(Journal!$I$6:$I$505,$B21,Journal!$AL$6:$AL$505,"Loss",Journal!$BP$6:$BP$505,1))</f>
        <v>0</v>
      </c>
      <c r="F21" s="96" t="n">
        <f aca="false">IF($B21="","",COUNTIFS(Journal!$I$6:$I$505,$B21,Journal!$AL$6:$AL$505,"BE",Journal!$BP$6:$BP$505,1))</f>
        <v>0</v>
      </c>
      <c r="G21" s="97" t="n">
        <f aca="false">IF($B21="","",IFERROR(D21/C21,0))</f>
        <v>0</v>
      </c>
      <c r="H21" s="98" t="n">
        <f aca="false">IF($B21="","",SUMIFS(Journal!$AK$6:$AK$505,Journal!$I$6:$I$505,$B21,Journal!$BP$6:$BP$505,1))</f>
        <v>0</v>
      </c>
      <c r="I21" s="98" t="n">
        <f aca="false">IF($B21="","",IFERROR(H21/C21,0))</f>
        <v>0</v>
      </c>
      <c r="J21" s="99" t="n">
        <f aca="false">IF($B21="","",SUMIFS(Journal!$AM$6:$AM$505,Journal!$I$6:$I$505,$B21,Journal!$BP$6:$BP$505,1))</f>
        <v>0</v>
      </c>
      <c r="K21" s="100" t="str">
        <f aca="false">IF($B21="","",IFERROR(SUMIFS(Journal!$AM$6:$AM$505,Journal!$I$6:$I$505,$B21,Journal!$BP$6:$BP$505,1,Journal!$AM$6:$AM$505,"&gt;0")/ABS(SUMIFS(Journal!$AM$6:$AM$505,Journal!$I$6:$I$505,$B21,Journal!$BP$6:$BP$505,1,Journal!$AM$6:$AM$505,"&lt;0")),"-"))</f>
        <v>-</v>
      </c>
      <c r="M21" s="95" t="s">
        <v>131</v>
      </c>
    </row>
    <row r="22" customFormat="false" ht="15" hidden="false" customHeight="false" outlineLevel="0" collapsed="false">
      <c r="B22" s="13" t="str">
        <f aca="false">IF(Lists!$B$11="","",Lists!$B$11)</f>
        <v>AUDUSD</v>
      </c>
      <c r="C22" s="96" t="n">
        <f aca="false">IF($B22="","",D22+E22+F22)</f>
        <v>0</v>
      </c>
      <c r="D22" s="96" t="n">
        <f aca="false">IF($B22="","",COUNTIFS(Journal!$I$6:$I$505,$B22,Journal!$AL$6:$AL$505,"Win",Journal!$BP$6:$BP$505,1))</f>
        <v>0</v>
      </c>
      <c r="E22" s="96" t="n">
        <f aca="false">IF($B22="","",COUNTIFS(Journal!$I$6:$I$505,$B22,Journal!$AL$6:$AL$505,"Loss",Journal!$BP$6:$BP$505,1))</f>
        <v>0</v>
      </c>
      <c r="F22" s="96" t="n">
        <f aca="false">IF($B22="","",COUNTIFS(Journal!$I$6:$I$505,$B22,Journal!$AL$6:$AL$505,"BE",Journal!$BP$6:$BP$505,1))</f>
        <v>0</v>
      </c>
      <c r="G22" s="97" t="n">
        <f aca="false">IF($B22="","",IFERROR(D22/C22,0))</f>
        <v>0</v>
      </c>
      <c r="H22" s="98" t="n">
        <f aca="false">IF($B22="","",SUMIFS(Journal!$AK$6:$AK$505,Journal!$I$6:$I$505,$B22,Journal!$BP$6:$BP$505,1))</f>
        <v>0</v>
      </c>
      <c r="I22" s="98" t="n">
        <f aca="false">IF($B22="","",IFERROR(H22/C22,0))</f>
        <v>0</v>
      </c>
      <c r="J22" s="99" t="n">
        <f aca="false">IF($B22="","",SUMIFS(Journal!$AM$6:$AM$505,Journal!$I$6:$I$505,$B22,Journal!$BP$6:$BP$505,1))</f>
        <v>0</v>
      </c>
      <c r="K22" s="100" t="str">
        <f aca="false">IF($B22="","",IFERROR(SUMIFS(Journal!$AM$6:$AM$505,Journal!$I$6:$I$505,$B22,Journal!$BP$6:$BP$505,1,Journal!$AM$6:$AM$505,"&gt;0")/ABS(SUMIFS(Journal!$AM$6:$AM$505,Journal!$I$6:$I$505,$B22,Journal!$BP$6:$BP$505,1,Journal!$AM$6:$AM$505,"&lt;0")),"-"))</f>
        <v>-</v>
      </c>
      <c r="M22" s="95" t="s">
        <v>239</v>
      </c>
    </row>
    <row r="23" customFormat="false" ht="15" hidden="false" customHeight="false" outlineLevel="0" collapsed="false">
      <c r="B23" s="13" t="str">
        <f aca="false">IF(Lists!$B$12="","",Lists!$B$12)</f>
        <v>USDCAD</v>
      </c>
      <c r="C23" s="96" t="n">
        <f aca="false">IF($B23="","",D23+E23+F23)</f>
        <v>0</v>
      </c>
      <c r="D23" s="96" t="n">
        <f aca="false">IF($B23="","",COUNTIFS(Journal!$I$6:$I$505,$B23,Journal!$AL$6:$AL$505,"Win",Journal!$BP$6:$BP$505,1))</f>
        <v>0</v>
      </c>
      <c r="E23" s="96" t="n">
        <f aca="false">IF($B23="","",COUNTIFS(Journal!$I$6:$I$505,$B23,Journal!$AL$6:$AL$505,"Loss",Journal!$BP$6:$BP$505,1))</f>
        <v>0</v>
      </c>
      <c r="F23" s="96" t="n">
        <f aca="false">IF($B23="","",COUNTIFS(Journal!$I$6:$I$505,$B23,Journal!$AL$6:$AL$505,"BE",Journal!$BP$6:$BP$505,1))</f>
        <v>0</v>
      </c>
      <c r="G23" s="97" t="n">
        <f aca="false">IF($B23="","",IFERROR(D23/C23,0))</f>
        <v>0</v>
      </c>
      <c r="H23" s="98" t="n">
        <f aca="false">IF($B23="","",SUMIFS(Journal!$AK$6:$AK$505,Journal!$I$6:$I$505,$B23,Journal!$BP$6:$BP$505,1))</f>
        <v>0</v>
      </c>
      <c r="I23" s="98" t="n">
        <f aca="false">IF($B23="","",IFERROR(H23/C23,0))</f>
        <v>0</v>
      </c>
      <c r="J23" s="99" t="n">
        <f aca="false">IF($B23="","",SUMIFS(Journal!$AM$6:$AM$505,Journal!$I$6:$I$505,$B23,Journal!$BP$6:$BP$505,1))</f>
        <v>0</v>
      </c>
      <c r="K23" s="100" t="str">
        <f aca="false">IF($B23="","",IFERROR(SUMIFS(Journal!$AM$6:$AM$505,Journal!$I$6:$I$505,$B23,Journal!$BP$6:$BP$505,1,Journal!$AM$6:$AM$505,"&gt;0")/ABS(SUMIFS(Journal!$AM$6:$AM$505,Journal!$I$6:$I$505,$B23,Journal!$BP$6:$BP$505,1,Journal!$AM$6:$AM$505,"&lt;0")),"-"))</f>
        <v>-</v>
      </c>
      <c r="M23" s="95" t="s">
        <v>240</v>
      </c>
    </row>
    <row r="24" customFormat="false" ht="15" hidden="false" customHeight="false" outlineLevel="0" collapsed="false">
      <c r="B24" s="13" t="str">
        <f aca="false">IF(Lists!$B$13="","",Lists!$B$13)</f>
        <v>NZDUSD</v>
      </c>
      <c r="C24" s="96" t="n">
        <f aca="false">IF($B24="","",D24+E24+F24)</f>
        <v>0</v>
      </c>
      <c r="D24" s="96" t="n">
        <f aca="false">IF($B24="","",COUNTIFS(Journal!$I$6:$I$505,$B24,Journal!$AL$6:$AL$505,"Win",Journal!$BP$6:$BP$505,1))</f>
        <v>0</v>
      </c>
      <c r="E24" s="96" t="n">
        <f aca="false">IF($B24="","",COUNTIFS(Journal!$I$6:$I$505,$B24,Journal!$AL$6:$AL$505,"Loss",Journal!$BP$6:$BP$505,1))</f>
        <v>0</v>
      </c>
      <c r="F24" s="96" t="n">
        <f aca="false">IF($B24="","",COUNTIFS(Journal!$I$6:$I$505,$B24,Journal!$AL$6:$AL$505,"BE",Journal!$BP$6:$BP$505,1))</f>
        <v>0</v>
      </c>
      <c r="G24" s="97" t="n">
        <f aca="false">IF($B24="","",IFERROR(D24/C24,0))</f>
        <v>0</v>
      </c>
      <c r="H24" s="98" t="n">
        <f aca="false">IF($B24="","",SUMIFS(Journal!$AK$6:$AK$505,Journal!$I$6:$I$505,$B24,Journal!$BP$6:$BP$505,1))</f>
        <v>0</v>
      </c>
      <c r="I24" s="98" t="n">
        <f aca="false">IF($B24="","",IFERROR(H24/C24,0))</f>
        <v>0</v>
      </c>
      <c r="J24" s="99" t="n">
        <f aca="false">IF($B24="","",SUMIFS(Journal!$AM$6:$AM$505,Journal!$I$6:$I$505,$B24,Journal!$BP$6:$BP$505,1))</f>
        <v>0</v>
      </c>
      <c r="K24" s="100" t="str">
        <f aca="false">IF($B24="","",IFERROR(SUMIFS(Journal!$AM$6:$AM$505,Journal!$I$6:$I$505,$B24,Journal!$BP$6:$BP$505,1,Journal!$AM$6:$AM$505,"&gt;0")/ABS(SUMIFS(Journal!$AM$6:$AM$505,Journal!$I$6:$I$505,$B24,Journal!$BP$6:$BP$505,1,Journal!$AM$6:$AM$505,"&lt;0")),"-"))</f>
        <v>-</v>
      </c>
    </row>
    <row r="25" customFormat="false" ht="15" hidden="false" customHeight="false" outlineLevel="0" collapsed="false">
      <c r="B25" s="13" t="str">
        <f aca="false">IF(Lists!$B$14="","",Lists!$B$14)</f>
        <v>USDCHF</v>
      </c>
      <c r="C25" s="96" t="n">
        <f aca="false">IF($B25="","",D25+E25+F25)</f>
        <v>0</v>
      </c>
      <c r="D25" s="96" t="n">
        <f aca="false">IF($B25="","",COUNTIFS(Journal!$I$6:$I$505,$B25,Journal!$AL$6:$AL$505,"Win",Journal!$BP$6:$BP$505,1))</f>
        <v>0</v>
      </c>
      <c r="E25" s="96" t="n">
        <f aca="false">IF($B25="","",COUNTIFS(Journal!$I$6:$I$505,$B25,Journal!$AL$6:$AL$505,"Loss",Journal!$BP$6:$BP$505,1))</f>
        <v>0</v>
      </c>
      <c r="F25" s="96" t="n">
        <f aca="false">IF($B25="","",COUNTIFS(Journal!$I$6:$I$505,$B25,Journal!$AL$6:$AL$505,"BE",Journal!$BP$6:$BP$505,1))</f>
        <v>0</v>
      </c>
      <c r="G25" s="97" t="n">
        <f aca="false">IF($B25="","",IFERROR(D25/C25,0))</f>
        <v>0</v>
      </c>
      <c r="H25" s="98" t="n">
        <f aca="false">IF($B25="","",SUMIFS(Journal!$AK$6:$AK$505,Journal!$I$6:$I$505,$B25,Journal!$BP$6:$BP$505,1))</f>
        <v>0</v>
      </c>
      <c r="I25" s="98" t="n">
        <f aca="false">IF($B25="","",IFERROR(H25/C25,0))</f>
        <v>0</v>
      </c>
      <c r="J25" s="99" t="n">
        <f aca="false">IF($B25="","",SUMIFS(Journal!$AM$6:$AM$505,Journal!$I$6:$I$505,$B25,Journal!$BP$6:$BP$505,1))</f>
        <v>0</v>
      </c>
      <c r="K25" s="100" t="str">
        <f aca="false">IF($B25="","",IFERROR(SUMIFS(Journal!$AM$6:$AM$505,Journal!$I$6:$I$505,$B25,Journal!$BP$6:$BP$505,1,Journal!$AM$6:$AM$505,"&gt;0")/ABS(SUMIFS(Journal!$AM$6:$AM$505,Journal!$I$6:$I$505,$B25,Journal!$BP$6:$BP$505,1,Journal!$AM$6:$AM$505,"&lt;0")),"-"))</f>
        <v>-</v>
      </c>
    </row>
    <row r="26" customFormat="false" ht="15" hidden="false" customHeight="false" outlineLevel="0" collapsed="false">
      <c r="B26" s="13" t="str">
        <f aca="false">IF(Lists!$B$15="","",Lists!$B$15)</f>
        <v>EURJPY</v>
      </c>
      <c r="C26" s="96" t="n">
        <f aca="false">IF($B26="","",D26+E26+F26)</f>
        <v>0</v>
      </c>
      <c r="D26" s="96" t="n">
        <f aca="false">IF($B26="","",COUNTIFS(Journal!$I$6:$I$505,$B26,Journal!$AL$6:$AL$505,"Win",Journal!$BP$6:$BP$505,1))</f>
        <v>0</v>
      </c>
      <c r="E26" s="96" t="n">
        <f aca="false">IF($B26="","",COUNTIFS(Journal!$I$6:$I$505,$B26,Journal!$AL$6:$AL$505,"Loss",Journal!$BP$6:$BP$505,1))</f>
        <v>0</v>
      </c>
      <c r="F26" s="96" t="n">
        <f aca="false">IF($B26="","",COUNTIFS(Journal!$I$6:$I$505,$B26,Journal!$AL$6:$AL$505,"BE",Journal!$BP$6:$BP$505,1))</f>
        <v>0</v>
      </c>
      <c r="G26" s="97" t="n">
        <f aca="false">IF($B26="","",IFERROR(D26/C26,0))</f>
        <v>0</v>
      </c>
      <c r="H26" s="98" t="n">
        <f aca="false">IF($B26="","",SUMIFS(Journal!$AK$6:$AK$505,Journal!$I$6:$I$505,$B26,Journal!$BP$6:$BP$505,1))</f>
        <v>0</v>
      </c>
      <c r="I26" s="98" t="n">
        <f aca="false">IF($B26="","",IFERROR(H26/C26,0))</f>
        <v>0</v>
      </c>
      <c r="J26" s="99" t="n">
        <f aca="false">IF($B26="","",SUMIFS(Journal!$AM$6:$AM$505,Journal!$I$6:$I$505,$B26,Journal!$BP$6:$BP$505,1))</f>
        <v>0</v>
      </c>
      <c r="K26" s="100" t="str">
        <f aca="false">IF($B26="","",IFERROR(SUMIFS(Journal!$AM$6:$AM$505,Journal!$I$6:$I$505,$B26,Journal!$BP$6:$BP$505,1,Journal!$AM$6:$AM$505,"&gt;0")/ABS(SUMIFS(Journal!$AM$6:$AM$505,Journal!$I$6:$I$505,$B26,Journal!$BP$6:$BP$505,1,Journal!$AM$6:$AM$505,"&lt;0")),"-"))</f>
        <v>-</v>
      </c>
    </row>
    <row r="27" customFormat="false" ht="15" hidden="false" customHeight="false" outlineLevel="0" collapsed="false">
      <c r="B27" s="13" t="str">
        <f aca="false">IF(Lists!$B$16="","",Lists!$B$16)</f>
        <v/>
      </c>
      <c r="C27" s="96" t="str">
        <f aca="false">IF($B27="","",D27+E27+F27)</f>
        <v/>
      </c>
      <c r="D27" s="96" t="str">
        <f aca="false">IF($B27="","",COUNTIFS(Journal!$I$6:$I$505,$B27,Journal!$AL$6:$AL$505,"Win",Journal!$BP$6:$BP$505,1))</f>
        <v/>
      </c>
      <c r="E27" s="96" t="str">
        <f aca="false">IF($B27="","",COUNTIFS(Journal!$I$6:$I$505,$B27,Journal!$AL$6:$AL$505,"Loss",Journal!$BP$6:$BP$505,1))</f>
        <v/>
      </c>
      <c r="F27" s="96" t="str">
        <f aca="false">IF($B27="","",COUNTIFS(Journal!$I$6:$I$505,$B27,Journal!$AL$6:$AL$505,"BE",Journal!$BP$6:$BP$505,1))</f>
        <v/>
      </c>
      <c r="G27" s="97" t="str">
        <f aca="false">IF($B27="","",IFERROR(D27/C27,0))</f>
        <v/>
      </c>
      <c r="H27" s="98" t="str">
        <f aca="false">IF($B27="","",SUMIFS(Journal!$AK$6:$AK$505,Journal!$I$6:$I$505,$B27,Journal!$BP$6:$BP$505,1))</f>
        <v/>
      </c>
      <c r="I27" s="98" t="str">
        <f aca="false">IF($B27="","",IFERROR(H27/C27,0))</f>
        <v/>
      </c>
      <c r="J27" s="99" t="str">
        <f aca="false">IF($B27="","",SUMIFS(Journal!$AM$6:$AM$505,Journal!$I$6:$I$505,$B27,Journal!$BP$6:$BP$505,1))</f>
        <v/>
      </c>
      <c r="K27" s="100" t="str">
        <f aca="false">IF($B27="","",IFERROR(SUMIFS(Journal!$AM$6:$AM$505,Journal!$I$6:$I$505,$B27,Journal!$BP$6:$BP$505,1,Journal!$AM$6:$AM$505,"&gt;0")/ABS(SUMIFS(Journal!$AM$6:$AM$505,Journal!$I$6:$I$505,$B27,Journal!$BP$6:$BP$505,1,Journal!$AM$6:$AM$505,"&lt;0")),"-"))</f>
        <v/>
      </c>
    </row>
    <row r="28" customFormat="false" ht="15" hidden="false" customHeight="false" outlineLevel="0" collapsed="false">
      <c r="B28" s="13" t="str">
        <f aca="false">IF(Lists!$B$17="","",Lists!$B$17)</f>
        <v/>
      </c>
      <c r="C28" s="96" t="str">
        <f aca="false">IF($B28="","",D28+E28+F28)</f>
        <v/>
      </c>
      <c r="D28" s="96" t="str">
        <f aca="false">IF($B28="","",COUNTIFS(Journal!$I$6:$I$505,$B28,Journal!$AL$6:$AL$505,"Win",Journal!$BP$6:$BP$505,1))</f>
        <v/>
      </c>
      <c r="E28" s="96" t="str">
        <f aca="false">IF($B28="","",COUNTIFS(Journal!$I$6:$I$505,$B28,Journal!$AL$6:$AL$505,"Loss",Journal!$BP$6:$BP$505,1))</f>
        <v/>
      </c>
      <c r="F28" s="96" t="str">
        <f aca="false">IF($B28="","",COUNTIFS(Journal!$I$6:$I$505,$B28,Journal!$AL$6:$AL$505,"BE",Journal!$BP$6:$BP$505,1))</f>
        <v/>
      </c>
      <c r="G28" s="97" t="str">
        <f aca="false">IF($B28="","",IFERROR(D28/C28,0))</f>
        <v/>
      </c>
      <c r="H28" s="98" t="str">
        <f aca="false">IF($B28="","",SUMIFS(Journal!$AK$6:$AK$505,Journal!$I$6:$I$505,$B28,Journal!$BP$6:$BP$505,1))</f>
        <v/>
      </c>
      <c r="I28" s="98" t="str">
        <f aca="false">IF($B28="","",IFERROR(H28/C28,0))</f>
        <v/>
      </c>
      <c r="J28" s="99" t="str">
        <f aca="false">IF($B28="","",SUMIFS(Journal!$AM$6:$AM$505,Journal!$I$6:$I$505,$B28,Journal!$BP$6:$BP$505,1))</f>
        <v/>
      </c>
      <c r="K28" s="100" t="str">
        <f aca="false">IF($B28="","",IFERROR(SUMIFS(Journal!$AM$6:$AM$505,Journal!$I$6:$I$505,$B28,Journal!$BP$6:$BP$505,1,Journal!$AM$6:$AM$505,"&gt;0")/ABS(SUMIFS(Journal!$AM$6:$AM$505,Journal!$I$6:$I$505,$B28,Journal!$BP$6:$BP$505,1,Journal!$AM$6:$AM$505,"&lt;0")),"-"))</f>
        <v/>
      </c>
    </row>
    <row r="31" customFormat="false" ht="21.75" hidden="false" customHeight="true" outlineLevel="0" collapsed="false">
      <c r="B31" s="93" t="s">
        <v>241</v>
      </c>
      <c r="C31" s="94"/>
      <c r="D31" s="94"/>
      <c r="E31" s="94"/>
      <c r="F31" s="94"/>
      <c r="G31" s="94"/>
      <c r="H31" s="94"/>
      <c r="I31" s="94"/>
      <c r="J31" s="94"/>
      <c r="K31" s="94"/>
    </row>
    <row r="32" customFormat="false" ht="25.5" hidden="false" customHeight="true" outlineLevel="0" collapsed="false">
      <c r="B32" s="58" t="s">
        <v>138</v>
      </c>
      <c r="C32" s="58" t="s">
        <v>218</v>
      </c>
      <c r="D32" s="58" t="s">
        <v>227</v>
      </c>
      <c r="E32" s="58" t="s">
        <v>228</v>
      </c>
      <c r="F32" s="58" t="s">
        <v>229</v>
      </c>
      <c r="G32" s="58" t="s">
        <v>230</v>
      </c>
      <c r="H32" s="58" t="s">
        <v>231</v>
      </c>
      <c r="I32" s="58" t="s">
        <v>232</v>
      </c>
      <c r="J32" s="58" t="s">
        <v>165</v>
      </c>
      <c r="K32" s="58" t="s">
        <v>233</v>
      </c>
    </row>
    <row r="33" customFormat="false" ht="15" hidden="false" customHeight="false" outlineLevel="0" collapsed="false">
      <c r="B33" s="13" t="str">
        <f aca="false">IF(Lists!$G$6="","",Lists!$G$6)</f>
        <v>Liquidity Sweep Reversal</v>
      </c>
      <c r="C33" s="96" t="n">
        <f aca="false">IF($B33="","",D33+E33+F33)</f>
        <v>1</v>
      </c>
      <c r="D33" s="96" t="n">
        <f aca="false">IF($B33="","",COUNTIFS(Journal!$L$6:$L$505,$B33,Journal!$AL$6:$AL$505,"Win",Journal!$BP$6:$BP$505,1))</f>
        <v>1</v>
      </c>
      <c r="E33" s="96" t="n">
        <f aca="false">IF($B33="","",COUNTIFS(Journal!$L$6:$L$505,$B33,Journal!$AL$6:$AL$505,"Loss",Journal!$BP$6:$BP$505,1))</f>
        <v>0</v>
      </c>
      <c r="F33" s="96" t="n">
        <f aca="false">IF($B33="","",COUNTIFS(Journal!$L$6:$L$505,$B33,Journal!$AL$6:$AL$505,"BE",Journal!$BP$6:$BP$505,1))</f>
        <v>0</v>
      </c>
      <c r="G33" s="97" t="n">
        <f aca="false">IF($B33="","",IFERROR(D33/C33,0))</f>
        <v>1</v>
      </c>
      <c r="H33" s="98" t="n">
        <f aca="false">IF($B33="","",SUMIFS(Journal!$AK$6:$AK$505,Journal!$L$6:$L$505,$B33,Journal!$BP$6:$BP$505,1))</f>
        <v>2.33</v>
      </c>
      <c r="I33" s="98" t="n">
        <f aca="false">IF($B33="","",IFERROR(H33/C33,0))</f>
        <v>2.33</v>
      </c>
      <c r="J33" s="99" t="n">
        <f aca="false">IF($B33="","",SUMIFS(Journal!$AM$6:$AM$505,Journal!$L$6:$L$505,$B33,Journal!$BP$6:$BP$505,1))</f>
        <v>229.5</v>
      </c>
      <c r="K33" s="100" t="str">
        <f aca="false">IF($B33="","",IFERROR(SUMIFS(Journal!$AM$6:$AM$505,Journal!$L$6:$L$505,$B33,Journal!$BP$6:$BP$505,1,Journal!$AM$6:$AM$505,"&gt;0")/ABS(SUMIFS(Journal!$AM$6:$AM$505,Journal!$L$6:$L$505,$B33,Journal!$BP$6:$BP$505,1,Journal!$AM$6:$AM$505,"&lt;0")),"-"))</f>
        <v>-</v>
      </c>
    </row>
    <row r="34" customFormat="false" ht="15" hidden="false" customHeight="false" outlineLevel="0" collapsed="false">
      <c r="B34" s="13" t="str">
        <f aca="false">IF(Lists!$G$7="","",Lists!$G$7)</f>
        <v>Order Block Retest</v>
      </c>
      <c r="C34" s="96" t="n">
        <f aca="false">IF($B34="","",D34+E34+F34)</f>
        <v>0</v>
      </c>
      <c r="D34" s="96" t="n">
        <f aca="false">IF($B34="","",COUNTIFS(Journal!$L$6:$L$505,$B34,Journal!$AL$6:$AL$505,"Win",Journal!$BP$6:$BP$505,1))</f>
        <v>0</v>
      </c>
      <c r="E34" s="96" t="n">
        <f aca="false">IF($B34="","",COUNTIFS(Journal!$L$6:$L$505,$B34,Journal!$AL$6:$AL$505,"Loss",Journal!$BP$6:$BP$505,1))</f>
        <v>0</v>
      </c>
      <c r="F34" s="96" t="n">
        <f aca="false">IF($B34="","",COUNTIFS(Journal!$L$6:$L$505,$B34,Journal!$AL$6:$AL$505,"BE",Journal!$BP$6:$BP$505,1))</f>
        <v>0</v>
      </c>
      <c r="G34" s="97" t="n">
        <f aca="false">IF($B34="","",IFERROR(D34/C34,0))</f>
        <v>0</v>
      </c>
      <c r="H34" s="98" t="n">
        <f aca="false">IF($B34="","",SUMIFS(Journal!$AK$6:$AK$505,Journal!$L$6:$L$505,$B34,Journal!$BP$6:$BP$505,1))</f>
        <v>0</v>
      </c>
      <c r="I34" s="98" t="n">
        <f aca="false">IF($B34="","",IFERROR(H34/C34,0))</f>
        <v>0</v>
      </c>
      <c r="J34" s="99" t="n">
        <f aca="false">IF($B34="","",SUMIFS(Journal!$AM$6:$AM$505,Journal!$L$6:$L$505,$B34,Journal!$BP$6:$BP$505,1))</f>
        <v>0</v>
      </c>
      <c r="K34" s="100" t="str">
        <f aca="false">IF($B34="","",IFERROR(SUMIFS(Journal!$AM$6:$AM$505,Journal!$L$6:$L$505,$B34,Journal!$BP$6:$BP$505,1,Journal!$AM$6:$AM$505,"&gt;0")/ABS(SUMIFS(Journal!$AM$6:$AM$505,Journal!$L$6:$L$505,$B34,Journal!$BP$6:$BP$505,1,Journal!$AM$6:$AM$505,"&lt;0")),"-"))</f>
        <v>-</v>
      </c>
    </row>
    <row r="35" customFormat="false" ht="15" hidden="false" customHeight="false" outlineLevel="0" collapsed="false">
      <c r="B35" s="13" t="str">
        <f aca="false">IF(Lists!$G$8="","",Lists!$G$8)</f>
        <v>Break &amp; Retest</v>
      </c>
      <c r="C35" s="96" t="n">
        <f aca="false">IF($B35="","",D35+E35+F35)</f>
        <v>0</v>
      </c>
      <c r="D35" s="96" t="n">
        <f aca="false">IF($B35="","",COUNTIFS(Journal!$L$6:$L$505,$B35,Journal!$AL$6:$AL$505,"Win",Journal!$BP$6:$BP$505,1))</f>
        <v>0</v>
      </c>
      <c r="E35" s="96" t="n">
        <f aca="false">IF($B35="","",COUNTIFS(Journal!$L$6:$L$505,$B35,Journal!$AL$6:$AL$505,"Loss",Journal!$BP$6:$BP$505,1))</f>
        <v>0</v>
      </c>
      <c r="F35" s="96" t="n">
        <f aca="false">IF($B35="","",COUNTIFS(Journal!$L$6:$L$505,$B35,Journal!$AL$6:$AL$505,"BE",Journal!$BP$6:$BP$505,1))</f>
        <v>0</v>
      </c>
      <c r="G35" s="97" t="n">
        <f aca="false">IF($B35="","",IFERROR(D35/C35,0))</f>
        <v>0</v>
      </c>
      <c r="H35" s="98" t="n">
        <f aca="false">IF($B35="","",SUMIFS(Journal!$AK$6:$AK$505,Journal!$L$6:$L$505,$B35,Journal!$BP$6:$BP$505,1))</f>
        <v>0</v>
      </c>
      <c r="I35" s="98" t="n">
        <f aca="false">IF($B35="","",IFERROR(H35/C35,0))</f>
        <v>0</v>
      </c>
      <c r="J35" s="99" t="n">
        <f aca="false">IF($B35="","",SUMIFS(Journal!$AM$6:$AM$505,Journal!$L$6:$L$505,$B35,Journal!$BP$6:$BP$505,1))</f>
        <v>0</v>
      </c>
      <c r="K35" s="100" t="str">
        <f aca="false">IF($B35="","",IFERROR(SUMIFS(Journal!$AM$6:$AM$505,Journal!$L$6:$L$505,$B35,Journal!$BP$6:$BP$505,1,Journal!$AM$6:$AM$505,"&gt;0")/ABS(SUMIFS(Journal!$AM$6:$AM$505,Journal!$L$6:$L$505,$B35,Journal!$BP$6:$BP$505,1,Journal!$AM$6:$AM$505,"&lt;0")),"-"))</f>
        <v>-</v>
      </c>
    </row>
    <row r="36" customFormat="false" ht="15" hidden="false" customHeight="false" outlineLevel="0" collapsed="false">
      <c r="B36" s="13" t="str">
        <f aca="false">IF(Lists!$G$9="","",Lists!$G$9)</f>
        <v>FVG Entry</v>
      </c>
      <c r="C36" s="96" t="n">
        <f aca="false">IF($B36="","",D36+E36+F36)</f>
        <v>0</v>
      </c>
      <c r="D36" s="96" t="n">
        <f aca="false">IF($B36="","",COUNTIFS(Journal!$L$6:$L$505,$B36,Journal!$AL$6:$AL$505,"Win",Journal!$BP$6:$BP$505,1))</f>
        <v>0</v>
      </c>
      <c r="E36" s="96" t="n">
        <f aca="false">IF($B36="","",COUNTIFS(Journal!$L$6:$L$505,$B36,Journal!$AL$6:$AL$505,"Loss",Journal!$BP$6:$BP$505,1))</f>
        <v>0</v>
      </c>
      <c r="F36" s="96" t="n">
        <f aca="false">IF($B36="","",COUNTIFS(Journal!$L$6:$L$505,$B36,Journal!$AL$6:$AL$505,"BE",Journal!$BP$6:$BP$505,1))</f>
        <v>0</v>
      </c>
      <c r="G36" s="97" t="n">
        <f aca="false">IF($B36="","",IFERROR(D36/C36,0))</f>
        <v>0</v>
      </c>
      <c r="H36" s="98" t="n">
        <f aca="false">IF($B36="","",SUMIFS(Journal!$AK$6:$AK$505,Journal!$L$6:$L$505,$B36,Journal!$BP$6:$BP$505,1))</f>
        <v>0</v>
      </c>
      <c r="I36" s="98" t="n">
        <f aca="false">IF($B36="","",IFERROR(H36/C36,0))</f>
        <v>0</v>
      </c>
      <c r="J36" s="99" t="n">
        <f aca="false">IF($B36="","",SUMIFS(Journal!$AM$6:$AM$505,Journal!$L$6:$L$505,$B36,Journal!$BP$6:$BP$505,1))</f>
        <v>0</v>
      </c>
      <c r="K36" s="100" t="str">
        <f aca="false">IF($B36="","",IFERROR(SUMIFS(Journal!$AM$6:$AM$505,Journal!$L$6:$L$505,$B36,Journal!$BP$6:$BP$505,1,Journal!$AM$6:$AM$505,"&gt;0")/ABS(SUMIFS(Journal!$AM$6:$AM$505,Journal!$L$6:$L$505,$B36,Journal!$BP$6:$BP$505,1,Journal!$AM$6:$AM$505,"&lt;0")),"-"))</f>
        <v>-</v>
      </c>
    </row>
    <row r="37" customFormat="false" ht="15" hidden="false" customHeight="false" outlineLevel="0" collapsed="false">
      <c r="B37" s="13" t="str">
        <f aca="false">IF(Lists!$G$10="","",Lists!$G$10)</f>
        <v>Breaker Block</v>
      </c>
      <c r="C37" s="96" t="n">
        <f aca="false">IF($B37="","",D37+E37+F37)</f>
        <v>0</v>
      </c>
      <c r="D37" s="96" t="n">
        <f aca="false">IF($B37="","",COUNTIFS(Journal!$L$6:$L$505,$B37,Journal!$AL$6:$AL$505,"Win",Journal!$BP$6:$BP$505,1))</f>
        <v>0</v>
      </c>
      <c r="E37" s="96" t="n">
        <f aca="false">IF($B37="","",COUNTIFS(Journal!$L$6:$L$505,$B37,Journal!$AL$6:$AL$505,"Loss",Journal!$BP$6:$BP$505,1))</f>
        <v>0</v>
      </c>
      <c r="F37" s="96" t="n">
        <f aca="false">IF($B37="","",COUNTIFS(Journal!$L$6:$L$505,$B37,Journal!$AL$6:$AL$505,"BE",Journal!$BP$6:$BP$505,1))</f>
        <v>0</v>
      </c>
      <c r="G37" s="97" t="n">
        <f aca="false">IF($B37="","",IFERROR(D37/C37,0))</f>
        <v>0</v>
      </c>
      <c r="H37" s="98" t="n">
        <f aca="false">IF($B37="","",SUMIFS(Journal!$AK$6:$AK$505,Journal!$L$6:$L$505,$B37,Journal!$BP$6:$BP$505,1))</f>
        <v>0</v>
      </c>
      <c r="I37" s="98" t="n">
        <f aca="false">IF($B37="","",IFERROR(H37/C37,0))</f>
        <v>0</v>
      </c>
      <c r="J37" s="99" t="n">
        <f aca="false">IF($B37="","",SUMIFS(Journal!$AM$6:$AM$505,Journal!$L$6:$L$505,$B37,Journal!$BP$6:$BP$505,1))</f>
        <v>0</v>
      </c>
      <c r="K37" s="100" t="str">
        <f aca="false">IF($B37="","",IFERROR(SUMIFS(Journal!$AM$6:$AM$505,Journal!$L$6:$L$505,$B37,Journal!$BP$6:$BP$505,1,Journal!$AM$6:$AM$505,"&gt;0")/ABS(SUMIFS(Journal!$AM$6:$AM$505,Journal!$L$6:$L$505,$B37,Journal!$BP$6:$BP$505,1,Journal!$AM$6:$AM$505,"&lt;0")),"-"))</f>
        <v>-</v>
      </c>
    </row>
    <row r="38" customFormat="false" ht="15" hidden="false" customHeight="false" outlineLevel="0" collapsed="false">
      <c r="B38" s="13" t="str">
        <f aca="false">IF(Lists!$G$11="","",Lists!$G$11)</f>
        <v>Supply/Demand Zone Reaction</v>
      </c>
      <c r="C38" s="96" t="n">
        <f aca="false">IF($B38="","",D38+E38+F38)</f>
        <v>0</v>
      </c>
      <c r="D38" s="96" t="n">
        <f aca="false">IF($B38="","",COUNTIFS(Journal!$L$6:$L$505,$B38,Journal!$AL$6:$AL$505,"Win",Journal!$BP$6:$BP$505,1))</f>
        <v>0</v>
      </c>
      <c r="E38" s="96" t="n">
        <f aca="false">IF($B38="","",COUNTIFS(Journal!$L$6:$L$505,$B38,Journal!$AL$6:$AL$505,"Loss",Journal!$BP$6:$BP$505,1))</f>
        <v>0</v>
      </c>
      <c r="F38" s="96" t="n">
        <f aca="false">IF($B38="","",COUNTIFS(Journal!$L$6:$L$505,$B38,Journal!$AL$6:$AL$505,"BE",Journal!$BP$6:$BP$505,1))</f>
        <v>0</v>
      </c>
      <c r="G38" s="97" t="n">
        <f aca="false">IF($B38="","",IFERROR(D38/C38,0))</f>
        <v>0</v>
      </c>
      <c r="H38" s="98" t="n">
        <f aca="false">IF($B38="","",SUMIFS(Journal!$AK$6:$AK$505,Journal!$L$6:$L$505,$B38,Journal!$BP$6:$BP$505,1))</f>
        <v>0</v>
      </c>
      <c r="I38" s="98" t="n">
        <f aca="false">IF($B38="","",IFERROR(H38/C38,0))</f>
        <v>0</v>
      </c>
      <c r="J38" s="99" t="n">
        <f aca="false">IF($B38="","",SUMIFS(Journal!$AM$6:$AM$505,Journal!$L$6:$L$505,$B38,Journal!$BP$6:$BP$505,1))</f>
        <v>0</v>
      </c>
      <c r="K38" s="100" t="str">
        <f aca="false">IF($B38="","",IFERROR(SUMIFS(Journal!$AM$6:$AM$505,Journal!$L$6:$L$505,$B38,Journal!$BP$6:$BP$505,1,Journal!$AM$6:$AM$505,"&gt;0")/ABS(SUMIFS(Journal!$AM$6:$AM$505,Journal!$L$6:$L$505,$B38,Journal!$BP$6:$BP$505,1,Journal!$AM$6:$AM$505,"&lt;0")),"-"))</f>
        <v>-</v>
      </c>
    </row>
    <row r="39" customFormat="false" ht="15" hidden="false" customHeight="false" outlineLevel="0" collapsed="false">
      <c r="B39" s="13" t="str">
        <f aca="false">IF(Lists!$G$12="","",Lists!$G$12)</f>
        <v>Trend Pullback</v>
      </c>
      <c r="C39" s="96" t="n">
        <f aca="false">IF($B39="","",D39+E39+F39)</f>
        <v>0</v>
      </c>
      <c r="D39" s="96" t="n">
        <f aca="false">IF($B39="","",COUNTIFS(Journal!$L$6:$L$505,$B39,Journal!$AL$6:$AL$505,"Win",Journal!$BP$6:$BP$505,1))</f>
        <v>0</v>
      </c>
      <c r="E39" s="96" t="n">
        <f aca="false">IF($B39="","",COUNTIFS(Journal!$L$6:$L$505,$B39,Journal!$AL$6:$AL$505,"Loss",Journal!$BP$6:$BP$505,1))</f>
        <v>0</v>
      </c>
      <c r="F39" s="96" t="n">
        <f aca="false">IF($B39="","",COUNTIFS(Journal!$L$6:$L$505,$B39,Journal!$AL$6:$AL$505,"BE",Journal!$BP$6:$BP$505,1))</f>
        <v>0</v>
      </c>
      <c r="G39" s="97" t="n">
        <f aca="false">IF($B39="","",IFERROR(D39/C39,0))</f>
        <v>0</v>
      </c>
      <c r="H39" s="98" t="n">
        <f aca="false">IF($B39="","",SUMIFS(Journal!$AK$6:$AK$505,Journal!$L$6:$L$505,$B39,Journal!$BP$6:$BP$505,1))</f>
        <v>0</v>
      </c>
      <c r="I39" s="98" t="n">
        <f aca="false">IF($B39="","",IFERROR(H39/C39,0))</f>
        <v>0</v>
      </c>
      <c r="J39" s="99" t="n">
        <f aca="false">IF($B39="","",SUMIFS(Journal!$AM$6:$AM$505,Journal!$L$6:$L$505,$B39,Journal!$BP$6:$BP$505,1))</f>
        <v>0</v>
      </c>
      <c r="K39" s="100" t="str">
        <f aca="false">IF($B39="","",IFERROR(SUMIFS(Journal!$AM$6:$AM$505,Journal!$L$6:$L$505,$B39,Journal!$BP$6:$BP$505,1,Journal!$AM$6:$AM$505,"&gt;0")/ABS(SUMIFS(Journal!$AM$6:$AM$505,Journal!$L$6:$L$505,$B39,Journal!$BP$6:$BP$505,1,Journal!$AM$6:$AM$505,"&lt;0")),"-"))</f>
        <v>-</v>
      </c>
    </row>
    <row r="40" customFormat="false" ht="15" hidden="false" customHeight="false" outlineLevel="0" collapsed="false">
      <c r="B40" s="13" t="str">
        <f aca="false">IF(Lists!$G$13="","",Lists!$G$13)</f>
        <v>Range Edge Fade</v>
      </c>
      <c r="C40" s="96" t="n">
        <f aca="false">IF($B40="","",D40+E40+F40)</f>
        <v>0</v>
      </c>
      <c r="D40" s="96" t="n">
        <f aca="false">IF($B40="","",COUNTIFS(Journal!$L$6:$L$505,$B40,Journal!$AL$6:$AL$505,"Win",Journal!$BP$6:$BP$505,1))</f>
        <v>0</v>
      </c>
      <c r="E40" s="96" t="n">
        <f aca="false">IF($B40="","",COUNTIFS(Journal!$L$6:$L$505,$B40,Journal!$AL$6:$AL$505,"Loss",Journal!$BP$6:$BP$505,1))</f>
        <v>0</v>
      </c>
      <c r="F40" s="96" t="n">
        <f aca="false">IF($B40="","",COUNTIFS(Journal!$L$6:$L$505,$B40,Journal!$AL$6:$AL$505,"BE",Journal!$BP$6:$BP$505,1))</f>
        <v>0</v>
      </c>
      <c r="G40" s="97" t="n">
        <f aca="false">IF($B40="","",IFERROR(D40/C40,0))</f>
        <v>0</v>
      </c>
      <c r="H40" s="98" t="n">
        <f aca="false">IF($B40="","",SUMIFS(Journal!$AK$6:$AK$505,Journal!$L$6:$L$505,$B40,Journal!$BP$6:$BP$505,1))</f>
        <v>0</v>
      </c>
      <c r="I40" s="98" t="n">
        <f aca="false">IF($B40="","",IFERROR(H40/C40,0))</f>
        <v>0</v>
      </c>
      <c r="J40" s="99" t="n">
        <f aca="false">IF($B40="","",SUMIFS(Journal!$AM$6:$AM$505,Journal!$L$6:$L$505,$B40,Journal!$BP$6:$BP$505,1))</f>
        <v>0</v>
      </c>
      <c r="K40" s="100" t="str">
        <f aca="false">IF($B40="","",IFERROR(SUMIFS(Journal!$AM$6:$AM$505,Journal!$L$6:$L$505,$B40,Journal!$BP$6:$BP$505,1,Journal!$AM$6:$AM$505,"&gt;0")/ABS(SUMIFS(Journal!$AM$6:$AM$505,Journal!$L$6:$L$505,$B40,Journal!$BP$6:$BP$505,1,Journal!$AM$6:$AM$505,"&lt;0")),"-"))</f>
        <v>-</v>
      </c>
    </row>
    <row r="41" customFormat="false" ht="15" hidden="false" customHeight="false" outlineLevel="0" collapsed="false">
      <c r="B41" s="13" t="str">
        <f aca="false">IF(Lists!$G$14="","",Lists!$G$14)</f>
        <v>Asia Range Sweep</v>
      </c>
      <c r="C41" s="96" t="n">
        <f aca="false">IF($B41="","",D41+E41+F41)</f>
        <v>0</v>
      </c>
      <c r="D41" s="96" t="n">
        <f aca="false">IF($B41="","",COUNTIFS(Journal!$L$6:$L$505,$B41,Journal!$AL$6:$AL$505,"Win",Journal!$BP$6:$BP$505,1))</f>
        <v>0</v>
      </c>
      <c r="E41" s="96" t="n">
        <f aca="false">IF($B41="","",COUNTIFS(Journal!$L$6:$L$505,$B41,Journal!$AL$6:$AL$505,"Loss",Journal!$BP$6:$BP$505,1))</f>
        <v>0</v>
      </c>
      <c r="F41" s="96" t="n">
        <f aca="false">IF($B41="","",COUNTIFS(Journal!$L$6:$L$505,$B41,Journal!$AL$6:$AL$505,"BE",Journal!$BP$6:$BP$505,1))</f>
        <v>0</v>
      </c>
      <c r="G41" s="97" t="n">
        <f aca="false">IF($B41="","",IFERROR(D41/C41,0))</f>
        <v>0</v>
      </c>
      <c r="H41" s="98" t="n">
        <f aca="false">IF($B41="","",SUMIFS(Journal!$AK$6:$AK$505,Journal!$L$6:$L$505,$B41,Journal!$BP$6:$BP$505,1))</f>
        <v>0</v>
      </c>
      <c r="I41" s="98" t="n">
        <f aca="false">IF($B41="","",IFERROR(H41/C41,0))</f>
        <v>0</v>
      </c>
      <c r="J41" s="99" t="n">
        <f aca="false">IF($B41="","",SUMIFS(Journal!$AM$6:$AM$505,Journal!$L$6:$L$505,$B41,Journal!$BP$6:$BP$505,1))</f>
        <v>0</v>
      </c>
      <c r="K41" s="100" t="str">
        <f aca="false">IF($B41="","",IFERROR(SUMIFS(Journal!$AM$6:$AM$505,Journal!$L$6:$L$505,$B41,Journal!$BP$6:$BP$505,1,Journal!$AM$6:$AM$505,"&gt;0")/ABS(SUMIFS(Journal!$AM$6:$AM$505,Journal!$L$6:$L$505,$B41,Journal!$BP$6:$BP$505,1,Journal!$AM$6:$AM$505,"&lt;0")),"-"))</f>
        <v>-</v>
      </c>
    </row>
    <row r="42" customFormat="false" ht="15" hidden="false" customHeight="false" outlineLevel="0" collapsed="false">
      <c r="B42" s="13" t="str">
        <f aca="false">IF(Lists!$G$15="","",Lists!$G$15)</f>
        <v>Other</v>
      </c>
      <c r="C42" s="96" t="n">
        <f aca="false">IF($B42="","",D42+E42+F42)</f>
        <v>0</v>
      </c>
      <c r="D42" s="96" t="n">
        <f aca="false">IF($B42="","",COUNTIFS(Journal!$L$6:$L$505,$B42,Journal!$AL$6:$AL$505,"Win",Journal!$BP$6:$BP$505,1))</f>
        <v>0</v>
      </c>
      <c r="E42" s="96" t="n">
        <f aca="false">IF($B42="","",COUNTIFS(Journal!$L$6:$L$505,$B42,Journal!$AL$6:$AL$505,"Loss",Journal!$BP$6:$BP$505,1))</f>
        <v>0</v>
      </c>
      <c r="F42" s="96" t="n">
        <f aca="false">IF($B42="","",COUNTIFS(Journal!$L$6:$L$505,$B42,Journal!$AL$6:$AL$505,"BE",Journal!$BP$6:$BP$505,1))</f>
        <v>0</v>
      </c>
      <c r="G42" s="97" t="n">
        <f aca="false">IF($B42="","",IFERROR(D42/C42,0))</f>
        <v>0</v>
      </c>
      <c r="H42" s="98" t="n">
        <f aca="false">IF($B42="","",SUMIFS(Journal!$AK$6:$AK$505,Journal!$L$6:$L$505,$B42,Journal!$BP$6:$BP$505,1))</f>
        <v>0</v>
      </c>
      <c r="I42" s="98" t="n">
        <f aca="false">IF($B42="","",IFERROR(H42/C42,0))</f>
        <v>0</v>
      </c>
      <c r="J42" s="99" t="n">
        <f aca="false">IF($B42="","",SUMIFS(Journal!$AM$6:$AM$505,Journal!$L$6:$L$505,$B42,Journal!$BP$6:$BP$505,1))</f>
        <v>0</v>
      </c>
      <c r="K42" s="100" t="str">
        <f aca="false">IF($B42="","",IFERROR(SUMIFS(Journal!$AM$6:$AM$505,Journal!$L$6:$L$505,$B42,Journal!$BP$6:$BP$505,1,Journal!$AM$6:$AM$505,"&gt;0")/ABS(SUMIFS(Journal!$AM$6:$AM$505,Journal!$L$6:$L$505,$B42,Journal!$BP$6:$BP$505,1,Journal!$AM$6:$AM$505,"&lt;0")),"-"))</f>
        <v>-</v>
      </c>
    </row>
    <row r="43" customFormat="false" ht="15" hidden="false" customHeight="false" outlineLevel="0" collapsed="false">
      <c r="B43" s="13" t="str">
        <f aca="false">IF(Lists!$G$16="","",Lists!$G$16)</f>
        <v/>
      </c>
      <c r="C43" s="96" t="str">
        <f aca="false">IF($B43="","",D43+E43+F43)</f>
        <v/>
      </c>
      <c r="D43" s="96" t="str">
        <f aca="false">IF($B43="","",COUNTIFS(Journal!$L$6:$L$505,$B43,Journal!$AL$6:$AL$505,"Win",Journal!$BP$6:$BP$505,1))</f>
        <v/>
      </c>
      <c r="E43" s="96" t="str">
        <f aca="false">IF($B43="","",COUNTIFS(Journal!$L$6:$L$505,$B43,Journal!$AL$6:$AL$505,"Loss",Journal!$BP$6:$BP$505,1))</f>
        <v/>
      </c>
      <c r="F43" s="96" t="str">
        <f aca="false">IF($B43="","",COUNTIFS(Journal!$L$6:$L$505,$B43,Journal!$AL$6:$AL$505,"BE",Journal!$BP$6:$BP$505,1))</f>
        <v/>
      </c>
      <c r="G43" s="97" t="str">
        <f aca="false">IF($B43="","",IFERROR(D43/C43,0))</f>
        <v/>
      </c>
      <c r="H43" s="98" t="str">
        <f aca="false">IF($B43="","",SUMIFS(Journal!$AK$6:$AK$505,Journal!$L$6:$L$505,$B43,Journal!$BP$6:$BP$505,1))</f>
        <v/>
      </c>
      <c r="I43" s="98" t="str">
        <f aca="false">IF($B43="","",IFERROR(H43/C43,0))</f>
        <v/>
      </c>
      <c r="J43" s="99" t="str">
        <f aca="false">IF($B43="","",SUMIFS(Journal!$AM$6:$AM$505,Journal!$L$6:$L$505,$B43,Journal!$BP$6:$BP$505,1))</f>
        <v/>
      </c>
      <c r="K43" s="100" t="str">
        <f aca="false">IF($B43="","",IFERROR(SUMIFS(Journal!$AM$6:$AM$505,Journal!$L$6:$L$505,$B43,Journal!$BP$6:$BP$505,1,Journal!$AM$6:$AM$505,"&gt;0")/ABS(SUMIFS(Journal!$AM$6:$AM$505,Journal!$L$6:$L$505,$B43,Journal!$BP$6:$BP$505,1,Journal!$AM$6:$AM$505,"&lt;0")),"-"))</f>
        <v/>
      </c>
    </row>
    <row r="44" customFormat="false" ht="15" hidden="false" customHeight="false" outlineLevel="0" collapsed="false">
      <c r="B44" s="13" t="str">
        <f aca="false">IF(Lists!$G$17="","",Lists!$G$17)</f>
        <v/>
      </c>
      <c r="C44" s="96" t="str">
        <f aca="false">IF($B44="","",D44+E44+F44)</f>
        <v/>
      </c>
      <c r="D44" s="96" t="str">
        <f aca="false">IF($B44="","",COUNTIFS(Journal!$L$6:$L$505,$B44,Journal!$AL$6:$AL$505,"Win",Journal!$BP$6:$BP$505,1))</f>
        <v/>
      </c>
      <c r="E44" s="96" t="str">
        <f aca="false">IF($B44="","",COUNTIFS(Journal!$L$6:$L$505,$B44,Journal!$AL$6:$AL$505,"Loss",Journal!$BP$6:$BP$505,1))</f>
        <v/>
      </c>
      <c r="F44" s="96" t="str">
        <f aca="false">IF($B44="","",COUNTIFS(Journal!$L$6:$L$505,$B44,Journal!$AL$6:$AL$505,"BE",Journal!$BP$6:$BP$505,1))</f>
        <v/>
      </c>
      <c r="G44" s="97" t="str">
        <f aca="false">IF($B44="","",IFERROR(D44/C44,0))</f>
        <v/>
      </c>
      <c r="H44" s="98" t="str">
        <f aca="false">IF($B44="","",SUMIFS(Journal!$AK$6:$AK$505,Journal!$L$6:$L$505,$B44,Journal!$BP$6:$BP$505,1))</f>
        <v/>
      </c>
      <c r="I44" s="98" t="str">
        <f aca="false">IF($B44="","",IFERROR(H44/C44,0))</f>
        <v/>
      </c>
      <c r="J44" s="99" t="str">
        <f aca="false">IF($B44="","",SUMIFS(Journal!$AM$6:$AM$505,Journal!$L$6:$L$505,$B44,Journal!$BP$6:$BP$505,1))</f>
        <v/>
      </c>
      <c r="K44" s="100" t="str">
        <f aca="false">IF($B44="","",IFERROR(SUMIFS(Journal!$AM$6:$AM$505,Journal!$L$6:$L$505,$B44,Journal!$BP$6:$BP$505,1,Journal!$AM$6:$AM$505,"&gt;0")/ABS(SUMIFS(Journal!$AM$6:$AM$505,Journal!$L$6:$L$505,$B44,Journal!$BP$6:$BP$505,1,Journal!$AM$6:$AM$505,"&lt;0")),"-"))</f>
        <v/>
      </c>
    </row>
    <row r="47" customFormat="false" ht="21.75" hidden="false" customHeight="true" outlineLevel="0" collapsed="false">
      <c r="B47" s="93" t="s">
        <v>242</v>
      </c>
      <c r="C47" s="94"/>
      <c r="D47" s="94"/>
      <c r="E47" s="94"/>
      <c r="F47" s="94"/>
      <c r="G47" s="94"/>
      <c r="H47" s="94"/>
      <c r="I47" s="94"/>
      <c r="J47" s="94"/>
      <c r="K47" s="94"/>
    </row>
    <row r="48" customFormat="false" ht="25.5" hidden="false" customHeight="true" outlineLevel="0" collapsed="false">
      <c r="B48" s="58" t="s">
        <v>139</v>
      </c>
      <c r="C48" s="58" t="s">
        <v>218</v>
      </c>
      <c r="D48" s="58" t="s">
        <v>227</v>
      </c>
      <c r="E48" s="58" t="s">
        <v>228</v>
      </c>
      <c r="F48" s="58" t="s">
        <v>229</v>
      </c>
      <c r="G48" s="58" t="s">
        <v>230</v>
      </c>
      <c r="H48" s="58" t="s">
        <v>231</v>
      </c>
      <c r="I48" s="58" t="s">
        <v>232</v>
      </c>
      <c r="J48" s="58" t="s">
        <v>165</v>
      </c>
      <c r="K48" s="58" t="s">
        <v>233</v>
      </c>
    </row>
    <row r="49" customFormat="false" ht="15" hidden="false" customHeight="false" outlineLevel="0" collapsed="false">
      <c r="B49" s="13" t="str">
        <f aca="false">IF(Lists!$H$6="","",Lists!$H$6)</f>
        <v>Order Block</v>
      </c>
      <c r="C49" s="96" t="n">
        <f aca="false">IF($B49="","",D49+E49+F49)</f>
        <v>1</v>
      </c>
      <c r="D49" s="96" t="n">
        <f aca="false">IF($B49="","",COUNTIFS(Journal!$M$6:$M$505,$B49,Journal!$AL$6:$AL$505,"Win",Journal!$BP$6:$BP$505,1))</f>
        <v>1</v>
      </c>
      <c r="E49" s="96" t="n">
        <f aca="false">IF($B49="","",COUNTIFS(Journal!$M$6:$M$505,$B49,Journal!$AL$6:$AL$505,"Loss",Journal!$BP$6:$BP$505,1))</f>
        <v>0</v>
      </c>
      <c r="F49" s="96" t="n">
        <f aca="false">IF($B49="","",COUNTIFS(Journal!$M$6:$M$505,$B49,Journal!$AL$6:$AL$505,"BE",Journal!$BP$6:$BP$505,1))</f>
        <v>0</v>
      </c>
      <c r="G49" s="97" t="n">
        <f aca="false">IF($B49="","",IFERROR(D49/C49,0))</f>
        <v>1</v>
      </c>
      <c r="H49" s="98" t="n">
        <f aca="false">IF($B49="","",SUMIFS(Journal!$AK$6:$AK$505,Journal!$M$6:$M$505,$B49,Journal!$BP$6:$BP$505,1))</f>
        <v>2.33</v>
      </c>
      <c r="I49" s="98" t="n">
        <f aca="false">IF($B49="","",IFERROR(H49/C49,0))</f>
        <v>2.33</v>
      </c>
      <c r="J49" s="99" t="n">
        <f aca="false">IF($B49="","",SUMIFS(Journal!$AM$6:$AM$505,Journal!$M$6:$M$505,$B49,Journal!$BP$6:$BP$505,1))</f>
        <v>229.5</v>
      </c>
      <c r="K49" s="100" t="str">
        <f aca="false">IF($B49="","",IFERROR(SUMIFS(Journal!$AM$6:$AM$505,Journal!$M$6:$M$505,$B49,Journal!$BP$6:$BP$505,1,Journal!$AM$6:$AM$505,"&gt;0")/ABS(SUMIFS(Journal!$AM$6:$AM$505,Journal!$M$6:$M$505,$B49,Journal!$BP$6:$BP$505,1,Journal!$AM$6:$AM$505,"&lt;0")),"-"))</f>
        <v>-</v>
      </c>
    </row>
    <row r="50" customFormat="false" ht="15" hidden="false" customHeight="false" outlineLevel="0" collapsed="false">
      <c r="B50" s="13" t="str">
        <f aca="false">IF(Lists!$H$7="","",Lists!$H$7)</f>
        <v>Demand Zone</v>
      </c>
      <c r="C50" s="96" t="n">
        <f aca="false">IF($B50="","",D50+E50+F50)</f>
        <v>0</v>
      </c>
      <c r="D50" s="96" t="n">
        <f aca="false">IF($B50="","",COUNTIFS(Journal!$M$6:$M$505,$B50,Journal!$AL$6:$AL$505,"Win",Journal!$BP$6:$BP$505,1))</f>
        <v>0</v>
      </c>
      <c r="E50" s="96" t="n">
        <f aca="false">IF($B50="","",COUNTIFS(Journal!$M$6:$M$505,$B50,Journal!$AL$6:$AL$505,"Loss",Journal!$BP$6:$BP$505,1))</f>
        <v>0</v>
      </c>
      <c r="F50" s="96" t="n">
        <f aca="false">IF($B50="","",COUNTIFS(Journal!$M$6:$M$505,$B50,Journal!$AL$6:$AL$505,"BE",Journal!$BP$6:$BP$505,1))</f>
        <v>0</v>
      </c>
      <c r="G50" s="97" t="n">
        <f aca="false">IF($B50="","",IFERROR(D50/C50,0))</f>
        <v>0</v>
      </c>
      <c r="H50" s="98" t="n">
        <f aca="false">IF($B50="","",SUMIFS(Journal!$AK$6:$AK$505,Journal!$M$6:$M$505,$B50,Journal!$BP$6:$BP$505,1))</f>
        <v>0</v>
      </c>
      <c r="I50" s="98" t="n">
        <f aca="false">IF($B50="","",IFERROR(H50/C50,0))</f>
        <v>0</v>
      </c>
      <c r="J50" s="99" t="n">
        <f aca="false">IF($B50="","",SUMIFS(Journal!$AM$6:$AM$505,Journal!$M$6:$M$505,$B50,Journal!$BP$6:$BP$505,1))</f>
        <v>0</v>
      </c>
      <c r="K50" s="100" t="str">
        <f aca="false">IF($B50="","",IFERROR(SUMIFS(Journal!$AM$6:$AM$505,Journal!$M$6:$M$505,$B50,Journal!$BP$6:$BP$505,1,Journal!$AM$6:$AM$505,"&gt;0")/ABS(SUMIFS(Journal!$AM$6:$AM$505,Journal!$M$6:$M$505,$B50,Journal!$BP$6:$BP$505,1,Journal!$AM$6:$AM$505,"&lt;0")),"-"))</f>
        <v>-</v>
      </c>
    </row>
    <row r="51" customFormat="false" ht="15" hidden="false" customHeight="false" outlineLevel="0" collapsed="false">
      <c r="B51" s="13" t="str">
        <f aca="false">IF(Lists!$H$8="","",Lists!$H$8)</f>
        <v>Supply Zone</v>
      </c>
      <c r="C51" s="96" t="n">
        <f aca="false">IF($B51="","",D51+E51+F51)</f>
        <v>0</v>
      </c>
      <c r="D51" s="96" t="n">
        <f aca="false">IF($B51="","",COUNTIFS(Journal!$M$6:$M$505,$B51,Journal!$AL$6:$AL$505,"Win",Journal!$BP$6:$BP$505,1))</f>
        <v>0</v>
      </c>
      <c r="E51" s="96" t="n">
        <f aca="false">IF($B51="","",COUNTIFS(Journal!$M$6:$M$505,$B51,Journal!$AL$6:$AL$505,"Loss",Journal!$BP$6:$BP$505,1))</f>
        <v>0</v>
      </c>
      <c r="F51" s="96" t="n">
        <f aca="false">IF($B51="","",COUNTIFS(Journal!$M$6:$M$505,$B51,Journal!$AL$6:$AL$505,"BE",Journal!$BP$6:$BP$505,1))</f>
        <v>0</v>
      </c>
      <c r="G51" s="97" t="n">
        <f aca="false">IF($B51="","",IFERROR(D51/C51,0))</f>
        <v>0</v>
      </c>
      <c r="H51" s="98" t="n">
        <f aca="false">IF($B51="","",SUMIFS(Journal!$AK$6:$AK$505,Journal!$M$6:$M$505,$B51,Journal!$BP$6:$BP$505,1))</f>
        <v>0</v>
      </c>
      <c r="I51" s="98" t="n">
        <f aca="false">IF($B51="","",IFERROR(H51/C51,0))</f>
        <v>0</v>
      </c>
      <c r="J51" s="99" t="n">
        <f aca="false">IF($B51="","",SUMIFS(Journal!$AM$6:$AM$505,Journal!$M$6:$M$505,$B51,Journal!$BP$6:$BP$505,1))</f>
        <v>0</v>
      </c>
      <c r="K51" s="100" t="str">
        <f aca="false">IF($B51="","",IFERROR(SUMIFS(Journal!$AM$6:$AM$505,Journal!$M$6:$M$505,$B51,Journal!$BP$6:$BP$505,1,Journal!$AM$6:$AM$505,"&gt;0")/ABS(SUMIFS(Journal!$AM$6:$AM$505,Journal!$M$6:$M$505,$B51,Journal!$BP$6:$BP$505,1,Journal!$AM$6:$AM$505,"&lt;0")),"-"))</f>
        <v>-</v>
      </c>
    </row>
    <row r="52" customFormat="false" ht="15" hidden="false" customHeight="false" outlineLevel="0" collapsed="false">
      <c r="B52" s="13" t="str">
        <f aca="false">IF(Lists!$H$9="","",Lists!$H$9)</f>
        <v>FVG / Imbalance</v>
      </c>
      <c r="C52" s="96" t="n">
        <f aca="false">IF($B52="","",D52+E52+F52)</f>
        <v>0</v>
      </c>
      <c r="D52" s="96" t="n">
        <f aca="false">IF($B52="","",COUNTIFS(Journal!$M$6:$M$505,$B52,Journal!$AL$6:$AL$505,"Win",Journal!$BP$6:$BP$505,1))</f>
        <v>0</v>
      </c>
      <c r="E52" s="96" t="n">
        <f aca="false">IF($B52="","",COUNTIFS(Journal!$M$6:$M$505,$B52,Journal!$AL$6:$AL$505,"Loss",Journal!$BP$6:$BP$505,1))</f>
        <v>0</v>
      </c>
      <c r="F52" s="96" t="n">
        <f aca="false">IF($B52="","",COUNTIFS(Journal!$M$6:$M$505,$B52,Journal!$AL$6:$AL$505,"BE",Journal!$BP$6:$BP$505,1))</f>
        <v>0</v>
      </c>
      <c r="G52" s="97" t="n">
        <f aca="false">IF($B52="","",IFERROR(D52/C52,0))</f>
        <v>0</v>
      </c>
      <c r="H52" s="98" t="n">
        <f aca="false">IF($B52="","",SUMIFS(Journal!$AK$6:$AK$505,Journal!$M$6:$M$505,$B52,Journal!$BP$6:$BP$505,1))</f>
        <v>0</v>
      </c>
      <c r="I52" s="98" t="n">
        <f aca="false">IF($B52="","",IFERROR(H52/C52,0))</f>
        <v>0</v>
      </c>
      <c r="J52" s="99" t="n">
        <f aca="false">IF($B52="","",SUMIFS(Journal!$AM$6:$AM$505,Journal!$M$6:$M$505,$B52,Journal!$BP$6:$BP$505,1))</f>
        <v>0</v>
      </c>
      <c r="K52" s="100" t="str">
        <f aca="false">IF($B52="","",IFERROR(SUMIFS(Journal!$AM$6:$AM$505,Journal!$M$6:$M$505,$B52,Journal!$BP$6:$BP$505,1,Journal!$AM$6:$AM$505,"&gt;0")/ABS(SUMIFS(Journal!$AM$6:$AM$505,Journal!$M$6:$M$505,$B52,Journal!$BP$6:$BP$505,1,Journal!$AM$6:$AM$505,"&lt;0")),"-"))</f>
        <v>-</v>
      </c>
    </row>
    <row r="53" customFormat="false" ht="15" hidden="false" customHeight="false" outlineLevel="0" collapsed="false">
      <c r="B53" s="13" t="str">
        <f aca="false">IF(Lists!$H$10="","",Lists!$H$10)</f>
        <v>Breaker Block</v>
      </c>
      <c r="C53" s="96" t="n">
        <f aca="false">IF($B53="","",D53+E53+F53)</f>
        <v>0</v>
      </c>
      <c r="D53" s="96" t="n">
        <f aca="false">IF($B53="","",COUNTIFS(Journal!$M$6:$M$505,$B53,Journal!$AL$6:$AL$505,"Win",Journal!$BP$6:$BP$505,1))</f>
        <v>0</v>
      </c>
      <c r="E53" s="96" t="n">
        <f aca="false">IF($B53="","",COUNTIFS(Journal!$M$6:$M$505,$B53,Journal!$AL$6:$AL$505,"Loss",Journal!$BP$6:$BP$505,1))</f>
        <v>0</v>
      </c>
      <c r="F53" s="96" t="n">
        <f aca="false">IF($B53="","",COUNTIFS(Journal!$M$6:$M$505,$B53,Journal!$AL$6:$AL$505,"BE",Journal!$BP$6:$BP$505,1))</f>
        <v>0</v>
      </c>
      <c r="G53" s="97" t="n">
        <f aca="false">IF($B53="","",IFERROR(D53/C53,0))</f>
        <v>0</v>
      </c>
      <c r="H53" s="98" t="n">
        <f aca="false">IF($B53="","",SUMIFS(Journal!$AK$6:$AK$505,Journal!$M$6:$M$505,$B53,Journal!$BP$6:$BP$505,1))</f>
        <v>0</v>
      </c>
      <c r="I53" s="98" t="n">
        <f aca="false">IF($B53="","",IFERROR(H53/C53,0))</f>
        <v>0</v>
      </c>
      <c r="J53" s="99" t="n">
        <f aca="false">IF($B53="","",SUMIFS(Journal!$AM$6:$AM$505,Journal!$M$6:$M$505,$B53,Journal!$BP$6:$BP$505,1))</f>
        <v>0</v>
      </c>
      <c r="K53" s="100" t="str">
        <f aca="false">IF($B53="","",IFERROR(SUMIFS(Journal!$AM$6:$AM$505,Journal!$M$6:$M$505,$B53,Journal!$BP$6:$BP$505,1,Journal!$AM$6:$AM$505,"&gt;0")/ABS(SUMIFS(Journal!$AM$6:$AM$505,Journal!$M$6:$M$505,$B53,Journal!$BP$6:$BP$505,1,Journal!$AM$6:$AM$505,"&lt;0")),"-"))</f>
        <v>-</v>
      </c>
    </row>
    <row r="54" customFormat="false" ht="15" hidden="false" customHeight="false" outlineLevel="0" collapsed="false">
      <c r="B54" s="13" t="str">
        <f aca="false">IF(Lists!$H$11="","",Lists!$H$11)</f>
        <v>Mitigation Block</v>
      </c>
      <c r="C54" s="96" t="n">
        <f aca="false">IF($B54="","",D54+E54+F54)</f>
        <v>0</v>
      </c>
      <c r="D54" s="96" t="n">
        <f aca="false">IF($B54="","",COUNTIFS(Journal!$M$6:$M$505,$B54,Journal!$AL$6:$AL$505,"Win",Journal!$BP$6:$BP$505,1))</f>
        <v>0</v>
      </c>
      <c r="E54" s="96" t="n">
        <f aca="false">IF($B54="","",COUNTIFS(Journal!$M$6:$M$505,$B54,Journal!$AL$6:$AL$505,"Loss",Journal!$BP$6:$BP$505,1))</f>
        <v>0</v>
      </c>
      <c r="F54" s="96" t="n">
        <f aca="false">IF($B54="","",COUNTIFS(Journal!$M$6:$M$505,$B54,Journal!$AL$6:$AL$505,"BE",Journal!$BP$6:$BP$505,1))</f>
        <v>0</v>
      </c>
      <c r="G54" s="97" t="n">
        <f aca="false">IF($B54="","",IFERROR(D54/C54,0))</f>
        <v>0</v>
      </c>
      <c r="H54" s="98" t="n">
        <f aca="false">IF($B54="","",SUMIFS(Journal!$AK$6:$AK$505,Journal!$M$6:$M$505,$B54,Journal!$BP$6:$BP$505,1))</f>
        <v>0</v>
      </c>
      <c r="I54" s="98" t="n">
        <f aca="false">IF($B54="","",IFERROR(H54/C54,0))</f>
        <v>0</v>
      </c>
      <c r="J54" s="99" t="n">
        <f aca="false">IF($B54="","",SUMIFS(Journal!$AM$6:$AM$505,Journal!$M$6:$M$505,$B54,Journal!$BP$6:$BP$505,1))</f>
        <v>0</v>
      </c>
      <c r="K54" s="100" t="str">
        <f aca="false">IF($B54="","",IFERROR(SUMIFS(Journal!$AM$6:$AM$505,Journal!$M$6:$M$505,$B54,Journal!$BP$6:$BP$505,1,Journal!$AM$6:$AM$505,"&gt;0")/ABS(SUMIFS(Journal!$AM$6:$AM$505,Journal!$M$6:$M$505,$B54,Journal!$BP$6:$BP$505,1,Journal!$AM$6:$AM$505,"&lt;0")),"-"))</f>
        <v>-</v>
      </c>
    </row>
    <row r="55" customFormat="false" ht="15" hidden="false" customHeight="false" outlineLevel="0" collapsed="false">
      <c r="B55" s="13" t="str">
        <f aca="false">IF(Lists!$H$12="","",Lists!$H$12)</f>
        <v>Key Level (S/R)</v>
      </c>
      <c r="C55" s="96" t="n">
        <f aca="false">IF($B55="","",D55+E55+F55)</f>
        <v>0</v>
      </c>
      <c r="D55" s="96" t="n">
        <f aca="false">IF($B55="","",COUNTIFS(Journal!$M$6:$M$505,$B55,Journal!$AL$6:$AL$505,"Win",Journal!$BP$6:$BP$505,1))</f>
        <v>0</v>
      </c>
      <c r="E55" s="96" t="n">
        <f aca="false">IF($B55="","",COUNTIFS(Journal!$M$6:$M$505,$B55,Journal!$AL$6:$AL$505,"Loss",Journal!$BP$6:$BP$505,1))</f>
        <v>0</v>
      </c>
      <c r="F55" s="96" t="n">
        <f aca="false">IF($B55="","",COUNTIFS(Journal!$M$6:$M$505,$B55,Journal!$AL$6:$AL$505,"BE",Journal!$BP$6:$BP$505,1))</f>
        <v>0</v>
      </c>
      <c r="G55" s="97" t="n">
        <f aca="false">IF($B55="","",IFERROR(D55/C55,0))</f>
        <v>0</v>
      </c>
      <c r="H55" s="98" t="n">
        <f aca="false">IF($B55="","",SUMIFS(Journal!$AK$6:$AK$505,Journal!$M$6:$M$505,$B55,Journal!$BP$6:$BP$505,1))</f>
        <v>0</v>
      </c>
      <c r="I55" s="98" t="n">
        <f aca="false">IF($B55="","",IFERROR(H55/C55,0))</f>
        <v>0</v>
      </c>
      <c r="J55" s="99" t="n">
        <f aca="false">IF($B55="","",SUMIFS(Journal!$AM$6:$AM$505,Journal!$M$6:$M$505,$B55,Journal!$BP$6:$BP$505,1))</f>
        <v>0</v>
      </c>
      <c r="K55" s="100" t="str">
        <f aca="false">IF($B55="","",IFERROR(SUMIFS(Journal!$AM$6:$AM$505,Journal!$M$6:$M$505,$B55,Journal!$BP$6:$BP$505,1,Journal!$AM$6:$AM$505,"&gt;0")/ABS(SUMIFS(Journal!$AM$6:$AM$505,Journal!$M$6:$M$505,$B55,Journal!$BP$6:$BP$505,1,Journal!$AM$6:$AM$505,"&lt;0")),"-"))</f>
        <v>-</v>
      </c>
    </row>
    <row r="56" customFormat="false" ht="15" hidden="false" customHeight="false" outlineLevel="0" collapsed="false">
      <c r="B56" s="13" t="str">
        <f aca="false">IF(Lists!$H$13="","",Lists!$H$13)</f>
        <v>Trendline</v>
      </c>
      <c r="C56" s="96" t="n">
        <f aca="false">IF($B56="","",D56+E56+F56)</f>
        <v>0</v>
      </c>
      <c r="D56" s="96" t="n">
        <f aca="false">IF($B56="","",COUNTIFS(Journal!$M$6:$M$505,$B56,Journal!$AL$6:$AL$505,"Win",Journal!$BP$6:$BP$505,1))</f>
        <v>0</v>
      </c>
      <c r="E56" s="96" t="n">
        <f aca="false">IF($B56="","",COUNTIFS(Journal!$M$6:$M$505,$B56,Journal!$AL$6:$AL$505,"Loss",Journal!$BP$6:$BP$505,1))</f>
        <v>0</v>
      </c>
      <c r="F56" s="96" t="n">
        <f aca="false">IF($B56="","",COUNTIFS(Journal!$M$6:$M$505,$B56,Journal!$AL$6:$AL$505,"BE",Journal!$BP$6:$BP$505,1))</f>
        <v>0</v>
      </c>
      <c r="G56" s="97" t="n">
        <f aca="false">IF($B56="","",IFERROR(D56/C56,0))</f>
        <v>0</v>
      </c>
      <c r="H56" s="98" t="n">
        <f aca="false">IF($B56="","",SUMIFS(Journal!$AK$6:$AK$505,Journal!$M$6:$M$505,$B56,Journal!$BP$6:$BP$505,1))</f>
        <v>0</v>
      </c>
      <c r="I56" s="98" t="n">
        <f aca="false">IF($B56="","",IFERROR(H56/C56,0))</f>
        <v>0</v>
      </c>
      <c r="J56" s="99" t="n">
        <f aca="false">IF($B56="","",SUMIFS(Journal!$AM$6:$AM$505,Journal!$M$6:$M$505,$B56,Journal!$BP$6:$BP$505,1))</f>
        <v>0</v>
      </c>
      <c r="K56" s="100" t="str">
        <f aca="false">IF($B56="","",IFERROR(SUMIFS(Journal!$AM$6:$AM$505,Journal!$M$6:$M$505,$B56,Journal!$BP$6:$BP$505,1,Journal!$AM$6:$AM$505,"&gt;0")/ABS(SUMIFS(Journal!$AM$6:$AM$505,Journal!$M$6:$M$505,$B56,Journal!$BP$6:$BP$505,1,Journal!$AM$6:$AM$505,"&lt;0")),"-"))</f>
        <v>-</v>
      </c>
    </row>
    <row r="59" customFormat="false" ht="21.75" hidden="false" customHeight="true" outlineLevel="0" collapsed="false">
      <c r="B59" s="93" t="s">
        <v>243</v>
      </c>
      <c r="C59" s="94"/>
      <c r="D59" s="94"/>
      <c r="E59" s="94"/>
      <c r="F59" s="94"/>
      <c r="G59" s="94"/>
      <c r="H59" s="94"/>
      <c r="I59" s="94"/>
      <c r="J59" s="94"/>
      <c r="K59" s="94"/>
    </row>
    <row r="60" customFormat="false" ht="25.5" hidden="false" customHeight="true" outlineLevel="0" collapsed="false">
      <c r="B60" s="58" t="s">
        <v>141</v>
      </c>
      <c r="C60" s="58" t="s">
        <v>218</v>
      </c>
      <c r="D60" s="58" t="s">
        <v>227</v>
      </c>
      <c r="E60" s="58" t="s">
        <v>228</v>
      </c>
      <c r="F60" s="58" t="s">
        <v>229</v>
      </c>
      <c r="G60" s="58" t="s">
        <v>230</v>
      </c>
      <c r="H60" s="58" t="s">
        <v>231</v>
      </c>
      <c r="I60" s="58" t="s">
        <v>232</v>
      </c>
      <c r="J60" s="58" t="s">
        <v>165</v>
      </c>
      <c r="K60" s="58" t="s">
        <v>233</v>
      </c>
    </row>
    <row r="61" customFormat="false" ht="15" hidden="false" customHeight="false" outlineLevel="0" collapsed="false">
      <c r="B61" s="13" t="str">
        <f aca="false">IF(Lists!$I$6="","",Lists!$I$6)</f>
        <v>None</v>
      </c>
      <c r="C61" s="96" t="n">
        <f aca="false">IF($B61="","",D61+E61+F61)</f>
        <v>0</v>
      </c>
      <c r="D61" s="96" t="n">
        <f aca="false">IF($B61="","",COUNTIFS(Journal!$O$6:$O$505,$B61,Journal!$AL$6:$AL$505,"Win",Journal!$BP$6:$BP$505,1))</f>
        <v>0</v>
      </c>
      <c r="E61" s="96" t="n">
        <f aca="false">IF($B61="","",COUNTIFS(Journal!$O$6:$O$505,$B61,Journal!$AL$6:$AL$505,"Loss",Journal!$BP$6:$BP$505,1))</f>
        <v>0</v>
      </c>
      <c r="F61" s="96" t="n">
        <f aca="false">IF($B61="","",COUNTIFS(Journal!$O$6:$O$505,$B61,Journal!$AL$6:$AL$505,"BE",Journal!$BP$6:$BP$505,1))</f>
        <v>0</v>
      </c>
      <c r="G61" s="97" t="n">
        <f aca="false">IF($B61="","",IFERROR(D61/C61,0))</f>
        <v>0</v>
      </c>
      <c r="H61" s="98" t="n">
        <f aca="false">IF($B61="","",SUMIFS(Journal!$AK$6:$AK$505,Journal!$O$6:$O$505,$B61,Journal!$BP$6:$BP$505,1))</f>
        <v>0</v>
      </c>
      <c r="I61" s="98" t="n">
        <f aca="false">IF($B61="","",IFERROR(H61/C61,0))</f>
        <v>0</v>
      </c>
      <c r="J61" s="99" t="n">
        <f aca="false">IF($B61="","",SUMIFS(Journal!$AM$6:$AM$505,Journal!$O$6:$O$505,$B61,Journal!$BP$6:$BP$505,1))</f>
        <v>0</v>
      </c>
      <c r="K61" s="100" t="str">
        <f aca="false">IF($B61="","",IFERROR(SUMIFS(Journal!$AM$6:$AM$505,Journal!$O$6:$O$505,$B61,Journal!$BP$6:$BP$505,1,Journal!$AM$6:$AM$505,"&gt;0")/ABS(SUMIFS(Journal!$AM$6:$AM$505,Journal!$O$6:$O$505,$B61,Journal!$BP$6:$BP$505,1,Journal!$AM$6:$AM$505,"&lt;0")),"-"))</f>
        <v>-</v>
      </c>
    </row>
    <row r="62" customFormat="false" ht="15" hidden="false" customHeight="false" outlineLevel="0" collapsed="false">
      <c r="B62" s="13" t="str">
        <f aca="false">IF(Lists!$I$7="","",Lists!$I$7)</f>
        <v>Asia High</v>
      </c>
      <c r="C62" s="96" t="n">
        <f aca="false">IF($B62="","",D62+E62+F62)</f>
        <v>1</v>
      </c>
      <c r="D62" s="96" t="n">
        <f aca="false">IF($B62="","",COUNTIFS(Journal!$O$6:$O$505,$B62,Journal!$AL$6:$AL$505,"Win",Journal!$BP$6:$BP$505,1))</f>
        <v>1</v>
      </c>
      <c r="E62" s="96" t="n">
        <f aca="false">IF($B62="","",COUNTIFS(Journal!$O$6:$O$505,$B62,Journal!$AL$6:$AL$505,"Loss",Journal!$BP$6:$BP$505,1))</f>
        <v>0</v>
      </c>
      <c r="F62" s="96" t="n">
        <f aca="false">IF($B62="","",COUNTIFS(Journal!$O$6:$O$505,$B62,Journal!$AL$6:$AL$505,"BE",Journal!$BP$6:$BP$505,1))</f>
        <v>0</v>
      </c>
      <c r="G62" s="97" t="n">
        <f aca="false">IF($B62="","",IFERROR(D62/C62,0))</f>
        <v>1</v>
      </c>
      <c r="H62" s="98" t="n">
        <f aca="false">IF($B62="","",SUMIFS(Journal!$AK$6:$AK$505,Journal!$O$6:$O$505,$B62,Journal!$BP$6:$BP$505,1))</f>
        <v>2.33</v>
      </c>
      <c r="I62" s="98" t="n">
        <f aca="false">IF($B62="","",IFERROR(H62/C62,0))</f>
        <v>2.33</v>
      </c>
      <c r="J62" s="99" t="n">
        <f aca="false">IF($B62="","",SUMIFS(Journal!$AM$6:$AM$505,Journal!$O$6:$O$505,$B62,Journal!$BP$6:$BP$505,1))</f>
        <v>229.5</v>
      </c>
      <c r="K62" s="100" t="str">
        <f aca="false">IF($B62="","",IFERROR(SUMIFS(Journal!$AM$6:$AM$505,Journal!$O$6:$O$505,$B62,Journal!$BP$6:$BP$505,1,Journal!$AM$6:$AM$505,"&gt;0")/ABS(SUMIFS(Journal!$AM$6:$AM$505,Journal!$O$6:$O$505,$B62,Journal!$BP$6:$BP$505,1,Journal!$AM$6:$AM$505,"&lt;0")),"-"))</f>
        <v>-</v>
      </c>
    </row>
    <row r="63" customFormat="false" ht="15" hidden="false" customHeight="false" outlineLevel="0" collapsed="false">
      <c r="B63" s="13" t="str">
        <f aca="false">IF(Lists!$I$8="","",Lists!$I$8)</f>
        <v>Asia Low</v>
      </c>
      <c r="C63" s="96" t="n">
        <f aca="false">IF($B63="","",D63+E63+F63)</f>
        <v>0</v>
      </c>
      <c r="D63" s="96" t="n">
        <f aca="false">IF($B63="","",COUNTIFS(Journal!$O$6:$O$505,$B63,Journal!$AL$6:$AL$505,"Win",Journal!$BP$6:$BP$505,1))</f>
        <v>0</v>
      </c>
      <c r="E63" s="96" t="n">
        <f aca="false">IF($B63="","",COUNTIFS(Journal!$O$6:$O$505,$B63,Journal!$AL$6:$AL$505,"Loss",Journal!$BP$6:$BP$505,1))</f>
        <v>0</v>
      </c>
      <c r="F63" s="96" t="n">
        <f aca="false">IF($B63="","",COUNTIFS(Journal!$O$6:$O$505,$B63,Journal!$AL$6:$AL$505,"BE",Journal!$BP$6:$BP$505,1))</f>
        <v>0</v>
      </c>
      <c r="G63" s="97" t="n">
        <f aca="false">IF($B63="","",IFERROR(D63/C63,0))</f>
        <v>0</v>
      </c>
      <c r="H63" s="98" t="n">
        <f aca="false">IF($B63="","",SUMIFS(Journal!$AK$6:$AK$505,Journal!$O$6:$O$505,$B63,Journal!$BP$6:$BP$505,1))</f>
        <v>0</v>
      </c>
      <c r="I63" s="98" t="n">
        <f aca="false">IF($B63="","",IFERROR(H63/C63,0))</f>
        <v>0</v>
      </c>
      <c r="J63" s="99" t="n">
        <f aca="false">IF($B63="","",SUMIFS(Journal!$AM$6:$AM$505,Journal!$O$6:$O$505,$B63,Journal!$BP$6:$BP$505,1))</f>
        <v>0</v>
      </c>
      <c r="K63" s="100" t="str">
        <f aca="false">IF($B63="","",IFERROR(SUMIFS(Journal!$AM$6:$AM$505,Journal!$O$6:$O$505,$B63,Journal!$BP$6:$BP$505,1,Journal!$AM$6:$AM$505,"&gt;0")/ABS(SUMIFS(Journal!$AM$6:$AM$505,Journal!$O$6:$O$505,$B63,Journal!$BP$6:$BP$505,1,Journal!$AM$6:$AM$505,"&lt;0")),"-"))</f>
        <v>-</v>
      </c>
    </row>
    <row r="64" customFormat="false" ht="15" hidden="false" customHeight="false" outlineLevel="0" collapsed="false">
      <c r="B64" s="13" t="str">
        <f aca="false">IF(Lists!$I$9="","",Lists!$I$9)</f>
        <v>Prev Day High</v>
      </c>
      <c r="C64" s="96" t="n">
        <f aca="false">IF($B64="","",D64+E64+F64)</f>
        <v>0</v>
      </c>
      <c r="D64" s="96" t="n">
        <f aca="false">IF($B64="","",COUNTIFS(Journal!$O$6:$O$505,$B64,Journal!$AL$6:$AL$505,"Win",Journal!$BP$6:$BP$505,1))</f>
        <v>0</v>
      </c>
      <c r="E64" s="96" t="n">
        <f aca="false">IF($B64="","",COUNTIFS(Journal!$O$6:$O$505,$B64,Journal!$AL$6:$AL$505,"Loss",Journal!$BP$6:$BP$505,1))</f>
        <v>0</v>
      </c>
      <c r="F64" s="96" t="n">
        <f aca="false">IF($B64="","",COUNTIFS(Journal!$O$6:$O$505,$B64,Journal!$AL$6:$AL$505,"BE",Journal!$BP$6:$BP$505,1))</f>
        <v>0</v>
      </c>
      <c r="G64" s="97" t="n">
        <f aca="false">IF($B64="","",IFERROR(D64/C64,0))</f>
        <v>0</v>
      </c>
      <c r="H64" s="98" t="n">
        <f aca="false">IF($B64="","",SUMIFS(Journal!$AK$6:$AK$505,Journal!$O$6:$O$505,$B64,Journal!$BP$6:$BP$505,1))</f>
        <v>0</v>
      </c>
      <c r="I64" s="98" t="n">
        <f aca="false">IF($B64="","",IFERROR(H64/C64,0))</f>
        <v>0</v>
      </c>
      <c r="J64" s="99" t="n">
        <f aca="false">IF($B64="","",SUMIFS(Journal!$AM$6:$AM$505,Journal!$O$6:$O$505,$B64,Journal!$BP$6:$BP$505,1))</f>
        <v>0</v>
      </c>
      <c r="K64" s="100" t="str">
        <f aca="false">IF($B64="","",IFERROR(SUMIFS(Journal!$AM$6:$AM$505,Journal!$O$6:$O$505,$B64,Journal!$BP$6:$BP$505,1,Journal!$AM$6:$AM$505,"&gt;0")/ABS(SUMIFS(Journal!$AM$6:$AM$505,Journal!$O$6:$O$505,$B64,Journal!$BP$6:$BP$505,1,Journal!$AM$6:$AM$505,"&lt;0")),"-"))</f>
        <v>-</v>
      </c>
    </row>
    <row r="65" customFormat="false" ht="15" hidden="false" customHeight="false" outlineLevel="0" collapsed="false">
      <c r="B65" s="13" t="str">
        <f aca="false">IF(Lists!$I$10="","",Lists!$I$10)</f>
        <v>Prev Day Low</v>
      </c>
      <c r="C65" s="96" t="n">
        <f aca="false">IF($B65="","",D65+E65+F65)</f>
        <v>0</v>
      </c>
      <c r="D65" s="96" t="n">
        <f aca="false">IF($B65="","",COUNTIFS(Journal!$O$6:$O$505,$B65,Journal!$AL$6:$AL$505,"Win",Journal!$BP$6:$BP$505,1))</f>
        <v>0</v>
      </c>
      <c r="E65" s="96" t="n">
        <f aca="false">IF($B65="","",COUNTIFS(Journal!$O$6:$O$505,$B65,Journal!$AL$6:$AL$505,"Loss",Journal!$BP$6:$BP$505,1))</f>
        <v>0</v>
      </c>
      <c r="F65" s="96" t="n">
        <f aca="false">IF($B65="","",COUNTIFS(Journal!$O$6:$O$505,$B65,Journal!$AL$6:$AL$505,"BE",Journal!$BP$6:$BP$505,1))</f>
        <v>0</v>
      </c>
      <c r="G65" s="97" t="n">
        <f aca="false">IF($B65="","",IFERROR(D65/C65,0))</f>
        <v>0</v>
      </c>
      <c r="H65" s="98" t="n">
        <f aca="false">IF($B65="","",SUMIFS(Journal!$AK$6:$AK$505,Journal!$O$6:$O$505,$B65,Journal!$BP$6:$BP$505,1))</f>
        <v>0</v>
      </c>
      <c r="I65" s="98" t="n">
        <f aca="false">IF($B65="","",IFERROR(H65/C65,0))</f>
        <v>0</v>
      </c>
      <c r="J65" s="99" t="n">
        <f aca="false">IF($B65="","",SUMIFS(Journal!$AM$6:$AM$505,Journal!$O$6:$O$505,$B65,Journal!$BP$6:$BP$505,1))</f>
        <v>0</v>
      </c>
      <c r="K65" s="100" t="str">
        <f aca="false">IF($B65="","",IFERROR(SUMIFS(Journal!$AM$6:$AM$505,Journal!$O$6:$O$505,$B65,Journal!$BP$6:$BP$505,1,Journal!$AM$6:$AM$505,"&gt;0")/ABS(SUMIFS(Journal!$AM$6:$AM$505,Journal!$O$6:$O$505,$B65,Journal!$BP$6:$BP$505,1,Journal!$AM$6:$AM$505,"&lt;0")),"-"))</f>
        <v>-</v>
      </c>
    </row>
    <row r="66" customFormat="false" ht="15" hidden="false" customHeight="false" outlineLevel="0" collapsed="false">
      <c r="B66" s="13" t="str">
        <f aca="false">IF(Lists!$I$11="","",Lists!$I$11)</f>
        <v>Equal Highs</v>
      </c>
      <c r="C66" s="96" t="n">
        <f aca="false">IF($B66="","",D66+E66+F66)</f>
        <v>0</v>
      </c>
      <c r="D66" s="96" t="n">
        <f aca="false">IF($B66="","",COUNTIFS(Journal!$O$6:$O$505,$B66,Journal!$AL$6:$AL$505,"Win",Journal!$BP$6:$BP$505,1))</f>
        <v>0</v>
      </c>
      <c r="E66" s="96" t="n">
        <f aca="false">IF($B66="","",COUNTIFS(Journal!$O$6:$O$505,$B66,Journal!$AL$6:$AL$505,"Loss",Journal!$BP$6:$BP$505,1))</f>
        <v>0</v>
      </c>
      <c r="F66" s="96" t="n">
        <f aca="false">IF($B66="","",COUNTIFS(Journal!$O$6:$O$505,$B66,Journal!$AL$6:$AL$505,"BE",Journal!$BP$6:$BP$505,1))</f>
        <v>0</v>
      </c>
      <c r="G66" s="97" t="n">
        <f aca="false">IF($B66="","",IFERROR(D66/C66,0))</f>
        <v>0</v>
      </c>
      <c r="H66" s="98" t="n">
        <f aca="false">IF($B66="","",SUMIFS(Journal!$AK$6:$AK$505,Journal!$O$6:$O$505,$B66,Journal!$BP$6:$BP$505,1))</f>
        <v>0</v>
      </c>
      <c r="I66" s="98" t="n">
        <f aca="false">IF($B66="","",IFERROR(H66/C66,0))</f>
        <v>0</v>
      </c>
      <c r="J66" s="99" t="n">
        <f aca="false">IF($B66="","",SUMIFS(Journal!$AM$6:$AM$505,Journal!$O$6:$O$505,$B66,Journal!$BP$6:$BP$505,1))</f>
        <v>0</v>
      </c>
      <c r="K66" s="100" t="str">
        <f aca="false">IF($B66="","",IFERROR(SUMIFS(Journal!$AM$6:$AM$505,Journal!$O$6:$O$505,$B66,Journal!$BP$6:$BP$505,1,Journal!$AM$6:$AM$505,"&gt;0")/ABS(SUMIFS(Journal!$AM$6:$AM$505,Journal!$O$6:$O$505,$B66,Journal!$BP$6:$BP$505,1,Journal!$AM$6:$AM$505,"&lt;0")),"-"))</f>
        <v>-</v>
      </c>
    </row>
    <row r="67" customFormat="false" ht="15" hidden="false" customHeight="false" outlineLevel="0" collapsed="false">
      <c r="B67" s="13" t="str">
        <f aca="false">IF(Lists!$I$12="","",Lists!$I$12)</f>
        <v>Equal Lows</v>
      </c>
      <c r="C67" s="96" t="n">
        <f aca="false">IF($B67="","",D67+E67+F67)</f>
        <v>0</v>
      </c>
      <c r="D67" s="96" t="n">
        <f aca="false">IF($B67="","",COUNTIFS(Journal!$O$6:$O$505,$B67,Journal!$AL$6:$AL$505,"Win",Journal!$BP$6:$BP$505,1))</f>
        <v>0</v>
      </c>
      <c r="E67" s="96" t="n">
        <f aca="false">IF($B67="","",COUNTIFS(Journal!$O$6:$O$505,$B67,Journal!$AL$6:$AL$505,"Loss",Journal!$BP$6:$BP$505,1))</f>
        <v>0</v>
      </c>
      <c r="F67" s="96" t="n">
        <f aca="false">IF($B67="","",COUNTIFS(Journal!$O$6:$O$505,$B67,Journal!$AL$6:$AL$505,"BE",Journal!$BP$6:$BP$505,1))</f>
        <v>0</v>
      </c>
      <c r="G67" s="97" t="n">
        <f aca="false">IF($B67="","",IFERROR(D67/C67,0))</f>
        <v>0</v>
      </c>
      <c r="H67" s="98" t="n">
        <f aca="false">IF($B67="","",SUMIFS(Journal!$AK$6:$AK$505,Journal!$O$6:$O$505,$B67,Journal!$BP$6:$BP$505,1))</f>
        <v>0</v>
      </c>
      <c r="I67" s="98" t="n">
        <f aca="false">IF($B67="","",IFERROR(H67/C67,0))</f>
        <v>0</v>
      </c>
      <c r="J67" s="99" t="n">
        <f aca="false">IF($B67="","",SUMIFS(Journal!$AM$6:$AM$505,Journal!$O$6:$O$505,$B67,Journal!$BP$6:$BP$505,1))</f>
        <v>0</v>
      </c>
      <c r="K67" s="100" t="str">
        <f aca="false">IF($B67="","",IFERROR(SUMIFS(Journal!$AM$6:$AM$505,Journal!$O$6:$O$505,$B67,Journal!$BP$6:$BP$505,1,Journal!$AM$6:$AM$505,"&gt;0")/ABS(SUMIFS(Journal!$AM$6:$AM$505,Journal!$O$6:$O$505,$B67,Journal!$BP$6:$BP$505,1,Journal!$AM$6:$AM$505,"&lt;0")),"-"))</f>
        <v>-</v>
      </c>
    </row>
    <row r="68" customFormat="false" ht="15" hidden="false" customHeight="false" outlineLevel="0" collapsed="false">
      <c r="B68" s="13" t="str">
        <f aca="false">IF(Lists!$I$13="","",Lists!$I$13)</f>
        <v>Swing High/Low</v>
      </c>
      <c r="C68" s="96" t="n">
        <f aca="false">IF($B68="","",D68+E68+F68)</f>
        <v>0</v>
      </c>
      <c r="D68" s="96" t="n">
        <f aca="false">IF($B68="","",COUNTIFS(Journal!$O$6:$O$505,$B68,Journal!$AL$6:$AL$505,"Win",Journal!$BP$6:$BP$505,1))</f>
        <v>0</v>
      </c>
      <c r="E68" s="96" t="n">
        <f aca="false">IF($B68="","",COUNTIFS(Journal!$O$6:$O$505,$B68,Journal!$AL$6:$AL$505,"Loss",Journal!$BP$6:$BP$505,1))</f>
        <v>0</v>
      </c>
      <c r="F68" s="96" t="n">
        <f aca="false">IF($B68="","",COUNTIFS(Journal!$O$6:$O$505,$B68,Journal!$AL$6:$AL$505,"BE",Journal!$BP$6:$BP$505,1))</f>
        <v>0</v>
      </c>
      <c r="G68" s="97" t="n">
        <f aca="false">IF($B68="","",IFERROR(D68/C68,0))</f>
        <v>0</v>
      </c>
      <c r="H68" s="98" t="n">
        <f aca="false">IF($B68="","",SUMIFS(Journal!$AK$6:$AK$505,Journal!$O$6:$O$505,$B68,Journal!$BP$6:$BP$505,1))</f>
        <v>0</v>
      </c>
      <c r="I68" s="98" t="n">
        <f aca="false">IF($B68="","",IFERROR(H68/C68,0))</f>
        <v>0</v>
      </c>
      <c r="J68" s="99" t="n">
        <f aca="false">IF($B68="","",SUMIFS(Journal!$AM$6:$AM$505,Journal!$O$6:$O$505,$B68,Journal!$BP$6:$BP$505,1))</f>
        <v>0</v>
      </c>
      <c r="K68" s="100" t="str">
        <f aca="false">IF($B68="","",IFERROR(SUMIFS(Journal!$AM$6:$AM$505,Journal!$O$6:$O$505,$B68,Journal!$BP$6:$BP$505,1,Journal!$AM$6:$AM$505,"&gt;0")/ABS(SUMIFS(Journal!$AM$6:$AM$505,Journal!$O$6:$O$505,$B68,Journal!$BP$6:$BP$505,1,Journal!$AM$6:$AM$505,"&lt;0")),"-"))</f>
        <v>-</v>
      </c>
    </row>
    <row r="71" customFormat="false" ht="21.75" hidden="false" customHeight="true" outlineLevel="0" collapsed="false">
      <c r="B71" s="93" t="s">
        <v>244</v>
      </c>
      <c r="C71" s="94"/>
      <c r="D71" s="94"/>
      <c r="E71" s="94"/>
      <c r="F71" s="94"/>
      <c r="G71" s="94"/>
      <c r="H71" s="94"/>
      <c r="I71" s="94"/>
      <c r="J71" s="94"/>
      <c r="K71" s="94"/>
    </row>
    <row r="72" customFormat="false" ht="25.5" hidden="false" customHeight="true" outlineLevel="0" collapsed="false">
      <c r="B72" s="58" t="s">
        <v>140</v>
      </c>
      <c r="C72" s="58" t="s">
        <v>218</v>
      </c>
      <c r="D72" s="58" t="s">
        <v>227</v>
      </c>
      <c r="E72" s="58" t="s">
        <v>228</v>
      </c>
      <c r="F72" s="58" t="s">
        <v>229</v>
      </c>
      <c r="G72" s="58" t="s">
        <v>230</v>
      </c>
      <c r="H72" s="58" t="s">
        <v>231</v>
      </c>
      <c r="I72" s="58" t="s">
        <v>232</v>
      </c>
      <c r="J72" s="58" t="s">
        <v>165</v>
      </c>
      <c r="K72" s="58" t="s">
        <v>233</v>
      </c>
    </row>
    <row r="73" customFormat="false" ht="15" hidden="false" customHeight="false" outlineLevel="0" collapsed="false">
      <c r="B73" s="13" t="s">
        <v>208</v>
      </c>
      <c r="C73" s="96" t="n">
        <f aca="false">IF($B73="","",D73+E73+F73)</f>
        <v>1</v>
      </c>
      <c r="D73" s="96" t="n">
        <f aca="false">IF($B73="","",COUNTIFS(Journal!$N$6:$N$505,$B73,Journal!$AL$6:$AL$505,"Win",Journal!$BP$6:$BP$505,1))</f>
        <v>1</v>
      </c>
      <c r="E73" s="96" t="n">
        <f aca="false">IF($B73="","",COUNTIFS(Journal!$N$6:$N$505,$B73,Journal!$AL$6:$AL$505,"Loss",Journal!$BP$6:$BP$505,1))</f>
        <v>0</v>
      </c>
      <c r="F73" s="96" t="n">
        <f aca="false">IF($B73="","",COUNTIFS(Journal!$N$6:$N$505,$B73,Journal!$AL$6:$AL$505,"BE",Journal!$BP$6:$BP$505,1))</f>
        <v>0</v>
      </c>
      <c r="G73" s="97" t="n">
        <f aca="false">IF($B73="","",IFERROR(D73/C73,0))</f>
        <v>1</v>
      </c>
      <c r="H73" s="98" t="n">
        <f aca="false">IF($B73="","",SUMIFS(Journal!$AK$6:$AK$505,Journal!$N$6:$N$505,$B73,Journal!$BP$6:$BP$505,1))</f>
        <v>2.33</v>
      </c>
      <c r="I73" s="98" t="n">
        <f aca="false">IF($B73="","",IFERROR(H73/C73,0))</f>
        <v>2.33</v>
      </c>
      <c r="J73" s="99" t="n">
        <f aca="false">IF($B73="","",SUMIFS(Journal!$AM$6:$AM$505,Journal!$N$6:$N$505,$B73,Journal!$BP$6:$BP$505,1))</f>
        <v>229.5</v>
      </c>
      <c r="K73" s="100" t="str">
        <f aca="false">IF($B73="","",IFERROR(SUMIFS(Journal!$AM$6:$AM$505,Journal!$N$6:$N$505,$B73,Journal!$BP$6:$BP$505,1,Journal!$AM$6:$AM$505,"&gt;0")/ABS(SUMIFS(Journal!$AM$6:$AM$505,Journal!$N$6:$N$505,$B73,Journal!$BP$6:$BP$505,1,Journal!$AM$6:$AM$505,"&lt;0")),"-"))</f>
        <v>-</v>
      </c>
    </row>
    <row r="74" customFormat="false" ht="15" hidden="false" customHeight="false" outlineLevel="0" collapsed="false">
      <c r="B74" s="13" t="s">
        <v>211</v>
      </c>
      <c r="C74" s="96" t="n">
        <f aca="false">IF($B74="","",D74+E74+F74)</f>
        <v>0</v>
      </c>
      <c r="D74" s="96" t="n">
        <f aca="false">IF($B74="","",COUNTIFS(Journal!$N$6:$N$505,$B74,Journal!$AL$6:$AL$505,"Win",Journal!$BP$6:$BP$505,1))</f>
        <v>0</v>
      </c>
      <c r="E74" s="96" t="n">
        <f aca="false">IF($B74="","",COUNTIFS(Journal!$N$6:$N$505,$B74,Journal!$AL$6:$AL$505,"Loss",Journal!$BP$6:$BP$505,1))</f>
        <v>0</v>
      </c>
      <c r="F74" s="96" t="n">
        <f aca="false">IF($B74="","",COUNTIFS(Journal!$N$6:$N$505,$B74,Journal!$AL$6:$AL$505,"BE",Journal!$BP$6:$BP$505,1))</f>
        <v>0</v>
      </c>
      <c r="G74" s="97" t="n">
        <f aca="false">IF($B74="","",IFERROR(D74/C74,0))</f>
        <v>0</v>
      </c>
      <c r="H74" s="98" t="n">
        <f aca="false">IF($B74="","",SUMIFS(Journal!$AK$6:$AK$505,Journal!$N$6:$N$505,$B74,Journal!$BP$6:$BP$505,1))</f>
        <v>0</v>
      </c>
      <c r="I74" s="98" t="n">
        <f aca="false">IF($B74="","",IFERROR(H74/C74,0))</f>
        <v>0</v>
      </c>
      <c r="J74" s="99" t="n">
        <f aca="false">IF($B74="","",SUMIFS(Journal!$AM$6:$AM$505,Journal!$N$6:$N$505,$B74,Journal!$BP$6:$BP$505,1))</f>
        <v>0</v>
      </c>
      <c r="K74" s="100" t="str">
        <f aca="false">IF($B74="","",IFERROR(SUMIFS(Journal!$AM$6:$AM$505,Journal!$N$6:$N$505,$B74,Journal!$BP$6:$BP$505,1,Journal!$AM$6:$AM$505,"&gt;0")/ABS(SUMIFS(Journal!$AM$6:$AM$505,Journal!$N$6:$N$505,$B74,Journal!$BP$6:$BP$505,1,Journal!$AM$6:$AM$505,"&lt;0")),"-"))</f>
        <v>-</v>
      </c>
    </row>
    <row r="77" customFormat="false" ht="21.75" hidden="false" customHeight="true" outlineLevel="0" collapsed="false">
      <c r="B77" s="93" t="s">
        <v>245</v>
      </c>
      <c r="C77" s="94"/>
      <c r="D77" s="94"/>
      <c r="E77" s="94"/>
      <c r="F77" s="94"/>
      <c r="G77" s="94"/>
      <c r="H77" s="94"/>
      <c r="I77" s="94"/>
      <c r="J77" s="94"/>
      <c r="K77" s="94"/>
    </row>
    <row r="78" customFormat="false" ht="25.5" hidden="false" customHeight="true" outlineLevel="0" collapsed="false">
      <c r="B78" s="58" t="s">
        <v>137</v>
      </c>
      <c r="C78" s="58" t="s">
        <v>218</v>
      </c>
      <c r="D78" s="58" t="s">
        <v>227</v>
      </c>
      <c r="E78" s="58" t="s">
        <v>228</v>
      </c>
      <c r="F78" s="58" t="s">
        <v>229</v>
      </c>
      <c r="G78" s="58" t="s">
        <v>230</v>
      </c>
      <c r="H78" s="58" t="s">
        <v>231</v>
      </c>
      <c r="I78" s="58" t="s">
        <v>232</v>
      </c>
      <c r="J78" s="58" t="s">
        <v>165</v>
      </c>
      <c r="K78" s="58" t="s">
        <v>233</v>
      </c>
    </row>
    <row r="79" customFormat="false" ht="15" hidden="false" customHeight="false" outlineLevel="0" collapsed="false">
      <c r="B79" s="13" t="str">
        <f aca="false">IF(Lists!$J$6="","",Lists!$J$6)</f>
        <v>Bullish</v>
      </c>
      <c r="C79" s="96" t="n">
        <f aca="false">IF($B79="","",D79+E79+F79)</f>
        <v>0</v>
      </c>
      <c r="D79" s="96" t="n">
        <f aca="false">IF($B79="","",COUNTIFS(Journal!$K$6:$K$505,$B79,Journal!$AL$6:$AL$505,"Win",Journal!$BP$6:$BP$505,1))</f>
        <v>0</v>
      </c>
      <c r="E79" s="96" t="n">
        <f aca="false">IF($B79="","",COUNTIFS(Journal!$K$6:$K$505,$B79,Journal!$AL$6:$AL$505,"Loss",Journal!$BP$6:$BP$505,1))</f>
        <v>0</v>
      </c>
      <c r="F79" s="96" t="n">
        <f aca="false">IF($B79="","",COUNTIFS(Journal!$K$6:$K$505,$B79,Journal!$AL$6:$AL$505,"BE",Journal!$BP$6:$BP$505,1))</f>
        <v>0</v>
      </c>
      <c r="G79" s="97" t="n">
        <f aca="false">IF($B79="","",IFERROR(D79/C79,0))</f>
        <v>0</v>
      </c>
      <c r="H79" s="98" t="n">
        <f aca="false">IF($B79="","",SUMIFS(Journal!$AK$6:$AK$505,Journal!$K$6:$K$505,$B79,Journal!$BP$6:$BP$505,1))</f>
        <v>0</v>
      </c>
      <c r="I79" s="98" t="n">
        <f aca="false">IF($B79="","",IFERROR(H79/C79,0))</f>
        <v>0</v>
      </c>
      <c r="J79" s="99" t="n">
        <f aca="false">IF($B79="","",SUMIFS(Journal!$AM$6:$AM$505,Journal!$K$6:$K$505,$B79,Journal!$BP$6:$BP$505,1))</f>
        <v>0</v>
      </c>
      <c r="K79" s="100" t="str">
        <f aca="false">IF($B79="","",IFERROR(SUMIFS(Journal!$AM$6:$AM$505,Journal!$K$6:$K$505,$B79,Journal!$BP$6:$BP$505,1,Journal!$AM$6:$AM$505,"&gt;0")/ABS(SUMIFS(Journal!$AM$6:$AM$505,Journal!$K$6:$K$505,$B79,Journal!$BP$6:$BP$505,1,Journal!$AM$6:$AM$505,"&lt;0")),"-"))</f>
        <v>-</v>
      </c>
    </row>
    <row r="80" customFormat="false" ht="15" hidden="false" customHeight="false" outlineLevel="0" collapsed="false">
      <c r="B80" s="13" t="str">
        <f aca="false">IF(Lists!$J$7="","",Lists!$J$7)</f>
        <v>Bearish</v>
      </c>
      <c r="C80" s="96" t="n">
        <f aca="false">IF($B80="","",D80+E80+F80)</f>
        <v>1</v>
      </c>
      <c r="D80" s="96" t="n">
        <f aca="false">IF($B80="","",COUNTIFS(Journal!$K$6:$K$505,$B80,Journal!$AL$6:$AL$505,"Win",Journal!$BP$6:$BP$505,1))</f>
        <v>1</v>
      </c>
      <c r="E80" s="96" t="n">
        <f aca="false">IF($B80="","",COUNTIFS(Journal!$K$6:$K$505,$B80,Journal!$AL$6:$AL$505,"Loss",Journal!$BP$6:$BP$505,1))</f>
        <v>0</v>
      </c>
      <c r="F80" s="96" t="n">
        <f aca="false">IF($B80="","",COUNTIFS(Journal!$K$6:$K$505,$B80,Journal!$AL$6:$AL$505,"BE",Journal!$BP$6:$BP$505,1))</f>
        <v>0</v>
      </c>
      <c r="G80" s="97" t="n">
        <f aca="false">IF($B80="","",IFERROR(D80/C80,0))</f>
        <v>1</v>
      </c>
      <c r="H80" s="98" t="n">
        <f aca="false">IF($B80="","",SUMIFS(Journal!$AK$6:$AK$505,Journal!$K$6:$K$505,$B80,Journal!$BP$6:$BP$505,1))</f>
        <v>2.33</v>
      </c>
      <c r="I80" s="98" t="n">
        <f aca="false">IF($B80="","",IFERROR(H80/C80,0))</f>
        <v>2.33</v>
      </c>
      <c r="J80" s="99" t="n">
        <f aca="false">IF($B80="","",SUMIFS(Journal!$AM$6:$AM$505,Journal!$K$6:$K$505,$B80,Journal!$BP$6:$BP$505,1))</f>
        <v>229.5</v>
      </c>
      <c r="K80" s="100" t="str">
        <f aca="false">IF($B80="","",IFERROR(SUMIFS(Journal!$AM$6:$AM$505,Journal!$K$6:$K$505,$B80,Journal!$BP$6:$BP$505,1,Journal!$AM$6:$AM$505,"&gt;0")/ABS(SUMIFS(Journal!$AM$6:$AM$505,Journal!$K$6:$K$505,$B80,Journal!$BP$6:$BP$505,1,Journal!$AM$6:$AM$505,"&lt;0")),"-"))</f>
        <v>-</v>
      </c>
    </row>
    <row r="81" customFormat="false" ht="15" hidden="false" customHeight="false" outlineLevel="0" collapsed="false">
      <c r="B81" s="13" t="str">
        <f aca="false">IF(Lists!$J$8="","",Lists!$J$8)</f>
        <v>Range / Unclear</v>
      </c>
      <c r="C81" s="96" t="n">
        <f aca="false">IF($B81="","",D81+E81+F81)</f>
        <v>0</v>
      </c>
      <c r="D81" s="96" t="n">
        <f aca="false">IF($B81="","",COUNTIFS(Journal!$K$6:$K$505,$B81,Journal!$AL$6:$AL$505,"Win",Journal!$BP$6:$BP$505,1))</f>
        <v>0</v>
      </c>
      <c r="E81" s="96" t="n">
        <f aca="false">IF($B81="","",COUNTIFS(Journal!$K$6:$K$505,$B81,Journal!$AL$6:$AL$505,"Loss",Journal!$BP$6:$BP$505,1))</f>
        <v>0</v>
      </c>
      <c r="F81" s="96" t="n">
        <f aca="false">IF($B81="","",COUNTIFS(Journal!$K$6:$K$505,$B81,Journal!$AL$6:$AL$505,"BE",Journal!$BP$6:$BP$505,1))</f>
        <v>0</v>
      </c>
      <c r="G81" s="97" t="n">
        <f aca="false">IF($B81="","",IFERROR(D81/C81,0))</f>
        <v>0</v>
      </c>
      <c r="H81" s="98" t="n">
        <f aca="false">IF($B81="","",SUMIFS(Journal!$AK$6:$AK$505,Journal!$K$6:$K$505,$B81,Journal!$BP$6:$BP$505,1))</f>
        <v>0</v>
      </c>
      <c r="I81" s="98" t="n">
        <f aca="false">IF($B81="","",IFERROR(H81/C81,0))</f>
        <v>0</v>
      </c>
      <c r="J81" s="99" t="n">
        <f aca="false">IF($B81="","",SUMIFS(Journal!$AM$6:$AM$505,Journal!$K$6:$K$505,$B81,Journal!$BP$6:$BP$505,1))</f>
        <v>0</v>
      </c>
      <c r="K81" s="100" t="str">
        <f aca="false">IF($B81="","",IFERROR(SUMIFS(Journal!$AM$6:$AM$505,Journal!$K$6:$K$505,$B81,Journal!$BP$6:$BP$505,1,Journal!$AM$6:$AM$505,"&gt;0")/ABS(SUMIFS(Journal!$AM$6:$AM$505,Journal!$K$6:$K$505,$B81,Journal!$BP$6:$BP$505,1,Journal!$AM$6:$AM$505,"&lt;0")),"-"))</f>
        <v>-</v>
      </c>
    </row>
    <row r="82" customFormat="false" ht="15" hidden="false" customHeight="false" outlineLevel="0" collapsed="false">
      <c r="B82" s="13" t="str">
        <f aca="false">IF(Lists!$J$9="","",Lists!$J$9)</f>
        <v/>
      </c>
      <c r="C82" s="96" t="str">
        <f aca="false">IF($B82="","",D82+E82+F82)</f>
        <v/>
      </c>
      <c r="D82" s="96" t="str">
        <f aca="false">IF($B82="","",COUNTIFS(Journal!$K$6:$K$505,$B82,Journal!$AL$6:$AL$505,"Win",Journal!$BP$6:$BP$505,1))</f>
        <v/>
      </c>
      <c r="E82" s="96" t="str">
        <f aca="false">IF($B82="","",COUNTIFS(Journal!$K$6:$K$505,$B82,Journal!$AL$6:$AL$505,"Loss",Journal!$BP$6:$BP$505,1))</f>
        <v/>
      </c>
      <c r="F82" s="96" t="str">
        <f aca="false">IF($B82="","",COUNTIFS(Journal!$K$6:$K$505,$B82,Journal!$AL$6:$AL$505,"BE",Journal!$BP$6:$BP$505,1))</f>
        <v/>
      </c>
      <c r="G82" s="97" t="str">
        <f aca="false">IF($B82="","",IFERROR(D82/C82,0))</f>
        <v/>
      </c>
      <c r="H82" s="98" t="str">
        <f aca="false">IF($B82="","",SUMIFS(Journal!$AK$6:$AK$505,Journal!$K$6:$K$505,$B82,Journal!$BP$6:$BP$505,1))</f>
        <v/>
      </c>
      <c r="I82" s="98" t="str">
        <f aca="false">IF($B82="","",IFERROR(H82/C82,0))</f>
        <v/>
      </c>
      <c r="J82" s="99" t="str">
        <f aca="false">IF($B82="","",SUMIFS(Journal!$AM$6:$AM$505,Journal!$K$6:$K$505,$B82,Journal!$BP$6:$BP$505,1))</f>
        <v/>
      </c>
      <c r="K82" s="100" t="str">
        <f aca="false">IF($B82="","",IFERROR(SUMIFS(Journal!$AM$6:$AM$505,Journal!$K$6:$K$505,$B82,Journal!$BP$6:$BP$505,1,Journal!$AM$6:$AM$505,"&gt;0")/ABS(SUMIFS(Journal!$AM$6:$AM$505,Journal!$K$6:$K$505,$B82,Journal!$BP$6:$BP$505,1,Journal!$AM$6:$AM$505,"&lt;0")),"-"))</f>
        <v/>
      </c>
    </row>
    <row r="85" customFormat="false" ht="21.75" hidden="false" customHeight="true" outlineLevel="0" collapsed="false">
      <c r="B85" s="93" t="s">
        <v>246</v>
      </c>
      <c r="C85" s="94"/>
      <c r="D85" s="94"/>
      <c r="E85" s="94"/>
      <c r="F85" s="94"/>
      <c r="G85" s="94"/>
      <c r="H85" s="94"/>
      <c r="I85" s="94"/>
      <c r="J85" s="94"/>
      <c r="K85" s="94"/>
    </row>
    <row r="86" customFormat="false" ht="25.5" hidden="false" customHeight="true" outlineLevel="0" collapsed="false">
      <c r="B86" s="58" t="s">
        <v>151</v>
      </c>
      <c r="C86" s="58" t="s">
        <v>218</v>
      </c>
      <c r="D86" s="58" t="s">
        <v>227</v>
      </c>
      <c r="E86" s="58" t="s">
        <v>228</v>
      </c>
      <c r="F86" s="58" t="s">
        <v>229</v>
      </c>
      <c r="G86" s="58" t="s">
        <v>230</v>
      </c>
      <c r="H86" s="58" t="s">
        <v>231</v>
      </c>
      <c r="I86" s="58" t="s">
        <v>232</v>
      </c>
      <c r="J86" s="58" t="s">
        <v>165</v>
      </c>
      <c r="K86" s="58" t="s">
        <v>233</v>
      </c>
    </row>
    <row r="87" customFormat="false" ht="15" hidden="false" customHeight="false" outlineLevel="0" collapsed="false">
      <c r="B87" s="13" t="s">
        <v>247</v>
      </c>
      <c r="C87" s="96" t="n">
        <f aca="false">IF($B87="","",D87+E87+F87)</f>
        <v>1</v>
      </c>
      <c r="D87" s="96" t="n">
        <f aca="false">IF($B87="","",COUNTIFS(Journal!$Y$6:$Y$505,$B87,Journal!$AL$6:$AL$505,"Win",Journal!$BP$6:$BP$505,1))</f>
        <v>1</v>
      </c>
      <c r="E87" s="96" t="n">
        <f aca="false">IF($B87="","",COUNTIFS(Journal!$Y$6:$Y$505,$B87,Journal!$AL$6:$AL$505,"Loss",Journal!$BP$6:$BP$505,1))</f>
        <v>0</v>
      </c>
      <c r="F87" s="96" t="n">
        <f aca="false">IF($B87="","",COUNTIFS(Journal!$Y$6:$Y$505,$B87,Journal!$AL$6:$AL$505,"BE",Journal!$BP$6:$BP$505,1))</f>
        <v>0</v>
      </c>
      <c r="G87" s="97" t="n">
        <f aca="false">IF($B87="","",IFERROR(D87/C87,0))</f>
        <v>1</v>
      </c>
      <c r="H87" s="98" t="n">
        <f aca="false">IF($B87="","",SUMIFS(Journal!$AK$6:$AK$505,Journal!$Y$6:$Y$505,$B87,Journal!$BP$6:$BP$505,1))</f>
        <v>2.33</v>
      </c>
      <c r="I87" s="98" t="n">
        <f aca="false">IF($B87="","",IFERROR(H87/C87,0))</f>
        <v>2.33</v>
      </c>
      <c r="J87" s="99" t="n">
        <f aca="false">IF($B87="","",SUMIFS(Journal!$AM$6:$AM$505,Journal!$Y$6:$Y$505,$B87,Journal!$BP$6:$BP$505,1))</f>
        <v>229.5</v>
      </c>
      <c r="K87" s="100" t="str">
        <f aca="false">IF($B87="","",IFERROR(SUMIFS(Journal!$AM$6:$AM$505,Journal!$Y$6:$Y$505,$B87,Journal!$BP$6:$BP$505,1,Journal!$AM$6:$AM$505,"&gt;0")/ABS(SUMIFS(Journal!$AM$6:$AM$505,Journal!$Y$6:$Y$505,$B87,Journal!$BP$6:$BP$505,1,Journal!$AM$6:$AM$505,"&lt;0")),"-"))</f>
        <v>-</v>
      </c>
    </row>
    <row r="88" customFormat="false" ht="15" hidden="false" customHeight="false" outlineLevel="0" collapsed="false">
      <c r="B88" s="13" t="s">
        <v>248</v>
      </c>
      <c r="C88" s="96" t="n">
        <f aca="false">IF($B88="","",D88+E88+F88)</f>
        <v>0</v>
      </c>
      <c r="D88" s="96" t="n">
        <f aca="false">IF($B88="","",COUNTIFS(Journal!$Y$6:$Y$505,$B88,Journal!$AL$6:$AL$505,"Win",Journal!$BP$6:$BP$505,1))</f>
        <v>0</v>
      </c>
      <c r="E88" s="96" t="n">
        <f aca="false">IF($B88="","",COUNTIFS(Journal!$Y$6:$Y$505,$B88,Journal!$AL$6:$AL$505,"Loss",Journal!$BP$6:$BP$505,1))</f>
        <v>0</v>
      </c>
      <c r="F88" s="96" t="n">
        <f aca="false">IF($B88="","",COUNTIFS(Journal!$Y$6:$Y$505,$B88,Journal!$AL$6:$AL$505,"BE",Journal!$BP$6:$BP$505,1))</f>
        <v>0</v>
      </c>
      <c r="G88" s="97" t="n">
        <f aca="false">IF($B88="","",IFERROR(D88/C88,0))</f>
        <v>0</v>
      </c>
      <c r="H88" s="98" t="n">
        <f aca="false">IF($B88="","",SUMIFS(Journal!$AK$6:$AK$505,Journal!$Y$6:$Y$505,$B88,Journal!$BP$6:$BP$505,1))</f>
        <v>0</v>
      </c>
      <c r="I88" s="98" t="n">
        <f aca="false">IF($B88="","",IFERROR(H88/C88,0))</f>
        <v>0</v>
      </c>
      <c r="J88" s="99" t="n">
        <f aca="false">IF($B88="","",SUMIFS(Journal!$AM$6:$AM$505,Journal!$Y$6:$Y$505,$B88,Journal!$BP$6:$BP$505,1))</f>
        <v>0</v>
      </c>
      <c r="K88" s="100" t="str">
        <f aca="false">IF($B88="","",IFERROR(SUMIFS(Journal!$AM$6:$AM$505,Journal!$Y$6:$Y$505,$B88,Journal!$BP$6:$BP$505,1,Journal!$AM$6:$AM$505,"&gt;0")/ABS(SUMIFS(Journal!$AM$6:$AM$505,Journal!$Y$6:$Y$505,$B88,Journal!$BP$6:$BP$505,1,Journal!$AM$6:$AM$505,"&lt;0")),"-"))</f>
        <v>-</v>
      </c>
    </row>
    <row r="89" customFormat="false" ht="15" hidden="false" customHeight="false" outlineLevel="0" collapsed="false">
      <c r="B89" s="13" t="s">
        <v>249</v>
      </c>
      <c r="C89" s="96" t="n">
        <f aca="false">IF($B89="","",D89+E89+F89)</f>
        <v>0</v>
      </c>
      <c r="D89" s="96" t="n">
        <f aca="false">IF($B89="","",COUNTIFS(Journal!$Y$6:$Y$505,$B89,Journal!$AL$6:$AL$505,"Win",Journal!$BP$6:$BP$505,1))</f>
        <v>0</v>
      </c>
      <c r="E89" s="96" t="n">
        <f aca="false">IF($B89="","",COUNTIFS(Journal!$Y$6:$Y$505,$B89,Journal!$AL$6:$AL$505,"Loss",Journal!$BP$6:$BP$505,1))</f>
        <v>0</v>
      </c>
      <c r="F89" s="96" t="n">
        <f aca="false">IF($B89="","",COUNTIFS(Journal!$Y$6:$Y$505,$B89,Journal!$AL$6:$AL$505,"BE",Journal!$BP$6:$BP$505,1))</f>
        <v>0</v>
      </c>
      <c r="G89" s="97" t="n">
        <f aca="false">IF($B89="","",IFERROR(D89/C89,0))</f>
        <v>0</v>
      </c>
      <c r="H89" s="98" t="n">
        <f aca="false">IF($B89="","",SUMIFS(Journal!$AK$6:$AK$505,Journal!$Y$6:$Y$505,$B89,Journal!$BP$6:$BP$505,1))</f>
        <v>0</v>
      </c>
      <c r="I89" s="98" t="n">
        <f aca="false">IF($B89="","",IFERROR(H89/C89,0))</f>
        <v>0</v>
      </c>
      <c r="J89" s="99" t="n">
        <f aca="false">IF($B89="","",SUMIFS(Journal!$AM$6:$AM$505,Journal!$Y$6:$Y$505,$B89,Journal!$BP$6:$BP$505,1))</f>
        <v>0</v>
      </c>
      <c r="K89" s="100" t="str">
        <f aca="false">IF($B89="","",IFERROR(SUMIFS(Journal!$AM$6:$AM$505,Journal!$Y$6:$Y$505,$B89,Journal!$BP$6:$BP$505,1,Journal!$AM$6:$AM$505,"&gt;0")/ABS(SUMIFS(Journal!$AM$6:$AM$505,Journal!$Y$6:$Y$505,$B89,Journal!$BP$6:$BP$505,1,Journal!$AM$6:$AM$505,"&lt;0")),"-"))</f>
        <v>-</v>
      </c>
    </row>
    <row r="90" customFormat="false" ht="15" hidden="false" customHeight="false" outlineLevel="0" collapsed="false">
      <c r="B90" s="13" t="s">
        <v>250</v>
      </c>
      <c r="C90" s="96" t="n">
        <f aca="false">IF($B90="","",D90+E90+F90)</f>
        <v>0</v>
      </c>
      <c r="D90" s="96" t="n">
        <f aca="false">IF($B90="","",COUNTIFS(Journal!$Y$6:$Y$505,$B90,Journal!$AL$6:$AL$505,"Win",Journal!$BP$6:$BP$505,1))</f>
        <v>0</v>
      </c>
      <c r="E90" s="96" t="n">
        <f aca="false">IF($B90="","",COUNTIFS(Journal!$Y$6:$Y$505,$B90,Journal!$AL$6:$AL$505,"Loss",Journal!$BP$6:$BP$505,1))</f>
        <v>0</v>
      </c>
      <c r="F90" s="96" t="n">
        <f aca="false">IF($B90="","",COUNTIFS(Journal!$Y$6:$Y$505,$B90,Journal!$AL$6:$AL$505,"BE",Journal!$BP$6:$BP$505,1))</f>
        <v>0</v>
      </c>
      <c r="G90" s="97" t="n">
        <f aca="false">IF($B90="","",IFERROR(D90/C90,0))</f>
        <v>0</v>
      </c>
      <c r="H90" s="98" t="n">
        <f aca="false">IF($B90="","",SUMIFS(Journal!$AK$6:$AK$505,Journal!$Y$6:$Y$505,$B90,Journal!$BP$6:$BP$505,1))</f>
        <v>0</v>
      </c>
      <c r="I90" s="98" t="n">
        <f aca="false">IF($B90="","",IFERROR(H90/C90,0))</f>
        <v>0</v>
      </c>
      <c r="J90" s="99" t="n">
        <f aca="false">IF($B90="","",SUMIFS(Journal!$AM$6:$AM$505,Journal!$Y$6:$Y$505,$B90,Journal!$BP$6:$BP$505,1))</f>
        <v>0</v>
      </c>
      <c r="K90" s="100" t="str">
        <f aca="false">IF($B90="","",IFERROR(SUMIFS(Journal!$AM$6:$AM$505,Journal!$Y$6:$Y$505,$B90,Journal!$BP$6:$BP$505,1,Journal!$AM$6:$AM$505,"&gt;0")/ABS(SUMIFS(Journal!$AM$6:$AM$505,Journal!$Y$6:$Y$505,$B90,Journal!$BP$6:$BP$505,1,Journal!$AM$6:$AM$505,"&lt;0")),"-"))</f>
        <v>-</v>
      </c>
    </row>
    <row r="93" customFormat="false" ht="21.75" hidden="false" customHeight="true" outlineLevel="0" collapsed="false">
      <c r="B93" s="93" t="s">
        <v>251</v>
      </c>
      <c r="C93" s="94"/>
      <c r="D93" s="94"/>
      <c r="E93" s="94"/>
      <c r="F93" s="94"/>
      <c r="G93" s="94"/>
      <c r="H93" s="94"/>
      <c r="I93" s="94"/>
      <c r="J93" s="94"/>
      <c r="K93" s="94"/>
    </row>
    <row r="94" customFormat="false" ht="25.5" hidden="false" customHeight="true" outlineLevel="0" collapsed="false">
      <c r="B94" s="58" t="s">
        <v>136</v>
      </c>
      <c r="C94" s="58" t="s">
        <v>218</v>
      </c>
      <c r="D94" s="58" t="s">
        <v>227</v>
      </c>
      <c r="E94" s="58" t="s">
        <v>228</v>
      </c>
      <c r="F94" s="58" t="s">
        <v>229</v>
      </c>
      <c r="G94" s="58" t="s">
        <v>230</v>
      </c>
      <c r="H94" s="58" t="s">
        <v>231</v>
      </c>
      <c r="I94" s="58" t="s">
        <v>232</v>
      </c>
      <c r="J94" s="58" t="s">
        <v>165</v>
      </c>
      <c r="K94" s="58" t="s">
        <v>233</v>
      </c>
    </row>
    <row r="95" customFormat="false" ht="15" hidden="false" customHeight="false" outlineLevel="0" collapsed="false">
      <c r="B95" s="13" t="s">
        <v>252</v>
      </c>
      <c r="C95" s="96" t="n">
        <f aca="false">IF($B95="","",D95+E95+F95)</f>
        <v>0</v>
      </c>
      <c r="D95" s="96" t="n">
        <f aca="false">IF($B95="","",COUNTIFS(Journal!$J$6:$J$505,$B95,Journal!$AL$6:$AL$505,"Win",Journal!$BP$6:$BP$505,1))</f>
        <v>0</v>
      </c>
      <c r="E95" s="96" t="n">
        <f aca="false">IF($B95="","",COUNTIFS(Journal!$J$6:$J$505,$B95,Journal!$AL$6:$AL$505,"Loss",Journal!$BP$6:$BP$505,1))</f>
        <v>0</v>
      </c>
      <c r="F95" s="96" t="n">
        <f aca="false">IF($B95="","",COUNTIFS(Journal!$J$6:$J$505,$B95,Journal!$AL$6:$AL$505,"BE",Journal!$BP$6:$BP$505,1))</f>
        <v>0</v>
      </c>
      <c r="G95" s="97" t="n">
        <f aca="false">IF($B95="","",IFERROR(D95/C95,0))</f>
        <v>0</v>
      </c>
      <c r="H95" s="98" t="n">
        <f aca="false">IF($B95="","",SUMIFS(Journal!$AK$6:$AK$505,Journal!$J$6:$J$505,$B95,Journal!$BP$6:$BP$505,1))</f>
        <v>0</v>
      </c>
      <c r="I95" s="98" t="n">
        <f aca="false">IF($B95="","",IFERROR(H95/C95,0))</f>
        <v>0</v>
      </c>
      <c r="J95" s="99" t="n">
        <f aca="false">IF($B95="","",SUMIFS(Journal!$AM$6:$AM$505,Journal!$J$6:$J$505,$B95,Journal!$BP$6:$BP$505,1))</f>
        <v>0</v>
      </c>
      <c r="K95" s="100" t="str">
        <f aca="false">IF($B95="","",IFERROR(SUMIFS(Journal!$AM$6:$AM$505,Journal!$J$6:$J$505,$B95,Journal!$BP$6:$BP$505,1,Journal!$AM$6:$AM$505,"&gt;0")/ABS(SUMIFS(Journal!$AM$6:$AM$505,Journal!$J$6:$J$505,$B95,Journal!$BP$6:$BP$505,1,Journal!$AM$6:$AM$505,"&lt;0")),"-"))</f>
        <v>-</v>
      </c>
    </row>
    <row r="96" customFormat="false" ht="15" hidden="false" customHeight="false" outlineLevel="0" collapsed="false">
      <c r="B96" s="13" t="s">
        <v>204</v>
      </c>
      <c r="C96" s="96" t="n">
        <f aca="false">IF($B96="","",D96+E96+F96)</f>
        <v>1</v>
      </c>
      <c r="D96" s="96" t="n">
        <f aca="false">IF($B96="","",COUNTIFS(Journal!$J$6:$J$505,$B96,Journal!$AL$6:$AL$505,"Win",Journal!$BP$6:$BP$505,1))</f>
        <v>1</v>
      </c>
      <c r="E96" s="96" t="n">
        <f aca="false">IF($B96="","",COUNTIFS(Journal!$J$6:$J$505,$B96,Journal!$AL$6:$AL$505,"Loss",Journal!$BP$6:$BP$505,1))</f>
        <v>0</v>
      </c>
      <c r="F96" s="96" t="n">
        <f aca="false">IF($B96="","",COUNTIFS(Journal!$J$6:$J$505,$B96,Journal!$AL$6:$AL$505,"BE",Journal!$BP$6:$BP$505,1))</f>
        <v>0</v>
      </c>
      <c r="G96" s="97" t="n">
        <f aca="false">IF($B96="","",IFERROR(D96/C96,0))</f>
        <v>1</v>
      </c>
      <c r="H96" s="98" t="n">
        <f aca="false">IF($B96="","",SUMIFS(Journal!$AK$6:$AK$505,Journal!$J$6:$J$505,$B96,Journal!$BP$6:$BP$505,1))</f>
        <v>2.33</v>
      </c>
      <c r="I96" s="98" t="n">
        <f aca="false">IF($B96="","",IFERROR(H96/C96,0))</f>
        <v>2.33</v>
      </c>
      <c r="J96" s="99" t="n">
        <f aca="false">IF($B96="","",SUMIFS(Journal!$AM$6:$AM$505,Journal!$J$6:$J$505,$B96,Journal!$BP$6:$BP$505,1))</f>
        <v>229.5</v>
      </c>
      <c r="K96" s="100" t="str">
        <f aca="false">IF($B96="","",IFERROR(SUMIFS(Journal!$AM$6:$AM$505,Journal!$J$6:$J$505,$B96,Journal!$BP$6:$BP$505,1,Journal!$AM$6:$AM$505,"&gt;0")/ABS(SUMIFS(Journal!$AM$6:$AM$505,Journal!$J$6:$J$505,$B96,Journal!$BP$6:$BP$505,1,Journal!$AM$6:$AM$505,"&lt;0")),"-"))</f>
        <v>-</v>
      </c>
    </row>
    <row r="99" customFormat="false" ht="21.75" hidden="false" customHeight="true" outlineLevel="0" collapsed="false">
      <c r="B99" s="93" t="s">
        <v>253</v>
      </c>
      <c r="C99" s="94"/>
      <c r="D99" s="94"/>
      <c r="E99" s="94"/>
      <c r="F99" s="94"/>
      <c r="G99" s="94"/>
      <c r="H99" s="94"/>
      <c r="I99" s="94"/>
      <c r="J99" s="94"/>
      <c r="K99" s="94"/>
    </row>
    <row r="100" customFormat="false" ht="25.5" hidden="false" customHeight="true" outlineLevel="0" collapsed="false">
      <c r="B100" s="58" t="s">
        <v>236</v>
      </c>
      <c r="C100" s="58" t="s">
        <v>218</v>
      </c>
      <c r="D100" s="58" t="s">
        <v>227</v>
      </c>
      <c r="E100" s="58" t="s">
        <v>228</v>
      </c>
      <c r="F100" s="58" t="s">
        <v>229</v>
      </c>
      <c r="G100" s="58" t="s">
        <v>230</v>
      </c>
      <c r="H100" s="58" t="s">
        <v>231</v>
      </c>
      <c r="I100" s="58" t="s">
        <v>232</v>
      </c>
      <c r="J100" s="58" t="s">
        <v>165</v>
      </c>
      <c r="K100" s="58" t="s">
        <v>233</v>
      </c>
    </row>
    <row r="101" customFormat="false" ht="15" hidden="false" customHeight="false" outlineLevel="0" collapsed="false">
      <c r="B101" s="13" t="s">
        <v>254</v>
      </c>
      <c r="C101" s="96" t="n">
        <f aca="false">IF($B101="","",D101+E101+F101)</f>
        <v>1</v>
      </c>
      <c r="D101" s="96" t="n">
        <f aca="false">IF($B101="","",COUNTIFS(Journal!$C$6:$C$505,$B101,Journal!$AL$6:$AL$505,"Win",Journal!$BP$6:$BP$505,1))</f>
        <v>1</v>
      </c>
      <c r="E101" s="96" t="n">
        <f aca="false">IF($B101="","",COUNTIFS(Journal!$C$6:$C$505,$B101,Journal!$AL$6:$AL$505,"Loss",Journal!$BP$6:$BP$505,1))</f>
        <v>0</v>
      </c>
      <c r="F101" s="96" t="n">
        <f aca="false">IF($B101="","",COUNTIFS(Journal!$C$6:$C$505,$B101,Journal!$AL$6:$AL$505,"BE",Journal!$BP$6:$BP$505,1))</f>
        <v>0</v>
      </c>
      <c r="G101" s="97" t="n">
        <f aca="false">IF($B101="","",IFERROR(D101/C101,0))</f>
        <v>1</v>
      </c>
      <c r="H101" s="98" t="n">
        <f aca="false">IF($B101="","",SUMIFS(Journal!$AK$6:$AK$505,Journal!$C$6:$C$505,$B101,Journal!$BP$6:$BP$505,1))</f>
        <v>2.33</v>
      </c>
      <c r="I101" s="98" t="n">
        <f aca="false">IF($B101="","",IFERROR(H101/C101,0))</f>
        <v>2.33</v>
      </c>
      <c r="J101" s="99" t="n">
        <f aca="false">IF($B101="","",SUMIFS(Journal!$AM$6:$AM$505,Journal!$C$6:$C$505,$B101,Journal!$BP$6:$BP$505,1))</f>
        <v>229.5</v>
      </c>
      <c r="K101" s="100" t="str">
        <f aca="false">IF($B101="","",IFERROR(SUMIFS(Journal!$AM$6:$AM$505,Journal!$C$6:$C$505,$B101,Journal!$BP$6:$BP$505,1,Journal!$AM$6:$AM$505,"&gt;0")/ABS(SUMIFS(Journal!$AM$6:$AM$505,Journal!$C$6:$C$505,$B101,Journal!$BP$6:$BP$505,1,Journal!$AM$6:$AM$505,"&lt;0")),"-"))</f>
        <v>-</v>
      </c>
    </row>
    <row r="102" customFormat="false" ht="15" hidden="false" customHeight="false" outlineLevel="0" collapsed="false">
      <c r="B102" s="13" t="s">
        <v>255</v>
      </c>
      <c r="C102" s="96" t="n">
        <f aca="false">IF($B102="","",D102+E102+F102)</f>
        <v>0</v>
      </c>
      <c r="D102" s="96" t="n">
        <f aca="false">IF($B102="","",COUNTIFS(Journal!$C$6:$C$505,$B102,Journal!$AL$6:$AL$505,"Win",Journal!$BP$6:$BP$505,1))</f>
        <v>0</v>
      </c>
      <c r="E102" s="96" t="n">
        <f aca="false">IF($B102="","",COUNTIFS(Journal!$C$6:$C$505,$B102,Journal!$AL$6:$AL$505,"Loss",Journal!$BP$6:$BP$505,1))</f>
        <v>0</v>
      </c>
      <c r="F102" s="96" t="n">
        <f aca="false">IF($B102="","",COUNTIFS(Journal!$C$6:$C$505,$B102,Journal!$AL$6:$AL$505,"BE",Journal!$BP$6:$BP$505,1))</f>
        <v>0</v>
      </c>
      <c r="G102" s="97" t="n">
        <f aca="false">IF($B102="","",IFERROR(D102/C102,0))</f>
        <v>0</v>
      </c>
      <c r="H102" s="98" t="n">
        <f aca="false">IF($B102="","",SUMIFS(Journal!$AK$6:$AK$505,Journal!$C$6:$C$505,$B102,Journal!$BP$6:$BP$505,1))</f>
        <v>0</v>
      </c>
      <c r="I102" s="98" t="n">
        <f aca="false">IF($B102="","",IFERROR(H102/C102,0))</f>
        <v>0</v>
      </c>
      <c r="J102" s="99" t="n">
        <f aca="false">IF($B102="","",SUMIFS(Journal!$AM$6:$AM$505,Journal!$C$6:$C$505,$B102,Journal!$BP$6:$BP$505,1))</f>
        <v>0</v>
      </c>
      <c r="K102" s="100" t="str">
        <f aca="false">IF($B102="","",IFERROR(SUMIFS(Journal!$AM$6:$AM$505,Journal!$C$6:$C$505,$B102,Journal!$BP$6:$BP$505,1,Journal!$AM$6:$AM$505,"&gt;0")/ABS(SUMIFS(Journal!$AM$6:$AM$505,Journal!$C$6:$C$505,$B102,Journal!$BP$6:$BP$505,1,Journal!$AM$6:$AM$505,"&lt;0")),"-"))</f>
        <v>-</v>
      </c>
    </row>
    <row r="103" customFormat="false" ht="15" hidden="false" customHeight="false" outlineLevel="0" collapsed="false">
      <c r="B103" s="13" t="s">
        <v>256</v>
      </c>
      <c r="C103" s="96" t="n">
        <f aca="false">IF($B103="","",D103+E103+F103)</f>
        <v>0</v>
      </c>
      <c r="D103" s="96" t="n">
        <f aca="false">IF($B103="","",COUNTIFS(Journal!$C$6:$C$505,$B103,Journal!$AL$6:$AL$505,"Win",Journal!$BP$6:$BP$505,1))</f>
        <v>0</v>
      </c>
      <c r="E103" s="96" t="n">
        <f aca="false">IF($B103="","",COUNTIFS(Journal!$C$6:$C$505,$B103,Journal!$AL$6:$AL$505,"Loss",Journal!$BP$6:$BP$505,1))</f>
        <v>0</v>
      </c>
      <c r="F103" s="96" t="n">
        <f aca="false">IF($B103="","",COUNTIFS(Journal!$C$6:$C$505,$B103,Journal!$AL$6:$AL$505,"BE",Journal!$BP$6:$BP$505,1))</f>
        <v>0</v>
      </c>
      <c r="G103" s="97" t="n">
        <f aca="false">IF($B103="","",IFERROR(D103/C103,0))</f>
        <v>0</v>
      </c>
      <c r="H103" s="98" t="n">
        <f aca="false">IF($B103="","",SUMIFS(Journal!$AK$6:$AK$505,Journal!$C$6:$C$505,$B103,Journal!$BP$6:$BP$505,1))</f>
        <v>0</v>
      </c>
      <c r="I103" s="98" t="n">
        <f aca="false">IF($B103="","",IFERROR(H103/C103,0))</f>
        <v>0</v>
      </c>
      <c r="J103" s="99" t="n">
        <f aca="false">IF($B103="","",SUMIFS(Journal!$AM$6:$AM$505,Journal!$C$6:$C$505,$B103,Journal!$BP$6:$BP$505,1))</f>
        <v>0</v>
      </c>
      <c r="K103" s="100" t="str">
        <f aca="false">IF($B103="","",IFERROR(SUMIFS(Journal!$AM$6:$AM$505,Journal!$C$6:$C$505,$B103,Journal!$BP$6:$BP$505,1,Journal!$AM$6:$AM$505,"&gt;0")/ABS(SUMIFS(Journal!$AM$6:$AM$505,Journal!$C$6:$C$505,$B103,Journal!$BP$6:$BP$505,1,Journal!$AM$6:$AM$505,"&lt;0")),"-"))</f>
        <v>-</v>
      </c>
    </row>
    <row r="104" customFormat="false" ht="15" hidden="false" customHeight="false" outlineLevel="0" collapsed="false">
      <c r="B104" s="13" t="s">
        <v>257</v>
      </c>
      <c r="C104" s="96" t="n">
        <f aca="false">IF($B104="","",D104+E104+F104)</f>
        <v>0</v>
      </c>
      <c r="D104" s="96" t="n">
        <f aca="false">IF($B104="","",COUNTIFS(Journal!$C$6:$C$505,$B104,Journal!$AL$6:$AL$505,"Win",Journal!$BP$6:$BP$505,1))</f>
        <v>0</v>
      </c>
      <c r="E104" s="96" t="n">
        <f aca="false">IF($B104="","",COUNTIFS(Journal!$C$6:$C$505,$B104,Journal!$AL$6:$AL$505,"Loss",Journal!$BP$6:$BP$505,1))</f>
        <v>0</v>
      </c>
      <c r="F104" s="96" t="n">
        <f aca="false">IF($B104="","",COUNTIFS(Journal!$C$6:$C$505,$B104,Journal!$AL$6:$AL$505,"BE",Journal!$BP$6:$BP$505,1))</f>
        <v>0</v>
      </c>
      <c r="G104" s="97" t="n">
        <f aca="false">IF($B104="","",IFERROR(D104/C104,0))</f>
        <v>0</v>
      </c>
      <c r="H104" s="98" t="n">
        <f aca="false">IF($B104="","",SUMIFS(Journal!$AK$6:$AK$505,Journal!$C$6:$C$505,$B104,Journal!$BP$6:$BP$505,1))</f>
        <v>0</v>
      </c>
      <c r="I104" s="98" t="n">
        <f aca="false">IF($B104="","",IFERROR(H104/C104,0))</f>
        <v>0</v>
      </c>
      <c r="J104" s="99" t="n">
        <f aca="false">IF($B104="","",SUMIFS(Journal!$AM$6:$AM$505,Journal!$C$6:$C$505,$B104,Journal!$BP$6:$BP$505,1))</f>
        <v>0</v>
      </c>
      <c r="K104" s="100" t="str">
        <f aca="false">IF($B104="","",IFERROR(SUMIFS(Journal!$AM$6:$AM$505,Journal!$C$6:$C$505,$B104,Journal!$BP$6:$BP$505,1,Journal!$AM$6:$AM$505,"&gt;0")/ABS(SUMIFS(Journal!$AM$6:$AM$505,Journal!$C$6:$C$505,$B104,Journal!$BP$6:$BP$505,1,Journal!$AM$6:$AM$505,"&lt;0")),"-"))</f>
        <v>-</v>
      </c>
    </row>
    <row r="105" customFormat="false" ht="15" hidden="false" customHeight="false" outlineLevel="0" collapsed="false">
      <c r="B105" s="13" t="s">
        <v>258</v>
      </c>
      <c r="C105" s="96" t="n">
        <f aca="false">IF($B105="","",D105+E105+F105)</f>
        <v>0</v>
      </c>
      <c r="D105" s="96" t="n">
        <f aca="false">IF($B105="","",COUNTIFS(Journal!$C$6:$C$505,$B105,Journal!$AL$6:$AL$505,"Win",Journal!$BP$6:$BP$505,1))</f>
        <v>0</v>
      </c>
      <c r="E105" s="96" t="n">
        <f aca="false">IF($B105="","",COUNTIFS(Journal!$C$6:$C$505,$B105,Journal!$AL$6:$AL$505,"Loss",Journal!$BP$6:$BP$505,1))</f>
        <v>0</v>
      </c>
      <c r="F105" s="96" t="n">
        <f aca="false">IF($B105="","",COUNTIFS(Journal!$C$6:$C$505,$B105,Journal!$AL$6:$AL$505,"BE",Journal!$BP$6:$BP$505,1))</f>
        <v>0</v>
      </c>
      <c r="G105" s="97" t="n">
        <f aca="false">IF($B105="","",IFERROR(D105/C105,0))</f>
        <v>0</v>
      </c>
      <c r="H105" s="98" t="n">
        <f aca="false">IF($B105="","",SUMIFS(Journal!$AK$6:$AK$505,Journal!$C$6:$C$505,$B105,Journal!$BP$6:$BP$505,1))</f>
        <v>0</v>
      </c>
      <c r="I105" s="98" t="n">
        <f aca="false">IF($B105="","",IFERROR(H105/C105,0))</f>
        <v>0</v>
      </c>
      <c r="J105" s="99" t="n">
        <f aca="false">IF($B105="","",SUMIFS(Journal!$AM$6:$AM$505,Journal!$C$6:$C$505,$B105,Journal!$BP$6:$BP$505,1))</f>
        <v>0</v>
      </c>
      <c r="K105" s="100" t="str">
        <f aca="false">IF($B105="","",IFERROR(SUMIFS(Journal!$AM$6:$AM$505,Journal!$C$6:$C$505,$B105,Journal!$BP$6:$BP$505,1,Journal!$AM$6:$AM$505,"&gt;0")/ABS(SUMIFS(Journal!$AM$6:$AM$505,Journal!$C$6:$C$505,$B105,Journal!$BP$6:$BP$505,1,Journal!$AM$6:$AM$505,"&lt;0")),"-"))</f>
        <v>-</v>
      </c>
    </row>
    <row r="106" customFormat="false" ht="15" hidden="false" customHeight="false" outlineLevel="0" collapsed="false">
      <c r="B106" s="13" t="s">
        <v>259</v>
      </c>
      <c r="C106" s="96" t="n">
        <f aca="false">IF($B106="","",D106+E106+F106)</f>
        <v>0</v>
      </c>
      <c r="D106" s="96" t="n">
        <f aca="false">IF($B106="","",COUNTIFS(Journal!$C$6:$C$505,$B106,Journal!$AL$6:$AL$505,"Win",Journal!$BP$6:$BP$505,1))</f>
        <v>0</v>
      </c>
      <c r="E106" s="96" t="n">
        <f aca="false">IF($B106="","",COUNTIFS(Journal!$C$6:$C$505,$B106,Journal!$AL$6:$AL$505,"Loss",Journal!$BP$6:$BP$505,1))</f>
        <v>0</v>
      </c>
      <c r="F106" s="96" t="n">
        <f aca="false">IF($B106="","",COUNTIFS(Journal!$C$6:$C$505,$B106,Journal!$AL$6:$AL$505,"BE",Journal!$BP$6:$BP$505,1))</f>
        <v>0</v>
      </c>
      <c r="G106" s="97" t="n">
        <f aca="false">IF($B106="","",IFERROR(D106/C106,0))</f>
        <v>0</v>
      </c>
      <c r="H106" s="98" t="n">
        <f aca="false">IF($B106="","",SUMIFS(Journal!$AK$6:$AK$505,Journal!$C$6:$C$505,$B106,Journal!$BP$6:$BP$505,1))</f>
        <v>0</v>
      </c>
      <c r="I106" s="98" t="n">
        <f aca="false">IF($B106="","",IFERROR(H106/C106,0))</f>
        <v>0</v>
      </c>
      <c r="J106" s="99" t="n">
        <f aca="false">IF($B106="","",SUMIFS(Journal!$AM$6:$AM$505,Journal!$C$6:$C$505,$B106,Journal!$BP$6:$BP$505,1))</f>
        <v>0</v>
      </c>
      <c r="K106" s="100" t="str">
        <f aca="false">IF($B106="","",IFERROR(SUMIFS(Journal!$AM$6:$AM$505,Journal!$C$6:$C$505,$B106,Journal!$BP$6:$BP$505,1,Journal!$AM$6:$AM$505,"&gt;0")/ABS(SUMIFS(Journal!$AM$6:$AM$505,Journal!$C$6:$C$505,$B106,Journal!$BP$6:$BP$505,1,Journal!$AM$6:$AM$505,"&lt;0")),"-"))</f>
        <v>-</v>
      </c>
    </row>
    <row r="107" customFormat="false" ht="15" hidden="false" customHeight="false" outlineLevel="0" collapsed="false">
      <c r="B107" s="13" t="s">
        <v>260</v>
      </c>
      <c r="C107" s="96" t="n">
        <f aca="false">IF($B107="","",D107+E107+F107)</f>
        <v>0</v>
      </c>
      <c r="D107" s="96" t="n">
        <f aca="false">IF($B107="","",COUNTIFS(Journal!$C$6:$C$505,$B107,Journal!$AL$6:$AL$505,"Win",Journal!$BP$6:$BP$505,1))</f>
        <v>0</v>
      </c>
      <c r="E107" s="96" t="n">
        <f aca="false">IF($B107="","",COUNTIFS(Journal!$C$6:$C$505,$B107,Journal!$AL$6:$AL$505,"Loss",Journal!$BP$6:$BP$505,1))</f>
        <v>0</v>
      </c>
      <c r="F107" s="96" t="n">
        <f aca="false">IF($B107="","",COUNTIFS(Journal!$C$6:$C$505,$B107,Journal!$AL$6:$AL$505,"BE",Journal!$BP$6:$BP$505,1))</f>
        <v>0</v>
      </c>
      <c r="G107" s="97" t="n">
        <f aca="false">IF($B107="","",IFERROR(D107/C107,0))</f>
        <v>0</v>
      </c>
      <c r="H107" s="98" t="n">
        <f aca="false">IF($B107="","",SUMIFS(Journal!$AK$6:$AK$505,Journal!$C$6:$C$505,$B107,Journal!$BP$6:$BP$505,1))</f>
        <v>0</v>
      </c>
      <c r="I107" s="98" t="n">
        <f aca="false">IF($B107="","",IFERROR(H107/C107,0))</f>
        <v>0</v>
      </c>
      <c r="J107" s="99" t="n">
        <f aca="false">IF($B107="","",SUMIFS(Journal!$AM$6:$AM$505,Journal!$C$6:$C$505,$B107,Journal!$BP$6:$BP$505,1))</f>
        <v>0</v>
      </c>
      <c r="K107" s="100" t="str">
        <f aca="false">IF($B107="","",IFERROR(SUMIFS(Journal!$AM$6:$AM$505,Journal!$C$6:$C$505,$B107,Journal!$BP$6:$BP$505,1,Journal!$AM$6:$AM$505,"&gt;0")/ABS(SUMIFS(Journal!$AM$6:$AM$505,Journal!$C$6:$C$505,$B107,Journal!$BP$6:$BP$505,1,Journal!$AM$6:$AM$505,"&lt;0")),"-"))</f>
        <v>-</v>
      </c>
    </row>
    <row r="110" customFormat="false" ht="21.75" hidden="false" customHeight="true" outlineLevel="0" collapsed="false">
      <c r="B110" s="93" t="s">
        <v>261</v>
      </c>
      <c r="C110" s="94"/>
      <c r="D110" s="94"/>
      <c r="E110" s="94"/>
      <c r="F110" s="94"/>
      <c r="G110" s="94"/>
      <c r="H110" s="94"/>
      <c r="I110" s="94"/>
      <c r="J110" s="94"/>
      <c r="K110" s="94"/>
    </row>
    <row r="111" customFormat="false" ht="25.5" hidden="false" customHeight="true" outlineLevel="0" collapsed="false">
      <c r="B111" s="58" t="s">
        <v>261</v>
      </c>
      <c r="C111" s="58" t="s">
        <v>218</v>
      </c>
      <c r="D111" s="58" t="s">
        <v>227</v>
      </c>
      <c r="E111" s="58" t="s">
        <v>228</v>
      </c>
      <c r="F111" s="58" t="s">
        <v>229</v>
      </c>
      <c r="G111" s="58" t="s">
        <v>230</v>
      </c>
      <c r="H111" s="58" t="s">
        <v>231</v>
      </c>
      <c r="I111" s="58" t="s">
        <v>232</v>
      </c>
      <c r="J111" s="58" t="s">
        <v>165</v>
      </c>
      <c r="K111" s="58" t="s">
        <v>233</v>
      </c>
    </row>
    <row r="112" customFormat="false" ht="15" hidden="false" customHeight="false" outlineLevel="0" collapsed="false">
      <c r="B112" s="101" t="n">
        <v>0</v>
      </c>
      <c r="C112" s="96" t="n">
        <f aca="false">IF($B112="","",D112+E112+F112)</f>
        <v>0</v>
      </c>
      <c r="D112" s="96" t="n">
        <f aca="false">IF($B112="","",COUNTIFS(Journal!$AS$6:$AS$505,$B112,Journal!$AL$6:$AL$505,"Win",Journal!$BP$6:$BP$505,1))</f>
        <v>0</v>
      </c>
      <c r="E112" s="96" t="n">
        <f aca="false">IF($B112="","",COUNTIFS(Journal!$AS$6:$AS$505,$B112,Journal!$AL$6:$AL$505,"Loss",Journal!$BP$6:$BP$505,1))</f>
        <v>0</v>
      </c>
      <c r="F112" s="96" t="n">
        <f aca="false">IF($B112="","",COUNTIFS(Journal!$AS$6:$AS$505,$B112,Journal!$AL$6:$AL$505,"BE",Journal!$BP$6:$BP$505,1))</f>
        <v>0</v>
      </c>
      <c r="G112" s="97" t="n">
        <f aca="false">IF($B112="","",IFERROR(D112/C112,0))</f>
        <v>0</v>
      </c>
      <c r="H112" s="98" t="n">
        <f aca="false">IF($B112="","",SUMIFS(Journal!$AK$6:$AK$505,Journal!$AS$6:$AS$505,$B112,Journal!$BP$6:$BP$505,1))</f>
        <v>0</v>
      </c>
      <c r="I112" s="98" t="n">
        <f aca="false">IF($B112="","",IFERROR(H112/C112,0))</f>
        <v>0</v>
      </c>
      <c r="J112" s="99" t="n">
        <f aca="false">IF($B112="","",SUMIFS(Journal!$AM$6:$AM$505,Journal!$AS$6:$AS$505,$B112,Journal!$BP$6:$BP$505,1))</f>
        <v>0</v>
      </c>
      <c r="K112" s="100" t="str">
        <f aca="false">IF($B112="","",IFERROR(SUMIFS(Journal!$AM$6:$AM$505,Journal!$AS$6:$AS$505,$B112,Journal!$BP$6:$BP$505,1,Journal!$AM$6:$AM$505,"&gt;0")/ABS(SUMIFS(Journal!$AM$6:$AM$505,Journal!$AS$6:$AS$505,$B112,Journal!$BP$6:$BP$505,1,Journal!$AM$6:$AM$505,"&lt;0")),"-"))</f>
        <v>-</v>
      </c>
    </row>
    <row r="113" customFormat="false" ht="15" hidden="false" customHeight="false" outlineLevel="0" collapsed="false">
      <c r="B113" s="101" t="n">
        <v>1</v>
      </c>
      <c r="C113" s="96" t="n">
        <f aca="false">IF($B113="","",D113+E113+F113)</f>
        <v>0</v>
      </c>
      <c r="D113" s="96" t="n">
        <f aca="false">IF($B113="","",COUNTIFS(Journal!$AS$6:$AS$505,$B113,Journal!$AL$6:$AL$505,"Win",Journal!$BP$6:$BP$505,1))</f>
        <v>0</v>
      </c>
      <c r="E113" s="96" t="n">
        <f aca="false">IF($B113="","",COUNTIFS(Journal!$AS$6:$AS$505,$B113,Journal!$AL$6:$AL$505,"Loss",Journal!$BP$6:$BP$505,1))</f>
        <v>0</v>
      </c>
      <c r="F113" s="96" t="n">
        <f aca="false">IF($B113="","",COUNTIFS(Journal!$AS$6:$AS$505,$B113,Journal!$AL$6:$AL$505,"BE",Journal!$BP$6:$BP$505,1))</f>
        <v>0</v>
      </c>
      <c r="G113" s="97" t="n">
        <f aca="false">IF($B113="","",IFERROR(D113/C113,0))</f>
        <v>0</v>
      </c>
      <c r="H113" s="98" t="n">
        <f aca="false">IF($B113="","",SUMIFS(Journal!$AK$6:$AK$505,Journal!$AS$6:$AS$505,$B113,Journal!$BP$6:$BP$505,1))</f>
        <v>0</v>
      </c>
      <c r="I113" s="98" t="n">
        <f aca="false">IF($B113="","",IFERROR(H113/C113,0))</f>
        <v>0</v>
      </c>
      <c r="J113" s="99" t="n">
        <f aca="false">IF($B113="","",SUMIFS(Journal!$AM$6:$AM$505,Journal!$AS$6:$AS$505,$B113,Journal!$BP$6:$BP$505,1))</f>
        <v>0</v>
      </c>
      <c r="K113" s="100" t="str">
        <f aca="false">IF($B113="","",IFERROR(SUMIFS(Journal!$AM$6:$AM$505,Journal!$AS$6:$AS$505,$B113,Journal!$BP$6:$BP$505,1,Journal!$AM$6:$AM$505,"&gt;0")/ABS(SUMIFS(Journal!$AM$6:$AM$505,Journal!$AS$6:$AS$505,$B113,Journal!$BP$6:$BP$505,1,Journal!$AM$6:$AM$505,"&lt;0")),"-"))</f>
        <v>-</v>
      </c>
    </row>
    <row r="114" customFormat="false" ht="15" hidden="false" customHeight="false" outlineLevel="0" collapsed="false">
      <c r="B114" s="101" t="n">
        <v>2</v>
      </c>
      <c r="C114" s="96" t="n">
        <f aca="false">IF($B114="","",D114+E114+F114)</f>
        <v>0</v>
      </c>
      <c r="D114" s="96" t="n">
        <f aca="false">IF($B114="","",COUNTIFS(Journal!$AS$6:$AS$505,$B114,Journal!$AL$6:$AL$505,"Win",Journal!$BP$6:$BP$505,1))</f>
        <v>0</v>
      </c>
      <c r="E114" s="96" t="n">
        <f aca="false">IF($B114="","",COUNTIFS(Journal!$AS$6:$AS$505,$B114,Journal!$AL$6:$AL$505,"Loss",Journal!$BP$6:$BP$505,1))</f>
        <v>0</v>
      </c>
      <c r="F114" s="96" t="n">
        <f aca="false">IF($B114="","",COUNTIFS(Journal!$AS$6:$AS$505,$B114,Journal!$AL$6:$AL$505,"BE",Journal!$BP$6:$BP$505,1))</f>
        <v>0</v>
      </c>
      <c r="G114" s="97" t="n">
        <f aca="false">IF($B114="","",IFERROR(D114/C114,0))</f>
        <v>0</v>
      </c>
      <c r="H114" s="98" t="n">
        <f aca="false">IF($B114="","",SUMIFS(Journal!$AK$6:$AK$505,Journal!$AS$6:$AS$505,$B114,Journal!$BP$6:$BP$505,1))</f>
        <v>0</v>
      </c>
      <c r="I114" s="98" t="n">
        <f aca="false">IF($B114="","",IFERROR(H114/C114,0))</f>
        <v>0</v>
      </c>
      <c r="J114" s="99" t="n">
        <f aca="false">IF($B114="","",SUMIFS(Journal!$AM$6:$AM$505,Journal!$AS$6:$AS$505,$B114,Journal!$BP$6:$BP$505,1))</f>
        <v>0</v>
      </c>
      <c r="K114" s="100" t="str">
        <f aca="false">IF($B114="","",IFERROR(SUMIFS(Journal!$AM$6:$AM$505,Journal!$AS$6:$AS$505,$B114,Journal!$BP$6:$BP$505,1,Journal!$AM$6:$AM$505,"&gt;0")/ABS(SUMIFS(Journal!$AM$6:$AM$505,Journal!$AS$6:$AS$505,$B114,Journal!$BP$6:$BP$505,1,Journal!$AM$6:$AM$505,"&lt;0")),"-"))</f>
        <v>-</v>
      </c>
    </row>
    <row r="115" customFormat="false" ht="15" hidden="false" customHeight="false" outlineLevel="0" collapsed="false">
      <c r="B115" s="101" t="n">
        <v>3</v>
      </c>
      <c r="C115" s="96" t="n">
        <f aca="false">IF($B115="","",D115+E115+F115)</f>
        <v>0</v>
      </c>
      <c r="D115" s="96" t="n">
        <f aca="false">IF($B115="","",COUNTIFS(Journal!$AS$6:$AS$505,$B115,Journal!$AL$6:$AL$505,"Win",Journal!$BP$6:$BP$505,1))</f>
        <v>0</v>
      </c>
      <c r="E115" s="96" t="n">
        <f aca="false">IF($B115="","",COUNTIFS(Journal!$AS$6:$AS$505,$B115,Journal!$AL$6:$AL$505,"Loss",Journal!$BP$6:$BP$505,1))</f>
        <v>0</v>
      </c>
      <c r="F115" s="96" t="n">
        <f aca="false">IF($B115="","",COUNTIFS(Journal!$AS$6:$AS$505,$B115,Journal!$AL$6:$AL$505,"BE",Journal!$BP$6:$BP$505,1))</f>
        <v>0</v>
      </c>
      <c r="G115" s="97" t="n">
        <f aca="false">IF($B115="","",IFERROR(D115/C115,0))</f>
        <v>0</v>
      </c>
      <c r="H115" s="98" t="n">
        <f aca="false">IF($B115="","",SUMIFS(Journal!$AK$6:$AK$505,Journal!$AS$6:$AS$505,$B115,Journal!$BP$6:$BP$505,1))</f>
        <v>0</v>
      </c>
      <c r="I115" s="98" t="n">
        <f aca="false">IF($B115="","",IFERROR(H115/C115,0))</f>
        <v>0</v>
      </c>
      <c r="J115" s="99" t="n">
        <f aca="false">IF($B115="","",SUMIFS(Journal!$AM$6:$AM$505,Journal!$AS$6:$AS$505,$B115,Journal!$BP$6:$BP$505,1))</f>
        <v>0</v>
      </c>
      <c r="K115" s="100" t="str">
        <f aca="false">IF($B115="","",IFERROR(SUMIFS(Journal!$AM$6:$AM$505,Journal!$AS$6:$AS$505,$B115,Journal!$BP$6:$BP$505,1,Journal!$AM$6:$AM$505,"&gt;0")/ABS(SUMIFS(Journal!$AM$6:$AM$505,Journal!$AS$6:$AS$505,$B115,Journal!$BP$6:$BP$505,1,Journal!$AM$6:$AM$505,"&lt;0")),"-"))</f>
        <v>-</v>
      </c>
    </row>
    <row r="116" customFormat="false" ht="15" hidden="false" customHeight="false" outlineLevel="0" collapsed="false">
      <c r="B116" s="101" t="n">
        <v>4</v>
      </c>
      <c r="C116" s="96" t="n">
        <f aca="false">IF($B116="","",D116+E116+F116)</f>
        <v>0</v>
      </c>
      <c r="D116" s="96" t="n">
        <f aca="false">IF($B116="","",COUNTIFS(Journal!$AS$6:$AS$505,$B116,Journal!$AL$6:$AL$505,"Win",Journal!$BP$6:$BP$505,1))</f>
        <v>0</v>
      </c>
      <c r="E116" s="96" t="n">
        <f aca="false">IF($B116="","",COUNTIFS(Journal!$AS$6:$AS$505,$B116,Journal!$AL$6:$AL$505,"Loss",Journal!$BP$6:$BP$505,1))</f>
        <v>0</v>
      </c>
      <c r="F116" s="96" t="n">
        <f aca="false">IF($B116="","",COUNTIFS(Journal!$AS$6:$AS$505,$B116,Journal!$AL$6:$AL$505,"BE",Journal!$BP$6:$BP$505,1))</f>
        <v>0</v>
      </c>
      <c r="G116" s="97" t="n">
        <f aca="false">IF($B116="","",IFERROR(D116/C116,0))</f>
        <v>0</v>
      </c>
      <c r="H116" s="98" t="n">
        <f aca="false">IF($B116="","",SUMIFS(Journal!$AK$6:$AK$505,Journal!$AS$6:$AS$505,$B116,Journal!$BP$6:$BP$505,1))</f>
        <v>0</v>
      </c>
      <c r="I116" s="98" t="n">
        <f aca="false">IF($B116="","",IFERROR(H116/C116,0))</f>
        <v>0</v>
      </c>
      <c r="J116" s="99" t="n">
        <f aca="false">IF($B116="","",SUMIFS(Journal!$AM$6:$AM$505,Journal!$AS$6:$AS$505,$B116,Journal!$BP$6:$BP$505,1))</f>
        <v>0</v>
      </c>
      <c r="K116" s="100" t="str">
        <f aca="false">IF($B116="","",IFERROR(SUMIFS(Journal!$AM$6:$AM$505,Journal!$AS$6:$AS$505,$B116,Journal!$BP$6:$BP$505,1,Journal!$AM$6:$AM$505,"&gt;0")/ABS(SUMIFS(Journal!$AM$6:$AM$505,Journal!$AS$6:$AS$505,$B116,Journal!$BP$6:$BP$505,1,Journal!$AM$6:$AM$505,"&lt;0")),"-"))</f>
        <v>-</v>
      </c>
    </row>
    <row r="117" customFormat="false" ht="15" hidden="false" customHeight="false" outlineLevel="0" collapsed="false">
      <c r="B117" s="101" t="n">
        <v>5</v>
      </c>
      <c r="C117" s="96" t="n">
        <f aca="false">IF($B117="","",D117+E117+F117)</f>
        <v>0</v>
      </c>
      <c r="D117" s="96" t="n">
        <f aca="false">IF($B117="","",COUNTIFS(Journal!$AS$6:$AS$505,$B117,Journal!$AL$6:$AL$505,"Win",Journal!$BP$6:$BP$505,1))</f>
        <v>0</v>
      </c>
      <c r="E117" s="96" t="n">
        <f aca="false">IF($B117="","",COUNTIFS(Journal!$AS$6:$AS$505,$B117,Journal!$AL$6:$AL$505,"Loss",Journal!$BP$6:$BP$505,1))</f>
        <v>0</v>
      </c>
      <c r="F117" s="96" t="n">
        <f aca="false">IF($B117="","",COUNTIFS(Journal!$AS$6:$AS$505,$B117,Journal!$AL$6:$AL$505,"BE",Journal!$BP$6:$BP$505,1))</f>
        <v>0</v>
      </c>
      <c r="G117" s="97" t="n">
        <f aca="false">IF($B117="","",IFERROR(D117/C117,0))</f>
        <v>0</v>
      </c>
      <c r="H117" s="98" t="n">
        <f aca="false">IF($B117="","",SUMIFS(Journal!$AK$6:$AK$505,Journal!$AS$6:$AS$505,$B117,Journal!$BP$6:$BP$505,1))</f>
        <v>0</v>
      </c>
      <c r="I117" s="98" t="n">
        <f aca="false">IF($B117="","",IFERROR(H117/C117,0))</f>
        <v>0</v>
      </c>
      <c r="J117" s="99" t="n">
        <f aca="false">IF($B117="","",SUMIFS(Journal!$AM$6:$AM$505,Journal!$AS$6:$AS$505,$B117,Journal!$BP$6:$BP$505,1))</f>
        <v>0</v>
      </c>
      <c r="K117" s="100" t="str">
        <f aca="false">IF($B117="","",IFERROR(SUMIFS(Journal!$AM$6:$AM$505,Journal!$AS$6:$AS$505,$B117,Journal!$BP$6:$BP$505,1,Journal!$AM$6:$AM$505,"&gt;0")/ABS(SUMIFS(Journal!$AM$6:$AM$505,Journal!$AS$6:$AS$505,$B117,Journal!$BP$6:$BP$505,1,Journal!$AM$6:$AM$505,"&lt;0")),"-"))</f>
        <v>-</v>
      </c>
    </row>
    <row r="118" customFormat="false" ht="15" hidden="false" customHeight="false" outlineLevel="0" collapsed="false">
      <c r="B118" s="101" t="n">
        <v>6</v>
      </c>
      <c r="C118" s="96" t="n">
        <f aca="false">IF($B118="","",D118+E118+F118)</f>
        <v>0</v>
      </c>
      <c r="D118" s="96" t="n">
        <f aca="false">IF($B118="","",COUNTIFS(Journal!$AS$6:$AS$505,$B118,Journal!$AL$6:$AL$505,"Win",Journal!$BP$6:$BP$505,1))</f>
        <v>0</v>
      </c>
      <c r="E118" s="96" t="n">
        <f aca="false">IF($B118="","",COUNTIFS(Journal!$AS$6:$AS$505,$B118,Journal!$AL$6:$AL$505,"Loss",Journal!$BP$6:$BP$505,1))</f>
        <v>0</v>
      </c>
      <c r="F118" s="96" t="n">
        <f aca="false">IF($B118="","",COUNTIFS(Journal!$AS$6:$AS$505,$B118,Journal!$AL$6:$AL$505,"BE",Journal!$BP$6:$BP$505,1))</f>
        <v>0</v>
      </c>
      <c r="G118" s="97" t="n">
        <f aca="false">IF($B118="","",IFERROR(D118/C118,0))</f>
        <v>0</v>
      </c>
      <c r="H118" s="98" t="n">
        <f aca="false">IF($B118="","",SUMIFS(Journal!$AK$6:$AK$505,Journal!$AS$6:$AS$505,$B118,Journal!$BP$6:$BP$505,1))</f>
        <v>0</v>
      </c>
      <c r="I118" s="98" t="n">
        <f aca="false">IF($B118="","",IFERROR(H118/C118,0))</f>
        <v>0</v>
      </c>
      <c r="J118" s="99" t="n">
        <f aca="false">IF($B118="","",SUMIFS(Journal!$AM$6:$AM$505,Journal!$AS$6:$AS$505,$B118,Journal!$BP$6:$BP$505,1))</f>
        <v>0</v>
      </c>
      <c r="K118" s="100" t="str">
        <f aca="false">IF($B118="","",IFERROR(SUMIFS(Journal!$AM$6:$AM$505,Journal!$AS$6:$AS$505,$B118,Journal!$BP$6:$BP$505,1,Journal!$AM$6:$AM$505,"&gt;0")/ABS(SUMIFS(Journal!$AM$6:$AM$505,Journal!$AS$6:$AS$505,$B118,Journal!$BP$6:$BP$505,1,Journal!$AM$6:$AM$505,"&lt;0")),"-"))</f>
        <v>-</v>
      </c>
    </row>
    <row r="119" customFormat="false" ht="15" hidden="false" customHeight="false" outlineLevel="0" collapsed="false">
      <c r="B119" s="101" t="n">
        <v>7</v>
      </c>
      <c r="C119" s="96" t="n">
        <f aca="false">IF($B119="","",D119+E119+F119)</f>
        <v>0</v>
      </c>
      <c r="D119" s="96" t="n">
        <f aca="false">IF($B119="","",COUNTIFS(Journal!$AS$6:$AS$505,$B119,Journal!$AL$6:$AL$505,"Win",Journal!$BP$6:$BP$505,1))</f>
        <v>0</v>
      </c>
      <c r="E119" s="96" t="n">
        <f aca="false">IF($B119="","",COUNTIFS(Journal!$AS$6:$AS$505,$B119,Journal!$AL$6:$AL$505,"Loss",Journal!$BP$6:$BP$505,1))</f>
        <v>0</v>
      </c>
      <c r="F119" s="96" t="n">
        <f aca="false">IF($B119="","",COUNTIFS(Journal!$AS$6:$AS$505,$B119,Journal!$AL$6:$AL$505,"BE",Journal!$BP$6:$BP$505,1))</f>
        <v>0</v>
      </c>
      <c r="G119" s="97" t="n">
        <f aca="false">IF($B119="","",IFERROR(D119/C119,0))</f>
        <v>0</v>
      </c>
      <c r="H119" s="98" t="n">
        <f aca="false">IF($B119="","",SUMIFS(Journal!$AK$6:$AK$505,Journal!$AS$6:$AS$505,$B119,Journal!$BP$6:$BP$505,1))</f>
        <v>0</v>
      </c>
      <c r="I119" s="98" t="n">
        <f aca="false">IF($B119="","",IFERROR(H119/C119,0))</f>
        <v>0</v>
      </c>
      <c r="J119" s="99" t="n">
        <f aca="false">IF($B119="","",SUMIFS(Journal!$AM$6:$AM$505,Journal!$AS$6:$AS$505,$B119,Journal!$BP$6:$BP$505,1))</f>
        <v>0</v>
      </c>
      <c r="K119" s="100" t="str">
        <f aca="false">IF($B119="","",IFERROR(SUMIFS(Journal!$AM$6:$AM$505,Journal!$AS$6:$AS$505,$B119,Journal!$BP$6:$BP$505,1,Journal!$AM$6:$AM$505,"&gt;0")/ABS(SUMIFS(Journal!$AM$6:$AM$505,Journal!$AS$6:$AS$505,$B119,Journal!$BP$6:$BP$505,1,Journal!$AM$6:$AM$505,"&lt;0")),"-"))</f>
        <v>-</v>
      </c>
    </row>
    <row r="120" customFormat="false" ht="15" hidden="false" customHeight="false" outlineLevel="0" collapsed="false">
      <c r="B120" s="101" t="n">
        <v>8</v>
      </c>
      <c r="C120" s="96" t="n">
        <f aca="false">IF($B120="","",D120+E120+F120)</f>
        <v>1</v>
      </c>
      <c r="D120" s="96" t="n">
        <f aca="false">IF($B120="","",COUNTIFS(Journal!$AS$6:$AS$505,$B120,Journal!$AL$6:$AL$505,"Win",Journal!$BP$6:$BP$505,1))</f>
        <v>1</v>
      </c>
      <c r="E120" s="96" t="n">
        <f aca="false">IF($B120="","",COUNTIFS(Journal!$AS$6:$AS$505,$B120,Journal!$AL$6:$AL$505,"Loss",Journal!$BP$6:$BP$505,1))</f>
        <v>0</v>
      </c>
      <c r="F120" s="96" t="n">
        <f aca="false">IF($B120="","",COUNTIFS(Journal!$AS$6:$AS$505,$B120,Journal!$AL$6:$AL$505,"BE",Journal!$BP$6:$BP$505,1))</f>
        <v>0</v>
      </c>
      <c r="G120" s="97" t="n">
        <f aca="false">IF($B120="","",IFERROR(D120/C120,0))</f>
        <v>1</v>
      </c>
      <c r="H120" s="98" t="n">
        <f aca="false">IF($B120="","",SUMIFS(Journal!$AK$6:$AK$505,Journal!$AS$6:$AS$505,$B120,Journal!$BP$6:$BP$505,1))</f>
        <v>2.33</v>
      </c>
      <c r="I120" s="98" t="n">
        <f aca="false">IF($B120="","",IFERROR(H120/C120,0))</f>
        <v>2.33</v>
      </c>
      <c r="J120" s="99" t="n">
        <f aca="false">IF($B120="","",SUMIFS(Journal!$AM$6:$AM$505,Journal!$AS$6:$AS$505,$B120,Journal!$BP$6:$BP$505,1))</f>
        <v>229.5</v>
      </c>
      <c r="K120" s="100" t="str">
        <f aca="false">IF($B120="","",IFERROR(SUMIFS(Journal!$AM$6:$AM$505,Journal!$AS$6:$AS$505,$B120,Journal!$BP$6:$BP$505,1,Journal!$AM$6:$AM$505,"&gt;0")/ABS(SUMIFS(Journal!$AM$6:$AM$505,Journal!$AS$6:$AS$505,$B120,Journal!$BP$6:$BP$505,1,Journal!$AM$6:$AM$505,"&lt;0")),"-"))</f>
        <v>-</v>
      </c>
    </row>
    <row r="121" customFormat="false" ht="15" hidden="false" customHeight="false" outlineLevel="0" collapsed="false">
      <c r="B121" s="101" t="n">
        <v>9</v>
      </c>
      <c r="C121" s="96" t="n">
        <f aca="false">IF($B121="","",D121+E121+F121)</f>
        <v>0</v>
      </c>
      <c r="D121" s="96" t="n">
        <f aca="false">IF($B121="","",COUNTIFS(Journal!$AS$6:$AS$505,$B121,Journal!$AL$6:$AL$505,"Win",Journal!$BP$6:$BP$505,1))</f>
        <v>0</v>
      </c>
      <c r="E121" s="96" t="n">
        <f aca="false">IF($B121="","",COUNTIFS(Journal!$AS$6:$AS$505,$B121,Journal!$AL$6:$AL$505,"Loss",Journal!$BP$6:$BP$505,1))</f>
        <v>0</v>
      </c>
      <c r="F121" s="96" t="n">
        <f aca="false">IF($B121="","",COUNTIFS(Journal!$AS$6:$AS$505,$B121,Journal!$AL$6:$AL$505,"BE",Journal!$BP$6:$BP$505,1))</f>
        <v>0</v>
      </c>
      <c r="G121" s="97" t="n">
        <f aca="false">IF($B121="","",IFERROR(D121/C121,0))</f>
        <v>0</v>
      </c>
      <c r="H121" s="98" t="n">
        <f aca="false">IF($B121="","",SUMIFS(Journal!$AK$6:$AK$505,Journal!$AS$6:$AS$505,$B121,Journal!$BP$6:$BP$505,1))</f>
        <v>0</v>
      </c>
      <c r="I121" s="98" t="n">
        <f aca="false">IF($B121="","",IFERROR(H121/C121,0))</f>
        <v>0</v>
      </c>
      <c r="J121" s="99" t="n">
        <f aca="false">IF($B121="","",SUMIFS(Journal!$AM$6:$AM$505,Journal!$AS$6:$AS$505,$B121,Journal!$BP$6:$BP$505,1))</f>
        <v>0</v>
      </c>
      <c r="K121" s="100" t="str">
        <f aca="false">IF($B121="","",IFERROR(SUMIFS(Journal!$AM$6:$AM$505,Journal!$AS$6:$AS$505,$B121,Journal!$BP$6:$BP$505,1,Journal!$AM$6:$AM$505,"&gt;0")/ABS(SUMIFS(Journal!$AM$6:$AM$505,Journal!$AS$6:$AS$505,$B121,Journal!$BP$6:$BP$505,1,Journal!$AM$6:$AM$505,"&lt;0")),"-"))</f>
        <v>-</v>
      </c>
    </row>
    <row r="122" customFormat="false" ht="15" hidden="false" customHeight="false" outlineLevel="0" collapsed="false">
      <c r="B122" s="101" t="n">
        <v>10</v>
      </c>
      <c r="C122" s="96" t="n">
        <f aca="false">IF($B122="","",D122+E122+F122)</f>
        <v>0</v>
      </c>
      <c r="D122" s="96" t="n">
        <f aca="false">IF($B122="","",COUNTIFS(Journal!$AS$6:$AS$505,$B122,Journal!$AL$6:$AL$505,"Win",Journal!$BP$6:$BP$505,1))</f>
        <v>0</v>
      </c>
      <c r="E122" s="96" t="n">
        <f aca="false">IF($B122="","",COUNTIFS(Journal!$AS$6:$AS$505,$B122,Journal!$AL$6:$AL$505,"Loss",Journal!$BP$6:$BP$505,1))</f>
        <v>0</v>
      </c>
      <c r="F122" s="96" t="n">
        <f aca="false">IF($B122="","",COUNTIFS(Journal!$AS$6:$AS$505,$B122,Journal!$AL$6:$AL$505,"BE",Journal!$BP$6:$BP$505,1))</f>
        <v>0</v>
      </c>
      <c r="G122" s="97" t="n">
        <f aca="false">IF($B122="","",IFERROR(D122/C122,0))</f>
        <v>0</v>
      </c>
      <c r="H122" s="98" t="n">
        <f aca="false">IF($B122="","",SUMIFS(Journal!$AK$6:$AK$505,Journal!$AS$6:$AS$505,$B122,Journal!$BP$6:$BP$505,1))</f>
        <v>0</v>
      </c>
      <c r="I122" s="98" t="n">
        <f aca="false">IF($B122="","",IFERROR(H122/C122,0))</f>
        <v>0</v>
      </c>
      <c r="J122" s="99" t="n">
        <f aca="false">IF($B122="","",SUMIFS(Journal!$AM$6:$AM$505,Journal!$AS$6:$AS$505,$B122,Journal!$BP$6:$BP$505,1))</f>
        <v>0</v>
      </c>
      <c r="K122" s="100" t="str">
        <f aca="false">IF($B122="","",IFERROR(SUMIFS(Journal!$AM$6:$AM$505,Journal!$AS$6:$AS$505,$B122,Journal!$BP$6:$BP$505,1,Journal!$AM$6:$AM$505,"&gt;0")/ABS(SUMIFS(Journal!$AM$6:$AM$505,Journal!$AS$6:$AS$505,$B122,Journal!$BP$6:$BP$505,1,Journal!$AM$6:$AM$505,"&lt;0")),"-"))</f>
        <v>-</v>
      </c>
    </row>
    <row r="123" customFormat="false" ht="15" hidden="false" customHeight="false" outlineLevel="0" collapsed="false">
      <c r="B123" s="101" t="n">
        <v>11</v>
      </c>
      <c r="C123" s="96" t="n">
        <f aca="false">IF($B123="","",D123+E123+F123)</f>
        <v>0</v>
      </c>
      <c r="D123" s="96" t="n">
        <f aca="false">IF($B123="","",COUNTIFS(Journal!$AS$6:$AS$505,$B123,Journal!$AL$6:$AL$505,"Win",Journal!$BP$6:$BP$505,1))</f>
        <v>0</v>
      </c>
      <c r="E123" s="96" t="n">
        <f aca="false">IF($B123="","",COUNTIFS(Journal!$AS$6:$AS$505,$B123,Journal!$AL$6:$AL$505,"Loss",Journal!$BP$6:$BP$505,1))</f>
        <v>0</v>
      </c>
      <c r="F123" s="96" t="n">
        <f aca="false">IF($B123="","",COUNTIFS(Journal!$AS$6:$AS$505,$B123,Journal!$AL$6:$AL$505,"BE",Journal!$BP$6:$BP$505,1))</f>
        <v>0</v>
      </c>
      <c r="G123" s="97" t="n">
        <f aca="false">IF($B123="","",IFERROR(D123/C123,0))</f>
        <v>0</v>
      </c>
      <c r="H123" s="98" t="n">
        <f aca="false">IF($B123="","",SUMIFS(Journal!$AK$6:$AK$505,Journal!$AS$6:$AS$505,$B123,Journal!$BP$6:$BP$505,1))</f>
        <v>0</v>
      </c>
      <c r="I123" s="98" t="n">
        <f aca="false">IF($B123="","",IFERROR(H123/C123,0))</f>
        <v>0</v>
      </c>
      <c r="J123" s="99" t="n">
        <f aca="false">IF($B123="","",SUMIFS(Journal!$AM$6:$AM$505,Journal!$AS$6:$AS$505,$B123,Journal!$BP$6:$BP$505,1))</f>
        <v>0</v>
      </c>
      <c r="K123" s="100" t="str">
        <f aca="false">IF($B123="","",IFERROR(SUMIFS(Journal!$AM$6:$AM$505,Journal!$AS$6:$AS$505,$B123,Journal!$BP$6:$BP$505,1,Journal!$AM$6:$AM$505,"&gt;0")/ABS(SUMIFS(Journal!$AM$6:$AM$505,Journal!$AS$6:$AS$505,$B123,Journal!$BP$6:$BP$505,1,Journal!$AM$6:$AM$505,"&lt;0")),"-"))</f>
        <v>-</v>
      </c>
    </row>
    <row r="124" customFormat="false" ht="15" hidden="false" customHeight="false" outlineLevel="0" collapsed="false">
      <c r="B124" s="101" t="n">
        <v>12</v>
      </c>
      <c r="C124" s="96" t="n">
        <f aca="false">IF($B124="","",D124+E124+F124)</f>
        <v>0</v>
      </c>
      <c r="D124" s="96" t="n">
        <f aca="false">IF($B124="","",COUNTIFS(Journal!$AS$6:$AS$505,$B124,Journal!$AL$6:$AL$505,"Win",Journal!$BP$6:$BP$505,1))</f>
        <v>0</v>
      </c>
      <c r="E124" s="96" t="n">
        <f aca="false">IF($B124="","",COUNTIFS(Journal!$AS$6:$AS$505,$B124,Journal!$AL$6:$AL$505,"Loss",Journal!$BP$6:$BP$505,1))</f>
        <v>0</v>
      </c>
      <c r="F124" s="96" t="n">
        <f aca="false">IF($B124="","",COUNTIFS(Journal!$AS$6:$AS$505,$B124,Journal!$AL$6:$AL$505,"BE",Journal!$BP$6:$BP$505,1))</f>
        <v>0</v>
      </c>
      <c r="G124" s="97" t="n">
        <f aca="false">IF($B124="","",IFERROR(D124/C124,0))</f>
        <v>0</v>
      </c>
      <c r="H124" s="98" t="n">
        <f aca="false">IF($B124="","",SUMIFS(Journal!$AK$6:$AK$505,Journal!$AS$6:$AS$505,$B124,Journal!$BP$6:$BP$505,1))</f>
        <v>0</v>
      </c>
      <c r="I124" s="98" t="n">
        <f aca="false">IF($B124="","",IFERROR(H124/C124,0))</f>
        <v>0</v>
      </c>
      <c r="J124" s="99" t="n">
        <f aca="false">IF($B124="","",SUMIFS(Journal!$AM$6:$AM$505,Journal!$AS$6:$AS$505,$B124,Journal!$BP$6:$BP$505,1))</f>
        <v>0</v>
      </c>
      <c r="K124" s="100" t="str">
        <f aca="false">IF($B124="","",IFERROR(SUMIFS(Journal!$AM$6:$AM$505,Journal!$AS$6:$AS$505,$B124,Journal!$BP$6:$BP$505,1,Journal!$AM$6:$AM$505,"&gt;0")/ABS(SUMIFS(Journal!$AM$6:$AM$505,Journal!$AS$6:$AS$505,$B124,Journal!$BP$6:$BP$505,1,Journal!$AM$6:$AM$505,"&lt;0")),"-"))</f>
        <v>-</v>
      </c>
    </row>
    <row r="125" customFormat="false" ht="15" hidden="false" customHeight="false" outlineLevel="0" collapsed="false">
      <c r="B125" s="101" t="n">
        <v>13</v>
      </c>
      <c r="C125" s="96" t="n">
        <f aca="false">IF($B125="","",D125+E125+F125)</f>
        <v>0</v>
      </c>
      <c r="D125" s="96" t="n">
        <f aca="false">IF($B125="","",COUNTIFS(Journal!$AS$6:$AS$505,$B125,Journal!$AL$6:$AL$505,"Win",Journal!$BP$6:$BP$505,1))</f>
        <v>0</v>
      </c>
      <c r="E125" s="96" t="n">
        <f aca="false">IF($B125="","",COUNTIFS(Journal!$AS$6:$AS$505,$B125,Journal!$AL$6:$AL$505,"Loss",Journal!$BP$6:$BP$505,1))</f>
        <v>0</v>
      </c>
      <c r="F125" s="96" t="n">
        <f aca="false">IF($B125="","",COUNTIFS(Journal!$AS$6:$AS$505,$B125,Journal!$AL$6:$AL$505,"BE",Journal!$BP$6:$BP$505,1))</f>
        <v>0</v>
      </c>
      <c r="G125" s="97" t="n">
        <f aca="false">IF($B125="","",IFERROR(D125/C125,0))</f>
        <v>0</v>
      </c>
      <c r="H125" s="98" t="n">
        <f aca="false">IF($B125="","",SUMIFS(Journal!$AK$6:$AK$505,Journal!$AS$6:$AS$505,$B125,Journal!$BP$6:$BP$505,1))</f>
        <v>0</v>
      </c>
      <c r="I125" s="98" t="n">
        <f aca="false">IF($B125="","",IFERROR(H125/C125,0))</f>
        <v>0</v>
      </c>
      <c r="J125" s="99" t="n">
        <f aca="false">IF($B125="","",SUMIFS(Journal!$AM$6:$AM$505,Journal!$AS$6:$AS$505,$B125,Journal!$BP$6:$BP$505,1))</f>
        <v>0</v>
      </c>
      <c r="K125" s="100" t="str">
        <f aca="false">IF($B125="","",IFERROR(SUMIFS(Journal!$AM$6:$AM$505,Journal!$AS$6:$AS$505,$B125,Journal!$BP$6:$BP$505,1,Journal!$AM$6:$AM$505,"&gt;0")/ABS(SUMIFS(Journal!$AM$6:$AM$505,Journal!$AS$6:$AS$505,$B125,Journal!$BP$6:$BP$505,1,Journal!$AM$6:$AM$505,"&lt;0")),"-"))</f>
        <v>-</v>
      </c>
    </row>
    <row r="126" customFormat="false" ht="15" hidden="false" customHeight="false" outlineLevel="0" collapsed="false">
      <c r="B126" s="101" t="n">
        <v>14</v>
      </c>
      <c r="C126" s="96" t="n">
        <f aca="false">IF($B126="","",D126+E126+F126)</f>
        <v>0</v>
      </c>
      <c r="D126" s="96" t="n">
        <f aca="false">IF($B126="","",COUNTIFS(Journal!$AS$6:$AS$505,$B126,Journal!$AL$6:$AL$505,"Win",Journal!$BP$6:$BP$505,1))</f>
        <v>0</v>
      </c>
      <c r="E126" s="96" t="n">
        <f aca="false">IF($B126="","",COUNTIFS(Journal!$AS$6:$AS$505,$B126,Journal!$AL$6:$AL$505,"Loss",Journal!$BP$6:$BP$505,1))</f>
        <v>0</v>
      </c>
      <c r="F126" s="96" t="n">
        <f aca="false">IF($B126="","",COUNTIFS(Journal!$AS$6:$AS$505,$B126,Journal!$AL$6:$AL$505,"BE",Journal!$BP$6:$BP$505,1))</f>
        <v>0</v>
      </c>
      <c r="G126" s="97" t="n">
        <f aca="false">IF($B126="","",IFERROR(D126/C126,0))</f>
        <v>0</v>
      </c>
      <c r="H126" s="98" t="n">
        <f aca="false">IF($B126="","",SUMIFS(Journal!$AK$6:$AK$505,Journal!$AS$6:$AS$505,$B126,Journal!$BP$6:$BP$505,1))</f>
        <v>0</v>
      </c>
      <c r="I126" s="98" t="n">
        <f aca="false">IF($B126="","",IFERROR(H126/C126,0))</f>
        <v>0</v>
      </c>
      <c r="J126" s="99" t="n">
        <f aca="false">IF($B126="","",SUMIFS(Journal!$AM$6:$AM$505,Journal!$AS$6:$AS$505,$B126,Journal!$BP$6:$BP$505,1))</f>
        <v>0</v>
      </c>
      <c r="K126" s="100" t="str">
        <f aca="false">IF($B126="","",IFERROR(SUMIFS(Journal!$AM$6:$AM$505,Journal!$AS$6:$AS$505,$B126,Journal!$BP$6:$BP$505,1,Journal!$AM$6:$AM$505,"&gt;0")/ABS(SUMIFS(Journal!$AM$6:$AM$505,Journal!$AS$6:$AS$505,$B126,Journal!$BP$6:$BP$505,1,Journal!$AM$6:$AM$505,"&lt;0")),"-"))</f>
        <v>-</v>
      </c>
    </row>
    <row r="127" customFormat="false" ht="15" hidden="false" customHeight="false" outlineLevel="0" collapsed="false">
      <c r="B127" s="101" t="n">
        <v>15</v>
      </c>
      <c r="C127" s="96" t="n">
        <f aca="false">IF($B127="","",D127+E127+F127)</f>
        <v>0</v>
      </c>
      <c r="D127" s="96" t="n">
        <f aca="false">IF($B127="","",COUNTIFS(Journal!$AS$6:$AS$505,$B127,Journal!$AL$6:$AL$505,"Win",Journal!$BP$6:$BP$505,1))</f>
        <v>0</v>
      </c>
      <c r="E127" s="96" t="n">
        <f aca="false">IF($B127="","",COUNTIFS(Journal!$AS$6:$AS$505,$B127,Journal!$AL$6:$AL$505,"Loss",Journal!$BP$6:$BP$505,1))</f>
        <v>0</v>
      </c>
      <c r="F127" s="96" t="n">
        <f aca="false">IF($B127="","",COUNTIFS(Journal!$AS$6:$AS$505,$B127,Journal!$AL$6:$AL$505,"BE",Journal!$BP$6:$BP$505,1))</f>
        <v>0</v>
      </c>
      <c r="G127" s="97" t="n">
        <f aca="false">IF($B127="","",IFERROR(D127/C127,0))</f>
        <v>0</v>
      </c>
      <c r="H127" s="98" t="n">
        <f aca="false">IF($B127="","",SUMIFS(Journal!$AK$6:$AK$505,Journal!$AS$6:$AS$505,$B127,Journal!$BP$6:$BP$505,1))</f>
        <v>0</v>
      </c>
      <c r="I127" s="98" t="n">
        <f aca="false">IF($B127="","",IFERROR(H127/C127,0))</f>
        <v>0</v>
      </c>
      <c r="J127" s="99" t="n">
        <f aca="false">IF($B127="","",SUMIFS(Journal!$AM$6:$AM$505,Journal!$AS$6:$AS$505,$B127,Journal!$BP$6:$BP$505,1))</f>
        <v>0</v>
      </c>
      <c r="K127" s="100" t="str">
        <f aca="false">IF($B127="","",IFERROR(SUMIFS(Journal!$AM$6:$AM$505,Journal!$AS$6:$AS$505,$B127,Journal!$BP$6:$BP$505,1,Journal!$AM$6:$AM$505,"&gt;0")/ABS(SUMIFS(Journal!$AM$6:$AM$505,Journal!$AS$6:$AS$505,$B127,Journal!$BP$6:$BP$505,1,Journal!$AM$6:$AM$505,"&lt;0")),"-"))</f>
        <v>-</v>
      </c>
    </row>
    <row r="128" customFormat="false" ht="15" hidden="false" customHeight="false" outlineLevel="0" collapsed="false">
      <c r="B128" s="101" t="n">
        <v>16</v>
      </c>
      <c r="C128" s="96" t="n">
        <f aca="false">IF($B128="","",D128+E128+F128)</f>
        <v>0</v>
      </c>
      <c r="D128" s="96" t="n">
        <f aca="false">IF($B128="","",COUNTIFS(Journal!$AS$6:$AS$505,$B128,Journal!$AL$6:$AL$505,"Win",Journal!$BP$6:$BP$505,1))</f>
        <v>0</v>
      </c>
      <c r="E128" s="96" t="n">
        <f aca="false">IF($B128="","",COUNTIFS(Journal!$AS$6:$AS$505,$B128,Journal!$AL$6:$AL$505,"Loss",Journal!$BP$6:$BP$505,1))</f>
        <v>0</v>
      </c>
      <c r="F128" s="96" t="n">
        <f aca="false">IF($B128="","",COUNTIFS(Journal!$AS$6:$AS$505,$B128,Journal!$AL$6:$AL$505,"BE",Journal!$BP$6:$BP$505,1))</f>
        <v>0</v>
      </c>
      <c r="G128" s="97" t="n">
        <f aca="false">IF($B128="","",IFERROR(D128/C128,0))</f>
        <v>0</v>
      </c>
      <c r="H128" s="98" t="n">
        <f aca="false">IF($B128="","",SUMIFS(Journal!$AK$6:$AK$505,Journal!$AS$6:$AS$505,$B128,Journal!$BP$6:$BP$505,1))</f>
        <v>0</v>
      </c>
      <c r="I128" s="98" t="n">
        <f aca="false">IF($B128="","",IFERROR(H128/C128,0))</f>
        <v>0</v>
      </c>
      <c r="J128" s="99" t="n">
        <f aca="false">IF($B128="","",SUMIFS(Journal!$AM$6:$AM$505,Journal!$AS$6:$AS$505,$B128,Journal!$BP$6:$BP$505,1))</f>
        <v>0</v>
      </c>
      <c r="K128" s="100" t="str">
        <f aca="false">IF($B128="","",IFERROR(SUMIFS(Journal!$AM$6:$AM$505,Journal!$AS$6:$AS$505,$B128,Journal!$BP$6:$BP$505,1,Journal!$AM$6:$AM$505,"&gt;0")/ABS(SUMIFS(Journal!$AM$6:$AM$505,Journal!$AS$6:$AS$505,$B128,Journal!$BP$6:$BP$505,1,Journal!$AM$6:$AM$505,"&lt;0")),"-"))</f>
        <v>-</v>
      </c>
    </row>
    <row r="129" customFormat="false" ht="15" hidden="false" customHeight="false" outlineLevel="0" collapsed="false">
      <c r="B129" s="101" t="n">
        <v>17</v>
      </c>
      <c r="C129" s="96" t="n">
        <f aca="false">IF($B129="","",D129+E129+F129)</f>
        <v>0</v>
      </c>
      <c r="D129" s="96" t="n">
        <f aca="false">IF($B129="","",COUNTIFS(Journal!$AS$6:$AS$505,$B129,Journal!$AL$6:$AL$505,"Win",Journal!$BP$6:$BP$505,1))</f>
        <v>0</v>
      </c>
      <c r="E129" s="96" t="n">
        <f aca="false">IF($B129="","",COUNTIFS(Journal!$AS$6:$AS$505,$B129,Journal!$AL$6:$AL$505,"Loss",Journal!$BP$6:$BP$505,1))</f>
        <v>0</v>
      </c>
      <c r="F129" s="96" t="n">
        <f aca="false">IF($B129="","",COUNTIFS(Journal!$AS$6:$AS$505,$B129,Journal!$AL$6:$AL$505,"BE",Journal!$BP$6:$BP$505,1))</f>
        <v>0</v>
      </c>
      <c r="G129" s="97" t="n">
        <f aca="false">IF($B129="","",IFERROR(D129/C129,0))</f>
        <v>0</v>
      </c>
      <c r="H129" s="98" t="n">
        <f aca="false">IF($B129="","",SUMIFS(Journal!$AK$6:$AK$505,Journal!$AS$6:$AS$505,$B129,Journal!$BP$6:$BP$505,1))</f>
        <v>0</v>
      </c>
      <c r="I129" s="98" t="n">
        <f aca="false">IF($B129="","",IFERROR(H129/C129,0))</f>
        <v>0</v>
      </c>
      <c r="J129" s="99" t="n">
        <f aca="false">IF($B129="","",SUMIFS(Journal!$AM$6:$AM$505,Journal!$AS$6:$AS$505,$B129,Journal!$BP$6:$BP$505,1))</f>
        <v>0</v>
      </c>
      <c r="K129" s="100" t="str">
        <f aca="false">IF($B129="","",IFERROR(SUMIFS(Journal!$AM$6:$AM$505,Journal!$AS$6:$AS$505,$B129,Journal!$BP$6:$BP$505,1,Journal!$AM$6:$AM$505,"&gt;0")/ABS(SUMIFS(Journal!$AM$6:$AM$505,Journal!$AS$6:$AS$505,$B129,Journal!$BP$6:$BP$505,1,Journal!$AM$6:$AM$505,"&lt;0")),"-"))</f>
        <v>-</v>
      </c>
    </row>
    <row r="130" customFormat="false" ht="15" hidden="false" customHeight="false" outlineLevel="0" collapsed="false">
      <c r="B130" s="101" t="n">
        <v>18</v>
      </c>
      <c r="C130" s="96" t="n">
        <f aca="false">IF($B130="","",D130+E130+F130)</f>
        <v>0</v>
      </c>
      <c r="D130" s="96" t="n">
        <f aca="false">IF($B130="","",COUNTIFS(Journal!$AS$6:$AS$505,$B130,Journal!$AL$6:$AL$505,"Win",Journal!$BP$6:$BP$505,1))</f>
        <v>0</v>
      </c>
      <c r="E130" s="96" t="n">
        <f aca="false">IF($B130="","",COUNTIFS(Journal!$AS$6:$AS$505,$B130,Journal!$AL$6:$AL$505,"Loss",Journal!$BP$6:$BP$505,1))</f>
        <v>0</v>
      </c>
      <c r="F130" s="96" t="n">
        <f aca="false">IF($B130="","",COUNTIFS(Journal!$AS$6:$AS$505,$B130,Journal!$AL$6:$AL$505,"BE",Journal!$BP$6:$BP$505,1))</f>
        <v>0</v>
      </c>
      <c r="G130" s="97" t="n">
        <f aca="false">IF($B130="","",IFERROR(D130/C130,0))</f>
        <v>0</v>
      </c>
      <c r="H130" s="98" t="n">
        <f aca="false">IF($B130="","",SUMIFS(Journal!$AK$6:$AK$505,Journal!$AS$6:$AS$505,$B130,Journal!$BP$6:$BP$505,1))</f>
        <v>0</v>
      </c>
      <c r="I130" s="98" t="n">
        <f aca="false">IF($B130="","",IFERROR(H130/C130,0))</f>
        <v>0</v>
      </c>
      <c r="J130" s="99" t="n">
        <f aca="false">IF($B130="","",SUMIFS(Journal!$AM$6:$AM$505,Journal!$AS$6:$AS$505,$B130,Journal!$BP$6:$BP$505,1))</f>
        <v>0</v>
      </c>
      <c r="K130" s="100" t="str">
        <f aca="false">IF($B130="","",IFERROR(SUMIFS(Journal!$AM$6:$AM$505,Journal!$AS$6:$AS$505,$B130,Journal!$BP$6:$BP$505,1,Journal!$AM$6:$AM$505,"&gt;0")/ABS(SUMIFS(Journal!$AM$6:$AM$505,Journal!$AS$6:$AS$505,$B130,Journal!$BP$6:$BP$505,1,Journal!$AM$6:$AM$505,"&lt;0")),"-"))</f>
        <v>-</v>
      </c>
    </row>
    <row r="131" customFormat="false" ht="15" hidden="false" customHeight="false" outlineLevel="0" collapsed="false">
      <c r="B131" s="101" t="n">
        <v>19</v>
      </c>
      <c r="C131" s="96" t="n">
        <f aca="false">IF($B131="","",D131+E131+F131)</f>
        <v>0</v>
      </c>
      <c r="D131" s="96" t="n">
        <f aca="false">IF($B131="","",COUNTIFS(Journal!$AS$6:$AS$505,$B131,Journal!$AL$6:$AL$505,"Win",Journal!$BP$6:$BP$505,1))</f>
        <v>0</v>
      </c>
      <c r="E131" s="96" t="n">
        <f aca="false">IF($B131="","",COUNTIFS(Journal!$AS$6:$AS$505,$B131,Journal!$AL$6:$AL$505,"Loss",Journal!$BP$6:$BP$505,1))</f>
        <v>0</v>
      </c>
      <c r="F131" s="96" t="n">
        <f aca="false">IF($B131="","",COUNTIFS(Journal!$AS$6:$AS$505,$B131,Journal!$AL$6:$AL$505,"BE",Journal!$BP$6:$BP$505,1))</f>
        <v>0</v>
      </c>
      <c r="G131" s="97" t="n">
        <f aca="false">IF($B131="","",IFERROR(D131/C131,0))</f>
        <v>0</v>
      </c>
      <c r="H131" s="98" t="n">
        <f aca="false">IF($B131="","",SUMIFS(Journal!$AK$6:$AK$505,Journal!$AS$6:$AS$505,$B131,Journal!$BP$6:$BP$505,1))</f>
        <v>0</v>
      </c>
      <c r="I131" s="98" t="n">
        <f aca="false">IF($B131="","",IFERROR(H131/C131,0))</f>
        <v>0</v>
      </c>
      <c r="J131" s="99" t="n">
        <f aca="false">IF($B131="","",SUMIFS(Journal!$AM$6:$AM$505,Journal!$AS$6:$AS$505,$B131,Journal!$BP$6:$BP$505,1))</f>
        <v>0</v>
      </c>
      <c r="K131" s="100" t="str">
        <f aca="false">IF($B131="","",IFERROR(SUMIFS(Journal!$AM$6:$AM$505,Journal!$AS$6:$AS$505,$B131,Journal!$BP$6:$BP$505,1,Journal!$AM$6:$AM$505,"&gt;0")/ABS(SUMIFS(Journal!$AM$6:$AM$505,Journal!$AS$6:$AS$505,$B131,Journal!$BP$6:$BP$505,1,Journal!$AM$6:$AM$505,"&lt;0")),"-"))</f>
        <v>-</v>
      </c>
    </row>
    <row r="132" customFormat="false" ht="15" hidden="false" customHeight="false" outlineLevel="0" collapsed="false">
      <c r="B132" s="101" t="n">
        <v>20</v>
      </c>
      <c r="C132" s="96" t="n">
        <f aca="false">IF($B132="","",D132+E132+F132)</f>
        <v>0</v>
      </c>
      <c r="D132" s="96" t="n">
        <f aca="false">IF($B132="","",COUNTIFS(Journal!$AS$6:$AS$505,$B132,Journal!$AL$6:$AL$505,"Win",Journal!$BP$6:$BP$505,1))</f>
        <v>0</v>
      </c>
      <c r="E132" s="96" t="n">
        <f aca="false">IF($B132="","",COUNTIFS(Journal!$AS$6:$AS$505,$B132,Journal!$AL$6:$AL$505,"Loss",Journal!$BP$6:$BP$505,1))</f>
        <v>0</v>
      </c>
      <c r="F132" s="96" t="n">
        <f aca="false">IF($B132="","",COUNTIFS(Journal!$AS$6:$AS$505,$B132,Journal!$AL$6:$AL$505,"BE",Journal!$BP$6:$BP$505,1))</f>
        <v>0</v>
      </c>
      <c r="G132" s="97" t="n">
        <f aca="false">IF($B132="","",IFERROR(D132/C132,0))</f>
        <v>0</v>
      </c>
      <c r="H132" s="98" t="n">
        <f aca="false">IF($B132="","",SUMIFS(Journal!$AK$6:$AK$505,Journal!$AS$6:$AS$505,$B132,Journal!$BP$6:$BP$505,1))</f>
        <v>0</v>
      </c>
      <c r="I132" s="98" t="n">
        <f aca="false">IF($B132="","",IFERROR(H132/C132,0))</f>
        <v>0</v>
      </c>
      <c r="J132" s="99" t="n">
        <f aca="false">IF($B132="","",SUMIFS(Journal!$AM$6:$AM$505,Journal!$AS$6:$AS$505,$B132,Journal!$BP$6:$BP$505,1))</f>
        <v>0</v>
      </c>
      <c r="K132" s="100" t="str">
        <f aca="false">IF($B132="","",IFERROR(SUMIFS(Journal!$AM$6:$AM$505,Journal!$AS$6:$AS$505,$B132,Journal!$BP$6:$BP$505,1,Journal!$AM$6:$AM$505,"&gt;0")/ABS(SUMIFS(Journal!$AM$6:$AM$505,Journal!$AS$6:$AS$505,$B132,Journal!$BP$6:$BP$505,1,Journal!$AM$6:$AM$505,"&lt;0")),"-"))</f>
        <v>-</v>
      </c>
    </row>
    <row r="133" customFormat="false" ht="15" hidden="false" customHeight="false" outlineLevel="0" collapsed="false">
      <c r="B133" s="101" t="n">
        <v>21</v>
      </c>
      <c r="C133" s="96" t="n">
        <f aca="false">IF($B133="","",D133+E133+F133)</f>
        <v>0</v>
      </c>
      <c r="D133" s="96" t="n">
        <f aca="false">IF($B133="","",COUNTIFS(Journal!$AS$6:$AS$505,$B133,Journal!$AL$6:$AL$505,"Win",Journal!$BP$6:$BP$505,1))</f>
        <v>0</v>
      </c>
      <c r="E133" s="96" t="n">
        <f aca="false">IF($B133="","",COUNTIFS(Journal!$AS$6:$AS$505,$B133,Journal!$AL$6:$AL$505,"Loss",Journal!$BP$6:$BP$505,1))</f>
        <v>0</v>
      </c>
      <c r="F133" s="96" t="n">
        <f aca="false">IF($B133="","",COUNTIFS(Journal!$AS$6:$AS$505,$B133,Journal!$AL$6:$AL$505,"BE",Journal!$BP$6:$BP$505,1))</f>
        <v>0</v>
      </c>
      <c r="G133" s="97" t="n">
        <f aca="false">IF($B133="","",IFERROR(D133/C133,0))</f>
        <v>0</v>
      </c>
      <c r="H133" s="98" t="n">
        <f aca="false">IF($B133="","",SUMIFS(Journal!$AK$6:$AK$505,Journal!$AS$6:$AS$505,$B133,Journal!$BP$6:$BP$505,1))</f>
        <v>0</v>
      </c>
      <c r="I133" s="98" t="n">
        <f aca="false">IF($B133="","",IFERROR(H133/C133,0))</f>
        <v>0</v>
      </c>
      <c r="J133" s="99" t="n">
        <f aca="false">IF($B133="","",SUMIFS(Journal!$AM$6:$AM$505,Journal!$AS$6:$AS$505,$B133,Journal!$BP$6:$BP$505,1))</f>
        <v>0</v>
      </c>
      <c r="K133" s="100" t="str">
        <f aca="false">IF($B133="","",IFERROR(SUMIFS(Journal!$AM$6:$AM$505,Journal!$AS$6:$AS$505,$B133,Journal!$BP$6:$BP$505,1,Journal!$AM$6:$AM$505,"&gt;0")/ABS(SUMIFS(Journal!$AM$6:$AM$505,Journal!$AS$6:$AS$505,$B133,Journal!$BP$6:$BP$505,1,Journal!$AM$6:$AM$505,"&lt;0")),"-"))</f>
        <v>-</v>
      </c>
    </row>
    <row r="134" customFormat="false" ht="15" hidden="false" customHeight="false" outlineLevel="0" collapsed="false">
      <c r="B134" s="101" t="n">
        <v>22</v>
      </c>
      <c r="C134" s="96" t="n">
        <f aca="false">IF($B134="","",D134+E134+F134)</f>
        <v>0</v>
      </c>
      <c r="D134" s="96" t="n">
        <f aca="false">IF($B134="","",COUNTIFS(Journal!$AS$6:$AS$505,$B134,Journal!$AL$6:$AL$505,"Win",Journal!$BP$6:$BP$505,1))</f>
        <v>0</v>
      </c>
      <c r="E134" s="96" t="n">
        <f aca="false">IF($B134="","",COUNTIFS(Journal!$AS$6:$AS$505,$B134,Journal!$AL$6:$AL$505,"Loss",Journal!$BP$6:$BP$505,1))</f>
        <v>0</v>
      </c>
      <c r="F134" s="96" t="n">
        <f aca="false">IF($B134="","",COUNTIFS(Journal!$AS$6:$AS$505,$B134,Journal!$AL$6:$AL$505,"BE",Journal!$BP$6:$BP$505,1))</f>
        <v>0</v>
      </c>
      <c r="G134" s="97" t="n">
        <f aca="false">IF($B134="","",IFERROR(D134/C134,0))</f>
        <v>0</v>
      </c>
      <c r="H134" s="98" t="n">
        <f aca="false">IF($B134="","",SUMIFS(Journal!$AK$6:$AK$505,Journal!$AS$6:$AS$505,$B134,Journal!$BP$6:$BP$505,1))</f>
        <v>0</v>
      </c>
      <c r="I134" s="98" t="n">
        <f aca="false">IF($B134="","",IFERROR(H134/C134,0))</f>
        <v>0</v>
      </c>
      <c r="J134" s="99" t="n">
        <f aca="false">IF($B134="","",SUMIFS(Journal!$AM$6:$AM$505,Journal!$AS$6:$AS$505,$B134,Journal!$BP$6:$BP$505,1))</f>
        <v>0</v>
      </c>
      <c r="K134" s="100" t="str">
        <f aca="false">IF($B134="","",IFERROR(SUMIFS(Journal!$AM$6:$AM$505,Journal!$AS$6:$AS$505,$B134,Journal!$BP$6:$BP$505,1,Journal!$AM$6:$AM$505,"&gt;0")/ABS(SUMIFS(Journal!$AM$6:$AM$505,Journal!$AS$6:$AS$505,$B134,Journal!$BP$6:$BP$505,1,Journal!$AM$6:$AM$505,"&lt;0")),"-"))</f>
        <v>-</v>
      </c>
    </row>
    <row r="135" customFormat="false" ht="15" hidden="false" customHeight="false" outlineLevel="0" collapsed="false">
      <c r="B135" s="101" t="n">
        <v>23</v>
      </c>
      <c r="C135" s="96" t="n">
        <f aca="false">IF($B135="","",D135+E135+F135)</f>
        <v>0</v>
      </c>
      <c r="D135" s="96" t="n">
        <f aca="false">IF($B135="","",COUNTIFS(Journal!$AS$6:$AS$505,$B135,Journal!$AL$6:$AL$505,"Win",Journal!$BP$6:$BP$505,1))</f>
        <v>0</v>
      </c>
      <c r="E135" s="96" t="n">
        <f aca="false">IF($B135="","",COUNTIFS(Journal!$AS$6:$AS$505,$B135,Journal!$AL$6:$AL$505,"Loss",Journal!$BP$6:$BP$505,1))</f>
        <v>0</v>
      </c>
      <c r="F135" s="96" t="n">
        <f aca="false">IF($B135="","",COUNTIFS(Journal!$AS$6:$AS$505,$B135,Journal!$AL$6:$AL$505,"BE",Journal!$BP$6:$BP$505,1))</f>
        <v>0</v>
      </c>
      <c r="G135" s="97" t="n">
        <f aca="false">IF($B135="","",IFERROR(D135/C135,0))</f>
        <v>0</v>
      </c>
      <c r="H135" s="98" t="n">
        <f aca="false">IF($B135="","",SUMIFS(Journal!$AK$6:$AK$505,Journal!$AS$6:$AS$505,$B135,Journal!$BP$6:$BP$505,1))</f>
        <v>0</v>
      </c>
      <c r="I135" s="98" t="n">
        <f aca="false">IF($B135="","",IFERROR(H135/C135,0))</f>
        <v>0</v>
      </c>
      <c r="J135" s="99" t="n">
        <f aca="false">IF($B135="","",SUMIFS(Journal!$AM$6:$AM$505,Journal!$AS$6:$AS$505,$B135,Journal!$BP$6:$BP$505,1))</f>
        <v>0</v>
      </c>
      <c r="K135" s="100" t="str">
        <f aca="false">IF($B135="","",IFERROR(SUMIFS(Journal!$AM$6:$AM$505,Journal!$AS$6:$AS$505,$B135,Journal!$BP$6:$BP$505,1,Journal!$AM$6:$AM$505,"&gt;0")/ABS(SUMIFS(Journal!$AM$6:$AM$505,Journal!$AS$6:$AS$505,$B135,Journal!$BP$6:$BP$505,1,Journal!$AM$6:$AM$505,"&lt;0")),"-"))</f>
        <v>-</v>
      </c>
    </row>
    <row r="138" customFormat="false" ht="21.75" hidden="false" customHeight="true" outlineLevel="0" collapsed="false">
      <c r="B138" s="93" t="s">
        <v>262</v>
      </c>
      <c r="C138" s="94"/>
      <c r="D138" s="94"/>
      <c r="E138" s="94"/>
      <c r="F138" s="94"/>
      <c r="G138" s="94"/>
      <c r="H138" s="94"/>
      <c r="I138" s="94"/>
      <c r="J138" s="94"/>
      <c r="K138" s="94"/>
    </row>
    <row r="139" customFormat="false" ht="25.5" hidden="false" customHeight="true" outlineLevel="0" collapsed="false">
      <c r="B139" s="58" t="s">
        <v>237</v>
      </c>
      <c r="C139" s="58" t="s">
        <v>218</v>
      </c>
      <c r="D139" s="58" t="s">
        <v>227</v>
      </c>
      <c r="E139" s="58" t="s">
        <v>228</v>
      </c>
      <c r="F139" s="58" t="s">
        <v>229</v>
      </c>
      <c r="G139" s="58" t="s">
        <v>230</v>
      </c>
      <c r="H139" s="58" t="s">
        <v>231</v>
      </c>
      <c r="I139" s="58" t="s">
        <v>232</v>
      </c>
      <c r="J139" s="58" t="s">
        <v>165</v>
      </c>
      <c r="K139" s="58" t="s">
        <v>233</v>
      </c>
    </row>
    <row r="140" customFormat="false" ht="15" hidden="false" customHeight="false" outlineLevel="0" collapsed="false">
      <c r="B140" s="13" t="s">
        <v>263</v>
      </c>
      <c r="C140" s="96" t="n">
        <f aca="false">IF($B140="","",D140+E140+F140)</f>
        <v>0</v>
      </c>
      <c r="D140" s="96" t="n">
        <f aca="false">IF($B140="","",COUNTIFS(Journal!$AR$6:$AR$505,$B140,Journal!$AL$6:$AL$505,"Win",Journal!$BP$6:$BP$505,1))</f>
        <v>0</v>
      </c>
      <c r="E140" s="96" t="n">
        <f aca="false">IF($B140="","",COUNTIFS(Journal!$AR$6:$AR$505,$B140,Journal!$AL$6:$AL$505,"Loss",Journal!$BP$6:$BP$505,1))</f>
        <v>0</v>
      </c>
      <c r="F140" s="96" t="n">
        <f aca="false">IF($B140="","",COUNTIFS(Journal!$AR$6:$AR$505,$B140,Journal!$AL$6:$AL$505,"BE",Journal!$BP$6:$BP$505,1))</f>
        <v>0</v>
      </c>
      <c r="G140" s="97" t="n">
        <f aca="false">IF($B140="","",IFERROR(D140/C140,0))</f>
        <v>0</v>
      </c>
      <c r="H140" s="98" t="n">
        <f aca="false">IF($B140="","",SUMIFS(Journal!$AK$6:$AK$505,Journal!$AR$6:$AR$505,$B140,Journal!$BP$6:$BP$505,1))</f>
        <v>0</v>
      </c>
      <c r="I140" s="98" t="n">
        <f aca="false">IF($B140="","",IFERROR(H140/C140,0))</f>
        <v>0</v>
      </c>
      <c r="J140" s="99" t="n">
        <f aca="false">IF($B140="","",SUMIFS(Journal!$AM$6:$AM$505,Journal!$AR$6:$AR$505,$B140,Journal!$BP$6:$BP$505,1))</f>
        <v>0</v>
      </c>
      <c r="K140" s="100" t="str">
        <f aca="false">IF($B140="","",IFERROR(SUMIFS(Journal!$AM$6:$AM$505,Journal!$AR$6:$AR$505,$B140,Journal!$BP$6:$BP$505,1,Journal!$AM$6:$AM$505,"&gt;0")/ABS(SUMIFS(Journal!$AM$6:$AM$505,Journal!$AR$6:$AR$505,$B140,Journal!$BP$6:$BP$505,1,Journal!$AM$6:$AM$505,"&lt;0")),"-"))</f>
        <v>-</v>
      </c>
    </row>
    <row r="141" customFormat="false" ht="15" hidden="false" customHeight="false" outlineLevel="0" collapsed="false">
      <c r="B141" s="13" t="s">
        <v>264</v>
      </c>
      <c r="C141" s="96" t="n">
        <f aca="false">IF($B141="","",D141+E141+F141)</f>
        <v>0</v>
      </c>
      <c r="D141" s="96" t="n">
        <f aca="false">IF($B141="","",COUNTIFS(Journal!$AR$6:$AR$505,$B141,Journal!$AL$6:$AL$505,"Win",Journal!$BP$6:$BP$505,1))</f>
        <v>0</v>
      </c>
      <c r="E141" s="96" t="n">
        <f aca="false">IF($B141="","",COUNTIFS(Journal!$AR$6:$AR$505,$B141,Journal!$AL$6:$AL$505,"Loss",Journal!$BP$6:$BP$505,1))</f>
        <v>0</v>
      </c>
      <c r="F141" s="96" t="n">
        <f aca="false">IF($B141="","",COUNTIFS(Journal!$AR$6:$AR$505,$B141,Journal!$AL$6:$AL$505,"BE",Journal!$BP$6:$BP$505,1))</f>
        <v>0</v>
      </c>
      <c r="G141" s="97" t="n">
        <f aca="false">IF($B141="","",IFERROR(D141/C141,0))</f>
        <v>0</v>
      </c>
      <c r="H141" s="98" t="n">
        <f aca="false">IF($B141="","",SUMIFS(Journal!$AK$6:$AK$505,Journal!$AR$6:$AR$505,$B141,Journal!$BP$6:$BP$505,1))</f>
        <v>0</v>
      </c>
      <c r="I141" s="98" t="n">
        <f aca="false">IF($B141="","",IFERROR(H141/C141,0))</f>
        <v>0</v>
      </c>
      <c r="J141" s="99" t="n">
        <f aca="false">IF($B141="","",SUMIFS(Journal!$AM$6:$AM$505,Journal!$AR$6:$AR$505,$B141,Journal!$BP$6:$BP$505,1))</f>
        <v>0</v>
      </c>
      <c r="K141" s="100" t="str">
        <f aca="false">IF($B141="","",IFERROR(SUMIFS(Journal!$AM$6:$AM$505,Journal!$AR$6:$AR$505,$B141,Journal!$BP$6:$BP$505,1,Journal!$AM$6:$AM$505,"&gt;0")/ABS(SUMIFS(Journal!$AM$6:$AM$505,Journal!$AR$6:$AR$505,$B141,Journal!$BP$6:$BP$505,1,Journal!$AM$6:$AM$505,"&lt;0")),"-"))</f>
        <v>-</v>
      </c>
    </row>
    <row r="142" customFormat="false" ht="15" hidden="false" customHeight="false" outlineLevel="0" collapsed="false">
      <c r="B142" s="13" t="s">
        <v>265</v>
      </c>
      <c r="C142" s="96" t="n">
        <f aca="false">IF($B142="","",D142+E142+F142)</f>
        <v>0</v>
      </c>
      <c r="D142" s="96" t="n">
        <f aca="false">IF($B142="","",COUNTIFS(Journal!$AR$6:$AR$505,$B142,Journal!$AL$6:$AL$505,"Win",Journal!$BP$6:$BP$505,1))</f>
        <v>0</v>
      </c>
      <c r="E142" s="96" t="n">
        <f aca="false">IF($B142="","",COUNTIFS(Journal!$AR$6:$AR$505,$B142,Journal!$AL$6:$AL$505,"Loss",Journal!$BP$6:$BP$505,1))</f>
        <v>0</v>
      </c>
      <c r="F142" s="96" t="n">
        <f aca="false">IF($B142="","",COUNTIFS(Journal!$AR$6:$AR$505,$B142,Journal!$AL$6:$AL$505,"BE",Journal!$BP$6:$BP$505,1))</f>
        <v>0</v>
      </c>
      <c r="G142" s="97" t="n">
        <f aca="false">IF($B142="","",IFERROR(D142/C142,0))</f>
        <v>0</v>
      </c>
      <c r="H142" s="98" t="n">
        <f aca="false">IF($B142="","",SUMIFS(Journal!$AK$6:$AK$505,Journal!$AR$6:$AR$505,$B142,Journal!$BP$6:$BP$505,1))</f>
        <v>0</v>
      </c>
      <c r="I142" s="98" t="n">
        <f aca="false">IF($B142="","",IFERROR(H142/C142,0))</f>
        <v>0</v>
      </c>
      <c r="J142" s="99" t="n">
        <f aca="false">IF($B142="","",SUMIFS(Journal!$AM$6:$AM$505,Journal!$AR$6:$AR$505,$B142,Journal!$BP$6:$BP$505,1))</f>
        <v>0</v>
      </c>
      <c r="K142" s="100" t="str">
        <f aca="false">IF($B142="","",IFERROR(SUMIFS(Journal!$AM$6:$AM$505,Journal!$AR$6:$AR$505,$B142,Journal!$BP$6:$BP$505,1,Journal!$AM$6:$AM$505,"&gt;0")/ABS(SUMIFS(Journal!$AM$6:$AM$505,Journal!$AR$6:$AR$505,$B142,Journal!$BP$6:$BP$505,1,Journal!$AM$6:$AM$505,"&lt;0")),"-"))</f>
        <v>-</v>
      </c>
    </row>
    <row r="143" customFormat="false" ht="15" hidden="false" customHeight="false" outlineLevel="0" collapsed="false">
      <c r="B143" s="13" t="s">
        <v>266</v>
      </c>
      <c r="C143" s="96" t="n">
        <f aca="false">IF($B143="","",D143+E143+F143)</f>
        <v>0</v>
      </c>
      <c r="D143" s="96" t="n">
        <f aca="false">IF($B143="","",COUNTIFS(Journal!$AR$6:$AR$505,$B143,Journal!$AL$6:$AL$505,"Win",Journal!$BP$6:$BP$505,1))</f>
        <v>0</v>
      </c>
      <c r="E143" s="96" t="n">
        <f aca="false">IF($B143="","",COUNTIFS(Journal!$AR$6:$AR$505,$B143,Journal!$AL$6:$AL$505,"Loss",Journal!$BP$6:$BP$505,1))</f>
        <v>0</v>
      </c>
      <c r="F143" s="96" t="n">
        <f aca="false">IF($B143="","",COUNTIFS(Journal!$AR$6:$AR$505,$B143,Journal!$AL$6:$AL$505,"BE",Journal!$BP$6:$BP$505,1))</f>
        <v>0</v>
      </c>
      <c r="G143" s="97" t="n">
        <f aca="false">IF($B143="","",IFERROR(D143/C143,0))</f>
        <v>0</v>
      </c>
      <c r="H143" s="98" t="n">
        <f aca="false">IF($B143="","",SUMIFS(Journal!$AK$6:$AK$505,Journal!$AR$6:$AR$505,$B143,Journal!$BP$6:$BP$505,1))</f>
        <v>0</v>
      </c>
      <c r="I143" s="98" t="n">
        <f aca="false">IF($B143="","",IFERROR(H143/C143,0))</f>
        <v>0</v>
      </c>
      <c r="J143" s="99" t="n">
        <f aca="false">IF($B143="","",SUMIFS(Journal!$AM$6:$AM$505,Journal!$AR$6:$AR$505,$B143,Journal!$BP$6:$BP$505,1))</f>
        <v>0</v>
      </c>
      <c r="K143" s="100" t="str">
        <f aca="false">IF($B143="","",IFERROR(SUMIFS(Journal!$AM$6:$AM$505,Journal!$AR$6:$AR$505,$B143,Journal!$BP$6:$BP$505,1,Journal!$AM$6:$AM$505,"&gt;0")/ABS(SUMIFS(Journal!$AM$6:$AM$505,Journal!$AR$6:$AR$505,$B143,Journal!$BP$6:$BP$505,1,Journal!$AM$6:$AM$505,"&lt;0")),"-"))</f>
        <v>-</v>
      </c>
    </row>
    <row r="146" customFormat="false" ht="21.75" hidden="false" customHeight="true" outlineLevel="0" collapsed="false">
      <c r="B146" s="102" t="s">
        <v>181</v>
      </c>
      <c r="C146" s="17"/>
      <c r="D146" s="17"/>
      <c r="E146" s="17"/>
      <c r="F146" s="17"/>
      <c r="G146" s="17"/>
      <c r="H146" s="17"/>
      <c r="I146" s="17"/>
      <c r="J146" s="17"/>
      <c r="K146" s="17"/>
    </row>
    <row r="147" customFormat="false" ht="25.5" hidden="false" customHeight="true" outlineLevel="0" collapsed="false">
      <c r="B147" s="58" t="s">
        <v>181</v>
      </c>
      <c r="C147" s="58" t="s">
        <v>218</v>
      </c>
      <c r="D147" s="58" t="s">
        <v>227</v>
      </c>
      <c r="E147" s="58" t="s">
        <v>228</v>
      </c>
      <c r="F147" s="58" t="s">
        <v>229</v>
      </c>
      <c r="G147" s="58" t="s">
        <v>230</v>
      </c>
      <c r="H147" s="58" t="s">
        <v>231</v>
      </c>
      <c r="I147" s="58" t="s">
        <v>232</v>
      </c>
      <c r="J147" s="58" t="s">
        <v>165</v>
      </c>
      <c r="K147" s="58" t="s">
        <v>233</v>
      </c>
    </row>
    <row r="148" customFormat="false" ht="15" hidden="false" customHeight="false" outlineLevel="0" collapsed="false">
      <c r="B148" s="13" t="str">
        <f aca="false">IF(Lists!$K$6="","",Lists!$K$6)</f>
        <v>Calm / Focused</v>
      </c>
      <c r="C148" s="96" t="n">
        <f aca="false">IF($B148="","",D148+E148+F148)</f>
        <v>1</v>
      </c>
      <c r="D148" s="96" t="n">
        <f aca="false">IF($B148="","",COUNTIFS(Journal!$BC$6:$BC$505,$B148,Journal!$AL$6:$AL$505,"Win",Journal!$BP$6:$BP$505,1))</f>
        <v>1</v>
      </c>
      <c r="E148" s="96" t="n">
        <f aca="false">IF($B148="","",COUNTIFS(Journal!$BC$6:$BC$505,$B148,Journal!$AL$6:$AL$505,"Loss",Journal!$BP$6:$BP$505,1))</f>
        <v>0</v>
      </c>
      <c r="F148" s="96" t="n">
        <f aca="false">IF($B148="","",COUNTIFS(Journal!$BC$6:$BC$505,$B148,Journal!$AL$6:$AL$505,"BE",Journal!$BP$6:$BP$505,1))</f>
        <v>0</v>
      </c>
      <c r="G148" s="97" t="n">
        <f aca="false">IF($B148="","",IFERROR(D148/C148,0))</f>
        <v>1</v>
      </c>
      <c r="H148" s="98" t="n">
        <f aca="false">IF($B148="","",SUMIFS(Journal!$AK$6:$AK$505,Journal!$BC$6:$BC$505,$B148,Journal!$BP$6:$BP$505,1))</f>
        <v>2.33</v>
      </c>
      <c r="I148" s="98" t="n">
        <f aca="false">IF($B148="","",IFERROR(H148/C148,0))</f>
        <v>2.33</v>
      </c>
      <c r="J148" s="99" t="n">
        <f aca="false">IF($B148="","",SUMIFS(Journal!$AM$6:$AM$505,Journal!$BC$6:$BC$505,$B148,Journal!$BP$6:$BP$505,1))</f>
        <v>229.5</v>
      </c>
      <c r="K148" s="100" t="str">
        <f aca="false">IF($B148="","",IFERROR(SUMIFS(Journal!$AM$6:$AM$505,Journal!$BC$6:$BC$505,$B148,Journal!$BP$6:$BP$505,1,Journal!$AM$6:$AM$505,"&gt;0")/ABS(SUMIFS(Journal!$AM$6:$AM$505,Journal!$BC$6:$BC$505,$B148,Journal!$BP$6:$BP$505,1,Journal!$AM$6:$AM$505,"&lt;0")),"-"))</f>
        <v>-</v>
      </c>
    </row>
    <row r="149" customFormat="false" ht="15" hidden="false" customHeight="false" outlineLevel="0" collapsed="false">
      <c r="B149" s="13" t="str">
        <f aca="false">IF(Lists!$K$7="","",Lists!$K$7)</f>
        <v>Confident</v>
      </c>
      <c r="C149" s="96" t="n">
        <f aca="false">IF($B149="","",D149+E149+F149)</f>
        <v>0</v>
      </c>
      <c r="D149" s="96" t="n">
        <f aca="false">IF($B149="","",COUNTIFS(Journal!$BC$6:$BC$505,$B149,Journal!$AL$6:$AL$505,"Win",Journal!$BP$6:$BP$505,1))</f>
        <v>0</v>
      </c>
      <c r="E149" s="96" t="n">
        <f aca="false">IF($B149="","",COUNTIFS(Journal!$BC$6:$BC$505,$B149,Journal!$AL$6:$AL$505,"Loss",Journal!$BP$6:$BP$505,1))</f>
        <v>0</v>
      </c>
      <c r="F149" s="96" t="n">
        <f aca="false">IF($B149="","",COUNTIFS(Journal!$BC$6:$BC$505,$B149,Journal!$AL$6:$AL$505,"BE",Journal!$BP$6:$BP$505,1))</f>
        <v>0</v>
      </c>
      <c r="G149" s="97" t="n">
        <f aca="false">IF($B149="","",IFERROR(D149/C149,0))</f>
        <v>0</v>
      </c>
      <c r="H149" s="98" t="n">
        <f aca="false">IF($B149="","",SUMIFS(Journal!$AK$6:$AK$505,Journal!$BC$6:$BC$505,$B149,Journal!$BP$6:$BP$505,1))</f>
        <v>0</v>
      </c>
      <c r="I149" s="98" t="n">
        <f aca="false">IF($B149="","",IFERROR(H149/C149,0))</f>
        <v>0</v>
      </c>
      <c r="J149" s="99" t="n">
        <f aca="false">IF($B149="","",SUMIFS(Journal!$AM$6:$AM$505,Journal!$BC$6:$BC$505,$B149,Journal!$BP$6:$BP$505,1))</f>
        <v>0</v>
      </c>
      <c r="K149" s="100" t="str">
        <f aca="false">IF($B149="","",IFERROR(SUMIFS(Journal!$AM$6:$AM$505,Journal!$BC$6:$BC$505,$B149,Journal!$BP$6:$BP$505,1,Journal!$AM$6:$AM$505,"&gt;0")/ABS(SUMIFS(Journal!$AM$6:$AM$505,Journal!$BC$6:$BC$505,$B149,Journal!$BP$6:$BP$505,1,Journal!$AM$6:$AM$505,"&lt;0")),"-"))</f>
        <v>-</v>
      </c>
    </row>
    <row r="150" customFormat="false" ht="15" hidden="false" customHeight="false" outlineLevel="0" collapsed="false">
      <c r="B150" s="13" t="str">
        <f aca="false">IF(Lists!$K$8="","",Lists!$K$8)</f>
        <v>Fearful</v>
      </c>
      <c r="C150" s="96" t="n">
        <f aca="false">IF($B150="","",D150+E150+F150)</f>
        <v>0</v>
      </c>
      <c r="D150" s="96" t="n">
        <f aca="false">IF($B150="","",COUNTIFS(Journal!$BC$6:$BC$505,$B150,Journal!$AL$6:$AL$505,"Win",Journal!$BP$6:$BP$505,1))</f>
        <v>0</v>
      </c>
      <c r="E150" s="96" t="n">
        <f aca="false">IF($B150="","",COUNTIFS(Journal!$BC$6:$BC$505,$B150,Journal!$AL$6:$AL$505,"Loss",Journal!$BP$6:$BP$505,1))</f>
        <v>0</v>
      </c>
      <c r="F150" s="96" t="n">
        <f aca="false">IF($B150="","",COUNTIFS(Journal!$BC$6:$BC$505,$B150,Journal!$AL$6:$AL$505,"BE",Journal!$BP$6:$BP$505,1))</f>
        <v>0</v>
      </c>
      <c r="G150" s="97" t="n">
        <f aca="false">IF($B150="","",IFERROR(D150/C150,0))</f>
        <v>0</v>
      </c>
      <c r="H150" s="98" t="n">
        <f aca="false">IF($B150="","",SUMIFS(Journal!$AK$6:$AK$505,Journal!$BC$6:$BC$505,$B150,Journal!$BP$6:$BP$505,1))</f>
        <v>0</v>
      </c>
      <c r="I150" s="98" t="n">
        <f aca="false">IF($B150="","",IFERROR(H150/C150,0))</f>
        <v>0</v>
      </c>
      <c r="J150" s="99" t="n">
        <f aca="false">IF($B150="","",SUMIFS(Journal!$AM$6:$AM$505,Journal!$BC$6:$BC$505,$B150,Journal!$BP$6:$BP$505,1))</f>
        <v>0</v>
      </c>
      <c r="K150" s="100" t="str">
        <f aca="false">IF($B150="","",IFERROR(SUMIFS(Journal!$AM$6:$AM$505,Journal!$BC$6:$BC$505,$B150,Journal!$BP$6:$BP$505,1,Journal!$AM$6:$AM$505,"&gt;0")/ABS(SUMIFS(Journal!$AM$6:$AM$505,Journal!$BC$6:$BC$505,$B150,Journal!$BP$6:$BP$505,1,Journal!$AM$6:$AM$505,"&lt;0")),"-"))</f>
        <v>-</v>
      </c>
    </row>
    <row r="151" customFormat="false" ht="15" hidden="false" customHeight="false" outlineLevel="0" collapsed="false">
      <c r="B151" s="13" t="str">
        <f aca="false">IF(Lists!$K$9="","",Lists!$K$9)</f>
        <v>Greedy / FOMO</v>
      </c>
      <c r="C151" s="96" t="n">
        <f aca="false">IF($B151="","",D151+E151+F151)</f>
        <v>0</v>
      </c>
      <c r="D151" s="96" t="n">
        <f aca="false">IF($B151="","",COUNTIFS(Journal!$BC$6:$BC$505,$B151,Journal!$AL$6:$AL$505,"Win",Journal!$BP$6:$BP$505,1))</f>
        <v>0</v>
      </c>
      <c r="E151" s="96" t="n">
        <f aca="false">IF($B151="","",COUNTIFS(Journal!$BC$6:$BC$505,$B151,Journal!$AL$6:$AL$505,"Loss",Journal!$BP$6:$BP$505,1))</f>
        <v>0</v>
      </c>
      <c r="F151" s="96" t="n">
        <f aca="false">IF($B151="","",COUNTIFS(Journal!$BC$6:$BC$505,$B151,Journal!$AL$6:$AL$505,"BE",Journal!$BP$6:$BP$505,1))</f>
        <v>0</v>
      </c>
      <c r="G151" s="97" t="n">
        <f aca="false">IF($B151="","",IFERROR(D151/C151,0))</f>
        <v>0</v>
      </c>
      <c r="H151" s="98" t="n">
        <f aca="false">IF($B151="","",SUMIFS(Journal!$AK$6:$AK$505,Journal!$BC$6:$BC$505,$B151,Journal!$BP$6:$BP$505,1))</f>
        <v>0</v>
      </c>
      <c r="I151" s="98" t="n">
        <f aca="false">IF($B151="","",IFERROR(H151/C151,0))</f>
        <v>0</v>
      </c>
      <c r="J151" s="99" t="n">
        <f aca="false">IF($B151="","",SUMIFS(Journal!$AM$6:$AM$505,Journal!$BC$6:$BC$505,$B151,Journal!$BP$6:$BP$505,1))</f>
        <v>0</v>
      </c>
      <c r="K151" s="100" t="str">
        <f aca="false">IF($B151="","",IFERROR(SUMIFS(Journal!$AM$6:$AM$505,Journal!$BC$6:$BC$505,$B151,Journal!$BP$6:$BP$505,1,Journal!$AM$6:$AM$505,"&gt;0")/ABS(SUMIFS(Journal!$AM$6:$AM$505,Journal!$BC$6:$BC$505,$B151,Journal!$BP$6:$BP$505,1,Journal!$AM$6:$AM$505,"&lt;0")),"-"))</f>
        <v>-</v>
      </c>
    </row>
    <row r="152" customFormat="false" ht="15" hidden="false" customHeight="false" outlineLevel="0" collapsed="false">
      <c r="B152" s="13" t="str">
        <f aca="false">IF(Lists!$K$10="","",Lists!$K$10)</f>
        <v>Anxious</v>
      </c>
      <c r="C152" s="96" t="n">
        <f aca="false">IF($B152="","",D152+E152+F152)</f>
        <v>0</v>
      </c>
      <c r="D152" s="96" t="n">
        <f aca="false">IF($B152="","",COUNTIFS(Journal!$BC$6:$BC$505,$B152,Journal!$AL$6:$AL$505,"Win",Journal!$BP$6:$BP$505,1))</f>
        <v>0</v>
      </c>
      <c r="E152" s="96" t="n">
        <f aca="false">IF($B152="","",COUNTIFS(Journal!$BC$6:$BC$505,$B152,Journal!$AL$6:$AL$505,"Loss",Journal!$BP$6:$BP$505,1))</f>
        <v>0</v>
      </c>
      <c r="F152" s="96" t="n">
        <f aca="false">IF($B152="","",COUNTIFS(Journal!$BC$6:$BC$505,$B152,Journal!$AL$6:$AL$505,"BE",Journal!$BP$6:$BP$505,1))</f>
        <v>0</v>
      </c>
      <c r="G152" s="97" t="n">
        <f aca="false">IF($B152="","",IFERROR(D152/C152,0))</f>
        <v>0</v>
      </c>
      <c r="H152" s="98" t="n">
        <f aca="false">IF($B152="","",SUMIFS(Journal!$AK$6:$AK$505,Journal!$BC$6:$BC$505,$B152,Journal!$BP$6:$BP$505,1))</f>
        <v>0</v>
      </c>
      <c r="I152" s="98" t="n">
        <f aca="false">IF($B152="","",IFERROR(H152/C152,0))</f>
        <v>0</v>
      </c>
      <c r="J152" s="99" t="n">
        <f aca="false">IF($B152="","",SUMIFS(Journal!$AM$6:$AM$505,Journal!$BC$6:$BC$505,$B152,Journal!$BP$6:$BP$505,1))</f>
        <v>0</v>
      </c>
      <c r="K152" s="100" t="str">
        <f aca="false">IF($B152="","",IFERROR(SUMIFS(Journal!$AM$6:$AM$505,Journal!$BC$6:$BC$505,$B152,Journal!$BP$6:$BP$505,1,Journal!$AM$6:$AM$505,"&gt;0")/ABS(SUMIFS(Journal!$AM$6:$AM$505,Journal!$BC$6:$BC$505,$B152,Journal!$BP$6:$BP$505,1,Journal!$AM$6:$AM$505,"&lt;0")),"-"))</f>
        <v>-</v>
      </c>
    </row>
    <row r="153" customFormat="false" ht="15" hidden="false" customHeight="false" outlineLevel="0" collapsed="false">
      <c r="B153" s="13" t="str">
        <f aca="false">IF(Lists!$K$11="","",Lists!$K$11)</f>
        <v>Bored</v>
      </c>
      <c r="C153" s="96" t="n">
        <f aca="false">IF($B153="","",D153+E153+F153)</f>
        <v>0</v>
      </c>
      <c r="D153" s="96" t="n">
        <f aca="false">IF($B153="","",COUNTIFS(Journal!$BC$6:$BC$505,$B153,Journal!$AL$6:$AL$505,"Win",Journal!$BP$6:$BP$505,1))</f>
        <v>0</v>
      </c>
      <c r="E153" s="96" t="n">
        <f aca="false">IF($B153="","",COUNTIFS(Journal!$BC$6:$BC$505,$B153,Journal!$AL$6:$AL$505,"Loss",Journal!$BP$6:$BP$505,1))</f>
        <v>0</v>
      </c>
      <c r="F153" s="96" t="n">
        <f aca="false">IF($B153="","",COUNTIFS(Journal!$BC$6:$BC$505,$B153,Journal!$AL$6:$AL$505,"BE",Journal!$BP$6:$BP$505,1))</f>
        <v>0</v>
      </c>
      <c r="G153" s="97" t="n">
        <f aca="false">IF($B153="","",IFERROR(D153/C153,0))</f>
        <v>0</v>
      </c>
      <c r="H153" s="98" t="n">
        <f aca="false">IF($B153="","",SUMIFS(Journal!$AK$6:$AK$505,Journal!$BC$6:$BC$505,$B153,Journal!$BP$6:$BP$505,1))</f>
        <v>0</v>
      </c>
      <c r="I153" s="98" t="n">
        <f aca="false">IF($B153="","",IFERROR(H153/C153,0))</f>
        <v>0</v>
      </c>
      <c r="J153" s="99" t="n">
        <f aca="false">IF($B153="","",SUMIFS(Journal!$AM$6:$AM$505,Journal!$BC$6:$BC$505,$B153,Journal!$BP$6:$BP$505,1))</f>
        <v>0</v>
      </c>
      <c r="K153" s="100" t="str">
        <f aca="false">IF($B153="","",IFERROR(SUMIFS(Journal!$AM$6:$AM$505,Journal!$BC$6:$BC$505,$B153,Journal!$BP$6:$BP$505,1,Journal!$AM$6:$AM$505,"&gt;0")/ABS(SUMIFS(Journal!$AM$6:$AM$505,Journal!$BC$6:$BC$505,$B153,Journal!$BP$6:$BP$505,1,Journal!$AM$6:$AM$505,"&lt;0")),"-"))</f>
        <v>-</v>
      </c>
    </row>
    <row r="154" customFormat="false" ht="15" hidden="false" customHeight="false" outlineLevel="0" collapsed="false">
      <c r="B154" s="13" t="str">
        <f aca="false">IF(Lists!$K$12="","",Lists!$K$12)</f>
        <v>Revenge</v>
      </c>
      <c r="C154" s="96" t="n">
        <f aca="false">IF($B154="","",D154+E154+F154)</f>
        <v>0</v>
      </c>
      <c r="D154" s="96" t="n">
        <f aca="false">IF($B154="","",COUNTIFS(Journal!$BC$6:$BC$505,$B154,Journal!$AL$6:$AL$505,"Win",Journal!$BP$6:$BP$505,1))</f>
        <v>0</v>
      </c>
      <c r="E154" s="96" t="n">
        <f aca="false">IF($B154="","",COUNTIFS(Journal!$BC$6:$BC$505,$B154,Journal!$AL$6:$AL$505,"Loss",Journal!$BP$6:$BP$505,1))</f>
        <v>0</v>
      </c>
      <c r="F154" s="96" t="n">
        <f aca="false">IF($B154="","",COUNTIFS(Journal!$BC$6:$BC$505,$B154,Journal!$AL$6:$AL$505,"BE",Journal!$BP$6:$BP$505,1))</f>
        <v>0</v>
      </c>
      <c r="G154" s="97" t="n">
        <f aca="false">IF($B154="","",IFERROR(D154/C154,0))</f>
        <v>0</v>
      </c>
      <c r="H154" s="98" t="n">
        <f aca="false">IF($B154="","",SUMIFS(Journal!$AK$6:$AK$505,Journal!$BC$6:$BC$505,$B154,Journal!$BP$6:$BP$505,1))</f>
        <v>0</v>
      </c>
      <c r="I154" s="98" t="n">
        <f aca="false">IF($B154="","",IFERROR(H154/C154,0))</f>
        <v>0</v>
      </c>
      <c r="J154" s="99" t="n">
        <f aca="false">IF($B154="","",SUMIFS(Journal!$AM$6:$AM$505,Journal!$BC$6:$BC$505,$B154,Journal!$BP$6:$BP$505,1))</f>
        <v>0</v>
      </c>
      <c r="K154" s="100" t="str">
        <f aca="false">IF($B154="","",IFERROR(SUMIFS(Journal!$AM$6:$AM$505,Journal!$BC$6:$BC$505,$B154,Journal!$BP$6:$BP$505,1,Journal!$AM$6:$AM$505,"&gt;0")/ABS(SUMIFS(Journal!$AM$6:$AM$505,Journal!$BC$6:$BC$505,$B154,Journal!$BP$6:$BP$505,1,Journal!$AM$6:$AM$505,"&lt;0")),"-"))</f>
        <v>-</v>
      </c>
    </row>
    <row r="155" customFormat="false" ht="15" hidden="false" customHeight="false" outlineLevel="0" collapsed="false">
      <c r="B155" s="13" t="str">
        <f aca="false">IF(Lists!$K$13="","",Lists!$K$13)</f>
        <v>Overconfident</v>
      </c>
      <c r="C155" s="96" t="n">
        <f aca="false">IF($B155="","",D155+E155+F155)</f>
        <v>0</v>
      </c>
      <c r="D155" s="96" t="n">
        <f aca="false">IF($B155="","",COUNTIFS(Journal!$BC$6:$BC$505,$B155,Journal!$AL$6:$AL$505,"Win",Journal!$BP$6:$BP$505,1))</f>
        <v>0</v>
      </c>
      <c r="E155" s="96" t="n">
        <f aca="false">IF($B155="","",COUNTIFS(Journal!$BC$6:$BC$505,$B155,Journal!$AL$6:$AL$505,"Loss",Journal!$BP$6:$BP$505,1))</f>
        <v>0</v>
      </c>
      <c r="F155" s="96" t="n">
        <f aca="false">IF($B155="","",COUNTIFS(Journal!$BC$6:$BC$505,$B155,Journal!$AL$6:$AL$505,"BE",Journal!$BP$6:$BP$505,1))</f>
        <v>0</v>
      </c>
      <c r="G155" s="97" t="n">
        <f aca="false">IF($B155="","",IFERROR(D155/C155,0))</f>
        <v>0</v>
      </c>
      <c r="H155" s="98" t="n">
        <f aca="false">IF($B155="","",SUMIFS(Journal!$AK$6:$AK$505,Journal!$BC$6:$BC$505,$B155,Journal!$BP$6:$BP$505,1))</f>
        <v>0</v>
      </c>
      <c r="I155" s="98" t="n">
        <f aca="false">IF($B155="","",IFERROR(H155/C155,0))</f>
        <v>0</v>
      </c>
      <c r="J155" s="99" t="n">
        <f aca="false">IF($B155="","",SUMIFS(Journal!$AM$6:$AM$505,Journal!$BC$6:$BC$505,$B155,Journal!$BP$6:$BP$505,1))</f>
        <v>0</v>
      </c>
      <c r="K155" s="100" t="str">
        <f aca="false">IF($B155="","",IFERROR(SUMIFS(Journal!$AM$6:$AM$505,Journal!$BC$6:$BC$505,$B155,Journal!$BP$6:$BP$505,1,Journal!$AM$6:$AM$505,"&gt;0")/ABS(SUMIFS(Journal!$AM$6:$AM$505,Journal!$BC$6:$BC$505,$B155,Journal!$BP$6:$BP$505,1,Journal!$AM$6:$AM$505,"&lt;0")),"-"))</f>
        <v>-</v>
      </c>
    </row>
    <row r="158" customFormat="false" ht="21.75" hidden="false" customHeight="true" outlineLevel="0" collapsed="false">
      <c r="B158" s="103" t="s">
        <v>267</v>
      </c>
      <c r="C158" s="15"/>
      <c r="D158" s="15"/>
      <c r="E158" s="15"/>
      <c r="F158" s="15"/>
      <c r="G158" s="15"/>
      <c r="H158" s="15"/>
      <c r="I158" s="15"/>
      <c r="J158" s="15"/>
      <c r="K158" s="15"/>
    </row>
    <row r="159" customFormat="false" ht="25.5" hidden="false" customHeight="true" outlineLevel="0" collapsed="false">
      <c r="B159" s="58" t="s">
        <v>183</v>
      </c>
      <c r="C159" s="58" t="s">
        <v>218</v>
      </c>
      <c r="D159" s="58" t="s">
        <v>227</v>
      </c>
      <c r="E159" s="58" t="s">
        <v>228</v>
      </c>
      <c r="F159" s="58" t="s">
        <v>229</v>
      </c>
      <c r="G159" s="58" t="s">
        <v>230</v>
      </c>
      <c r="H159" s="58" t="s">
        <v>231</v>
      </c>
      <c r="I159" s="58" t="s">
        <v>232</v>
      </c>
      <c r="J159" s="58" t="s">
        <v>165</v>
      </c>
      <c r="K159" s="58" t="s">
        <v>233</v>
      </c>
    </row>
    <row r="160" customFormat="false" ht="15" hidden="false" customHeight="false" outlineLevel="0" collapsed="false">
      <c r="B160" s="13" t="str">
        <f aca="false">IF(Lists!$L$6="","",Lists!$L$6)</f>
        <v>None (Followed Plan)</v>
      </c>
      <c r="C160" s="96" t="n">
        <f aca="false">IF($B160="","",D160+E160+F160)</f>
        <v>1</v>
      </c>
      <c r="D160" s="96" t="n">
        <f aca="false">IF($B160="","",COUNTIFS(Journal!$BE$6:$BE$505,$B160,Journal!$AL$6:$AL$505,"Win",Journal!$BP$6:$BP$505,1))</f>
        <v>1</v>
      </c>
      <c r="E160" s="96" t="n">
        <f aca="false">IF($B160="","",COUNTIFS(Journal!$BE$6:$BE$505,$B160,Journal!$AL$6:$AL$505,"Loss",Journal!$BP$6:$BP$505,1))</f>
        <v>0</v>
      </c>
      <c r="F160" s="96" t="n">
        <f aca="false">IF($B160="","",COUNTIFS(Journal!$BE$6:$BE$505,$B160,Journal!$AL$6:$AL$505,"BE",Journal!$BP$6:$BP$505,1))</f>
        <v>0</v>
      </c>
      <c r="G160" s="97" t="n">
        <f aca="false">IF($B160="","",IFERROR(D160/C160,0))</f>
        <v>1</v>
      </c>
      <c r="H160" s="98" t="n">
        <f aca="false">IF($B160="","",SUMIFS(Journal!$AK$6:$AK$505,Journal!$BE$6:$BE$505,$B160,Journal!$BP$6:$BP$505,1))</f>
        <v>2.33</v>
      </c>
      <c r="I160" s="98" t="n">
        <f aca="false">IF($B160="","",IFERROR(H160/C160,0))</f>
        <v>2.33</v>
      </c>
      <c r="J160" s="99" t="n">
        <f aca="false">IF($B160="","",SUMIFS(Journal!$AM$6:$AM$505,Journal!$BE$6:$BE$505,$B160,Journal!$BP$6:$BP$505,1))</f>
        <v>229.5</v>
      </c>
      <c r="K160" s="100" t="str">
        <f aca="false">IF($B160="","",IFERROR(SUMIFS(Journal!$AM$6:$AM$505,Journal!$BE$6:$BE$505,$B160,Journal!$BP$6:$BP$505,1,Journal!$AM$6:$AM$505,"&gt;0")/ABS(SUMIFS(Journal!$AM$6:$AM$505,Journal!$BE$6:$BE$505,$B160,Journal!$BP$6:$BP$505,1,Journal!$AM$6:$AM$505,"&lt;0")),"-"))</f>
        <v>-</v>
      </c>
    </row>
    <row r="161" customFormat="false" ht="15" hidden="false" customHeight="false" outlineLevel="0" collapsed="false">
      <c r="B161" s="13" t="str">
        <f aca="false">IF(Lists!$L$7="","",Lists!$L$7)</f>
        <v>Entered Early</v>
      </c>
      <c r="C161" s="96" t="n">
        <f aca="false">IF($B161="","",D161+E161+F161)</f>
        <v>0</v>
      </c>
      <c r="D161" s="96" t="n">
        <f aca="false">IF($B161="","",COUNTIFS(Journal!$BE$6:$BE$505,$B161,Journal!$AL$6:$AL$505,"Win",Journal!$BP$6:$BP$505,1))</f>
        <v>0</v>
      </c>
      <c r="E161" s="96" t="n">
        <f aca="false">IF($B161="","",COUNTIFS(Journal!$BE$6:$BE$505,$B161,Journal!$AL$6:$AL$505,"Loss",Journal!$BP$6:$BP$505,1))</f>
        <v>0</v>
      </c>
      <c r="F161" s="96" t="n">
        <f aca="false">IF($B161="","",COUNTIFS(Journal!$BE$6:$BE$505,$B161,Journal!$AL$6:$AL$505,"BE",Journal!$BP$6:$BP$505,1))</f>
        <v>0</v>
      </c>
      <c r="G161" s="97" t="n">
        <f aca="false">IF($B161="","",IFERROR(D161/C161,0))</f>
        <v>0</v>
      </c>
      <c r="H161" s="98" t="n">
        <f aca="false">IF($B161="","",SUMIFS(Journal!$AK$6:$AK$505,Journal!$BE$6:$BE$505,$B161,Journal!$BP$6:$BP$505,1))</f>
        <v>0</v>
      </c>
      <c r="I161" s="98" t="n">
        <f aca="false">IF($B161="","",IFERROR(H161/C161,0))</f>
        <v>0</v>
      </c>
      <c r="J161" s="99" t="n">
        <f aca="false">IF($B161="","",SUMIFS(Journal!$AM$6:$AM$505,Journal!$BE$6:$BE$505,$B161,Journal!$BP$6:$BP$505,1))</f>
        <v>0</v>
      </c>
      <c r="K161" s="100" t="str">
        <f aca="false">IF($B161="","",IFERROR(SUMIFS(Journal!$AM$6:$AM$505,Journal!$BE$6:$BE$505,$B161,Journal!$BP$6:$BP$505,1,Journal!$AM$6:$AM$505,"&gt;0")/ABS(SUMIFS(Journal!$AM$6:$AM$505,Journal!$BE$6:$BE$505,$B161,Journal!$BP$6:$BP$505,1,Journal!$AM$6:$AM$505,"&lt;0")),"-"))</f>
        <v>-</v>
      </c>
    </row>
    <row r="162" customFormat="false" ht="15" hidden="false" customHeight="false" outlineLevel="0" collapsed="false">
      <c r="B162" s="13" t="str">
        <f aca="false">IF(Lists!$L$8="","",Lists!$L$8)</f>
        <v>Chased Entry</v>
      </c>
      <c r="C162" s="96" t="n">
        <f aca="false">IF($B162="","",D162+E162+F162)</f>
        <v>0</v>
      </c>
      <c r="D162" s="96" t="n">
        <f aca="false">IF($B162="","",COUNTIFS(Journal!$BE$6:$BE$505,$B162,Journal!$AL$6:$AL$505,"Win",Journal!$BP$6:$BP$505,1))</f>
        <v>0</v>
      </c>
      <c r="E162" s="96" t="n">
        <f aca="false">IF($B162="","",COUNTIFS(Journal!$BE$6:$BE$505,$B162,Journal!$AL$6:$AL$505,"Loss",Journal!$BP$6:$BP$505,1))</f>
        <v>0</v>
      </c>
      <c r="F162" s="96" t="n">
        <f aca="false">IF($B162="","",COUNTIFS(Journal!$BE$6:$BE$505,$B162,Journal!$AL$6:$AL$505,"BE",Journal!$BP$6:$BP$505,1))</f>
        <v>0</v>
      </c>
      <c r="G162" s="97" t="n">
        <f aca="false">IF($B162="","",IFERROR(D162/C162,0))</f>
        <v>0</v>
      </c>
      <c r="H162" s="98" t="n">
        <f aca="false">IF($B162="","",SUMIFS(Journal!$AK$6:$AK$505,Journal!$BE$6:$BE$505,$B162,Journal!$BP$6:$BP$505,1))</f>
        <v>0</v>
      </c>
      <c r="I162" s="98" t="n">
        <f aca="false">IF($B162="","",IFERROR(H162/C162,0))</f>
        <v>0</v>
      </c>
      <c r="J162" s="99" t="n">
        <f aca="false">IF($B162="","",SUMIFS(Journal!$AM$6:$AM$505,Journal!$BE$6:$BE$505,$B162,Journal!$BP$6:$BP$505,1))</f>
        <v>0</v>
      </c>
      <c r="K162" s="100" t="str">
        <f aca="false">IF($B162="","",IFERROR(SUMIFS(Journal!$AM$6:$AM$505,Journal!$BE$6:$BE$505,$B162,Journal!$BP$6:$BP$505,1,Journal!$AM$6:$AM$505,"&gt;0")/ABS(SUMIFS(Journal!$AM$6:$AM$505,Journal!$BE$6:$BE$505,$B162,Journal!$BP$6:$BP$505,1,Journal!$AM$6:$AM$505,"&lt;0")),"-"))</f>
        <v>-</v>
      </c>
    </row>
    <row r="163" customFormat="false" ht="15" hidden="false" customHeight="false" outlineLevel="0" collapsed="false">
      <c r="B163" s="13" t="str">
        <f aca="false">IF(Lists!$L$9="","",Lists!$L$9)</f>
        <v>Moved Stop Loss</v>
      </c>
      <c r="C163" s="96" t="n">
        <f aca="false">IF($B163="","",D163+E163+F163)</f>
        <v>0</v>
      </c>
      <c r="D163" s="96" t="n">
        <f aca="false">IF($B163="","",COUNTIFS(Journal!$BE$6:$BE$505,$B163,Journal!$AL$6:$AL$505,"Win",Journal!$BP$6:$BP$505,1))</f>
        <v>0</v>
      </c>
      <c r="E163" s="96" t="n">
        <f aca="false">IF($B163="","",COUNTIFS(Journal!$BE$6:$BE$505,$B163,Journal!$AL$6:$AL$505,"Loss",Journal!$BP$6:$BP$505,1))</f>
        <v>0</v>
      </c>
      <c r="F163" s="96" t="n">
        <f aca="false">IF($B163="","",COUNTIFS(Journal!$BE$6:$BE$505,$B163,Journal!$AL$6:$AL$505,"BE",Journal!$BP$6:$BP$505,1))</f>
        <v>0</v>
      </c>
      <c r="G163" s="97" t="n">
        <f aca="false">IF($B163="","",IFERROR(D163/C163,0))</f>
        <v>0</v>
      </c>
      <c r="H163" s="98" t="n">
        <f aca="false">IF($B163="","",SUMIFS(Journal!$AK$6:$AK$505,Journal!$BE$6:$BE$505,$B163,Journal!$BP$6:$BP$505,1))</f>
        <v>0</v>
      </c>
      <c r="I163" s="98" t="n">
        <f aca="false">IF($B163="","",IFERROR(H163/C163,0))</f>
        <v>0</v>
      </c>
      <c r="J163" s="99" t="n">
        <f aca="false">IF($B163="","",SUMIFS(Journal!$AM$6:$AM$505,Journal!$BE$6:$BE$505,$B163,Journal!$BP$6:$BP$505,1))</f>
        <v>0</v>
      </c>
      <c r="K163" s="100" t="str">
        <f aca="false">IF($B163="","",IFERROR(SUMIFS(Journal!$AM$6:$AM$505,Journal!$BE$6:$BE$505,$B163,Journal!$BP$6:$BP$505,1,Journal!$AM$6:$AM$505,"&gt;0")/ABS(SUMIFS(Journal!$AM$6:$AM$505,Journal!$BE$6:$BE$505,$B163,Journal!$BP$6:$BP$505,1,Journal!$AM$6:$AM$505,"&lt;0")),"-"))</f>
        <v>-</v>
      </c>
    </row>
    <row r="164" customFormat="false" ht="15" hidden="false" customHeight="false" outlineLevel="0" collapsed="false">
      <c r="B164" s="13" t="str">
        <f aca="false">IF(Lists!$L$10="","",Lists!$L$10)</f>
        <v>Closed Early</v>
      </c>
      <c r="C164" s="96" t="n">
        <f aca="false">IF($B164="","",D164+E164+F164)</f>
        <v>0</v>
      </c>
      <c r="D164" s="96" t="n">
        <f aca="false">IF($B164="","",COUNTIFS(Journal!$BE$6:$BE$505,$B164,Journal!$AL$6:$AL$505,"Win",Journal!$BP$6:$BP$505,1))</f>
        <v>0</v>
      </c>
      <c r="E164" s="96" t="n">
        <f aca="false">IF($B164="","",COUNTIFS(Journal!$BE$6:$BE$505,$B164,Journal!$AL$6:$AL$505,"Loss",Journal!$BP$6:$BP$505,1))</f>
        <v>0</v>
      </c>
      <c r="F164" s="96" t="n">
        <f aca="false">IF($B164="","",COUNTIFS(Journal!$BE$6:$BE$505,$B164,Journal!$AL$6:$AL$505,"BE",Journal!$BP$6:$BP$505,1))</f>
        <v>0</v>
      </c>
      <c r="G164" s="97" t="n">
        <f aca="false">IF($B164="","",IFERROR(D164/C164,0))</f>
        <v>0</v>
      </c>
      <c r="H164" s="98" t="n">
        <f aca="false">IF($B164="","",SUMIFS(Journal!$AK$6:$AK$505,Journal!$BE$6:$BE$505,$B164,Journal!$BP$6:$BP$505,1))</f>
        <v>0</v>
      </c>
      <c r="I164" s="98" t="n">
        <f aca="false">IF($B164="","",IFERROR(H164/C164,0))</f>
        <v>0</v>
      </c>
      <c r="J164" s="99" t="n">
        <f aca="false">IF($B164="","",SUMIFS(Journal!$AM$6:$AM$505,Journal!$BE$6:$BE$505,$B164,Journal!$BP$6:$BP$505,1))</f>
        <v>0</v>
      </c>
      <c r="K164" s="100" t="str">
        <f aca="false">IF($B164="","",IFERROR(SUMIFS(Journal!$AM$6:$AM$505,Journal!$BE$6:$BE$505,$B164,Journal!$BP$6:$BP$505,1,Journal!$AM$6:$AM$505,"&gt;0")/ABS(SUMIFS(Journal!$AM$6:$AM$505,Journal!$BE$6:$BE$505,$B164,Journal!$BP$6:$BP$505,1,Journal!$AM$6:$AM$505,"&lt;0")),"-"))</f>
        <v>-</v>
      </c>
    </row>
    <row r="165" customFormat="false" ht="15" hidden="false" customHeight="false" outlineLevel="0" collapsed="false">
      <c r="B165" s="13" t="str">
        <f aca="false">IF(Lists!$L$11="","",Lists!$L$11)</f>
        <v>Held Too Long</v>
      </c>
      <c r="C165" s="96" t="n">
        <f aca="false">IF($B165="","",D165+E165+F165)</f>
        <v>0</v>
      </c>
      <c r="D165" s="96" t="n">
        <f aca="false">IF($B165="","",COUNTIFS(Journal!$BE$6:$BE$505,$B165,Journal!$AL$6:$AL$505,"Win",Journal!$BP$6:$BP$505,1))</f>
        <v>0</v>
      </c>
      <c r="E165" s="96" t="n">
        <f aca="false">IF($B165="","",COUNTIFS(Journal!$BE$6:$BE$505,$B165,Journal!$AL$6:$AL$505,"Loss",Journal!$BP$6:$BP$505,1))</f>
        <v>0</v>
      </c>
      <c r="F165" s="96" t="n">
        <f aca="false">IF($B165="","",COUNTIFS(Journal!$BE$6:$BE$505,$B165,Journal!$AL$6:$AL$505,"BE",Journal!$BP$6:$BP$505,1))</f>
        <v>0</v>
      </c>
      <c r="G165" s="97" t="n">
        <f aca="false">IF($B165="","",IFERROR(D165/C165,0))</f>
        <v>0</v>
      </c>
      <c r="H165" s="98" t="n">
        <f aca="false">IF($B165="","",SUMIFS(Journal!$AK$6:$AK$505,Journal!$BE$6:$BE$505,$B165,Journal!$BP$6:$BP$505,1))</f>
        <v>0</v>
      </c>
      <c r="I165" s="98" t="n">
        <f aca="false">IF($B165="","",IFERROR(H165/C165,0))</f>
        <v>0</v>
      </c>
      <c r="J165" s="99" t="n">
        <f aca="false">IF($B165="","",SUMIFS(Journal!$AM$6:$AM$505,Journal!$BE$6:$BE$505,$B165,Journal!$BP$6:$BP$505,1))</f>
        <v>0</v>
      </c>
      <c r="K165" s="100" t="str">
        <f aca="false">IF($B165="","",IFERROR(SUMIFS(Journal!$AM$6:$AM$505,Journal!$BE$6:$BE$505,$B165,Journal!$BP$6:$BP$505,1,Journal!$AM$6:$AM$505,"&gt;0")/ABS(SUMIFS(Journal!$AM$6:$AM$505,Journal!$BE$6:$BE$505,$B165,Journal!$BP$6:$BP$505,1,Journal!$AM$6:$AM$505,"&lt;0")),"-"))</f>
        <v>-</v>
      </c>
    </row>
    <row r="166" customFormat="false" ht="15" hidden="false" customHeight="false" outlineLevel="0" collapsed="false">
      <c r="B166" s="13" t="str">
        <f aca="false">IF(Lists!$L$12="","",Lists!$L$12)</f>
        <v>Oversized</v>
      </c>
      <c r="C166" s="96" t="n">
        <f aca="false">IF($B166="","",D166+E166+F166)</f>
        <v>0</v>
      </c>
      <c r="D166" s="96" t="n">
        <f aca="false">IF($B166="","",COUNTIFS(Journal!$BE$6:$BE$505,$B166,Journal!$AL$6:$AL$505,"Win",Journal!$BP$6:$BP$505,1))</f>
        <v>0</v>
      </c>
      <c r="E166" s="96" t="n">
        <f aca="false">IF($B166="","",COUNTIFS(Journal!$BE$6:$BE$505,$B166,Journal!$AL$6:$AL$505,"Loss",Journal!$BP$6:$BP$505,1))</f>
        <v>0</v>
      </c>
      <c r="F166" s="96" t="n">
        <f aca="false">IF($B166="","",COUNTIFS(Journal!$BE$6:$BE$505,$B166,Journal!$AL$6:$AL$505,"BE",Journal!$BP$6:$BP$505,1))</f>
        <v>0</v>
      </c>
      <c r="G166" s="97" t="n">
        <f aca="false">IF($B166="","",IFERROR(D166/C166,0))</f>
        <v>0</v>
      </c>
      <c r="H166" s="98" t="n">
        <f aca="false">IF($B166="","",SUMIFS(Journal!$AK$6:$AK$505,Journal!$BE$6:$BE$505,$B166,Journal!$BP$6:$BP$505,1))</f>
        <v>0</v>
      </c>
      <c r="I166" s="98" t="n">
        <f aca="false">IF($B166="","",IFERROR(H166/C166,0))</f>
        <v>0</v>
      </c>
      <c r="J166" s="99" t="n">
        <f aca="false">IF($B166="","",SUMIFS(Journal!$AM$6:$AM$505,Journal!$BE$6:$BE$505,$B166,Journal!$BP$6:$BP$505,1))</f>
        <v>0</v>
      </c>
      <c r="K166" s="100" t="str">
        <f aca="false">IF($B166="","",IFERROR(SUMIFS(Journal!$AM$6:$AM$505,Journal!$BE$6:$BE$505,$B166,Journal!$BP$6:$BP$505,1,Journal!$AM$6:$AM$505,"&gt;0")/ABS(SUMIFS(Journal!$AM$6:$AM$505,Journal!$BE$6:$BE$505,$B166,Journal!$BP$6:$BP$505,1,Journal!$AM$6:$AM$505,"&lt;0")),"-"))</f>
        <v>-</v>
      </c>
    </row>
    <row r="167" customFormat="false" ht="15" hidden="false" customHeight="false" outlineLevel="0" collapsed="false">
      <c r="B167" s="13" t="str">
        <f aca="false">IF(Lists!$L$13="","",Lists!$L$13)</f>
        <v>No Confirmation</v>
      </c>
      <c r="C167" s="96" t="n">
        <f aca="false">IF($B167="","",D167+E167+F167)</f>
        <v>0</v>
      </c>
      <c r="D167" s="96" t="n">
        <f aca="false">IF($B167="","",COUNTIFS(Journal!$BE$6:$BE$505,$B167,Journal!$AL$6:$AL$505,"Win",Journal!$BP$6:$BP$505,1))</f>
        <v>0</v>
      </c>
      <c r="E167" s="96" t="n">
        <f aca="false">IF($B167="","",COUNTIFS(Journal!$BE$6:$BE$505,$B167,Journal!$AL$6:$AL$505,"Loss",Journal!$BP$6:$BP$505,1))</f>
        <v>0</v>
      </c>
      <c r="F167" s="96" t="n">
        <f aca="false">IF($B167="","",COUNTIFS(Journal!$BE$6:$BE$505,$B167,Journal!$AL$6:$AL$505,"BE",Journal!$BP$6:$BP$505,1))</f>
        <v>0</v>
      </c>
      <c r="G167" s="97" t="n">
        <f aca="false">IF($B167="","",IFERROR(D167/C167,0))</f>
        <v>0</v>
      </c>
      <c r="H167" s="98" t="n">
        <f aca="false">IF($B167="","",SUMIFS(Journal!$AK$6:$AK$505,Journal!$BE$6:$BE$505,$B167,Journal!$BP$6:$BP$505,1))</f>
        <v>0</v>
      </c>
      <c r="I167" s="98" t="n">
        <f aca="false">IF($B167="","",IFERROR(H167/C167,0))</f>
        <v>0</v>
      </c>
      <c r="J167" s="99" t="n">
        <f aca="false">IF($B167="","",SUMIFS(Journal!$AM$6:$AM$505,Journal!$BE$6:$BE$505,$B167,Journal!$BP$6:$BP$505,1))</f>
        <v>0</v>
      </c>
      <c r="K167" s="100" t="str">
        <f aca="false">IF($B167="","",IFERROR(SUMIFS(Journal!$AM$6:$AM$505,Journal!$BE$6:$BE$505,$B167,Journal!$BP$6:$BP$505,1,Journal!$AM$6:$AM$505,"&gt;0")/ABS(SUMIFS(Journal!$AM$6:$AM$505,Journal!$BE$6:$BE$505,$B167,Journal!$BP$6:$BP$505,1,Journal!$AM$6:$AM$505,"&lt;0")),"-"))</f>
        <v>-</v>
      </c>
    </row>
    <row r="168" customFormat="false" ht="15" hidden="false" customHeight="false" outlineLevel="0" collapsed="false">
      <c r="B168" s="13" t="str">
        <f aca="false">IF(Lists!$L$14="","",Lists!$L$14)</f>
        <v>Overtraded</v>
      </c>
      <c r="C168" s="96" t="n">
        <f aca="false">IF($B168="","",D168+E168+F168)</f>
        <v>0</v>
      </c>
      <c r="D168" s="96" t="n">
        <f aca="false">IF($B168="","",COUNTIFS(Journal!$BE$6:$BE$505,$B168,Journal!$AL$6:$AL$505,"Win",Journal!$BP$6:$BP$505,1))</f>
        <v>0</v>
      </c>
      <c r="E168" s="96" t="n">
        <f aca="false">IF($B168="","",COUNTIFS(Journal!$BE$6:$BE$505,$B168,Journal!$AL$6:$AL$505,"Loss",Journal!$BP$6:$BP$505,1))</f>
        <v>0</v>
      </c>
      <c r="F168" s="96" t="n">
        <f aca="false">IF($B168="","",COUNTIFS(Journal!$BE$6:$BE$505,$B168,Journal!$AL$6:$AL$505,"BE",Journal!$BP$6:$BP$505,1))</f>
        <v>0</v>
      </c>
      <c r="G168" s="97" t="n">
        <f aca="false">IF($B168="","",IFERROR(D168/C168,0))</f>
        <v>0</v>
      </c>
      <c r="H168" s="98" t="n">
        <f aca="false">IF($B168="","",SUMIFS(Journal!$AK$6:$AK$505,Journal!$BE$6:$BE$505,$B168,Journal!$BP$6:$BP$505,1))</f>
        <v>0</v>
      </c>
      <c r="I168" s="98" t="n">
        <f aca="false">IF($B168="","",IFERROR(H168/C168,0))</f>
        <v>0</v>
      </c>
      <c r="J168" s="99" t="n">
        <f aca="false">IF($B168="","",SUMIFS(Journal!$AM$6:$AM$505,Journal!$BE$6:$BE$505,$B168,Journal!$BP$6:$BP$505,1))</f>
        <v>0</v>
      </c>
      <c r="K168" s="100" t="str">
        <f aca="false">IF($B168="","",IFERROR(SUMIFS(Journal!$AM$6:$AM$505,Journal!$BE$6:$BE$505,$B168,Journal!$BP$6:$BP$505,1,Journal!$AM$6:$AM$505,"&gt;0")/ABS(SUMIFS(Journal!$AM$6:$AM$505,Journal!$BE$6:$BE$505,$B168,Journal!$BP$6:$BP$505,1,Journal!$AM$6:$AM$505,"&lt;0")),"-"))</f>
        <v>-</v>
      </c>
    </row>
    <row r="169" customFormat="false" ht="15" hidden="false" customHeight="false" outlineLevel="0" collapsed="false">
      <c r="B169" s="13" t="str">
        <f aca="false">IF(Lists!$L$15="","",Lists!$L$15)</f>
        <v>Traded News</v>
      </c>
      <c r="C169" s="96" t="n">
        <f aca="false">IF($B169="","",D169+E169+F169)</f>
        <v>0</v>
      </c>
      <c r="D169" s="96" t="n">
        <f aca="false">IF($B169="","",COUNTIFS(Journal!$BE$6:$BE$505,$B169,Journal!$AL$6:$AL$505,"Win",Journal!$BP$6:$BP$505,1))</f>
        <v>0</v>
      </c>
      <c r="E169" s="96" t="n">
        <f aca="false">IF($B169="","",COUNTIFS(Journal!$BE$6:$BE$505,$B169,Journal!$AL$6:$AL$505,"Loss",Journal!$BP$6:$BP$505,1))</f>
        <v>0</v>
      </c>
      <c r="F169" s="96" t="n">
        <f aca="false">IF($B169="","",COUNTIFS(Journal!$BE$6:$BE$505,$B169,Journal!$AL$6:$AL$505,"BE",Journal!$BP$6:$BP$505,1))</f>
        <v>0</v>
      </c>
      <c r="G169" s="97" t="n">
        <f aca="false">IF($B169="","",IFERROR(D169/C169,0))</f>
        <v>0</v>
      </c>
      <c r="H169" s="98" t="n">
        <f aca="false">IF($B169="","",SUMIFS(Journal!$AK$6:$AK$505,Journal!$BE$6:$BE$505,$B169,Journal!$BP$6:$BP$505,1))</f>
        <v>0</v>
      </c>
      <c r="I169" s="98" t="n">
        <f aca="false">IF($B169="","",IFERROR(H169/C169,0))</f>
        <v>0</v>
      </c>
      <c r="J169" s="99" t="n">
        <f aca="false">IF($B169="","",SUMIFS(Journal!$AM$6:$AM$505,Journal!$BE$6:$BE$505,$B169,Journal!$BP$6:$BP$505,1))</f>
        <v>0</v>
      </c>
      <c r="K169" s="100" t="str">
        <f aca="false">IF($B169="","",IFERROR(SUMIFS(Journal!$AM$6:$AM$505,Journal!$BE$6:$BE$505,$B169,Journal!$BP$6:$BP$505,1,Journal!$AM$6:$AM$505,"&gt;0")/ABS(SUMIFS(Journal!$AM$6:$AM$505,Journal!$BE$6:$BE$505,$B169,Journal!$BP$6:$BP$505,1,Journal!$AM$6:$AM$505,"&lt;0")),"-"))</f>
        <v>-</v>
      </c>
    </row>
    <row r="172" customFormat="false" ht="21.75" hidden="false" customHeight="true" outlineLevel="0" collapsed="false">
      <c r="B172" s="103" t="s">
        <v>268</v>
      </c>
      <c r="C172" s="15"/>
      <c r="D172" s="15"/>
      <c r="E172" s="15"/>
      <c r="F172" s="15"/>
      <c r="G172" s="15"/>
      <c r="H172" s="15"/>
      <c r="I172" s="15"/>
      <c r="J172" s="15"/>
      <c r="K172" s="15"/>
    </row>
    <row r="173" customFormat="false" ht="25.5" hidden="false" customHeight="true" outlineLevel="0" collapsed="false">
      <c r="B173" s="58" t="s">
        <v>180</v>
      </c>
      <c r="C173" s="58" t="s">
        <v>218</v>
      </c>
      <c r="D173" s="58" t="s">
        <v>227</v>
      </c>
      <c r="E173" s="58" t="s">
        <v>228</v>
      </c>
      <c r="F173" s="58" t="s">
        <v>229</v>
      </c>
      <c r="G173" s="58" t="s">
        <v>230</v>
      </c>
      <c r="H173" s="58" t="s">
        <v>231</v>
      </c>
      <c r="I173" s="58" t="s">
        <v>232</v>
      </c>
      <c r="J173" s="58" t="s">
        <v>165</v>
      </c>
      <c r="K173" s="58" t="s">
        <v>233</v>
      </c>
    </row>
    <row r="174" customFormat="false" ht="15" hidden="false" customHeight="false" outlineLevel="0" collapsed="false">
      <c r="B174" s="13" t="s">
        <v>269</v>
      </c>
      <c r="C174" s="96" t="n">
        <f aca="false">IF($B174="","",D174+E174+F174)</f>
        <v>1</v>
      </c>
      <c r="D174" s="96" t="n">
        <f aca="false">IF($B174="","",COUNTIFS(Journal!$BB$6:$BB$505,$B174,Journal!$AL$6:$AL$505,"Win",Journal!$BP$6:$BP$505,1))</f>
        <v>1</v>
      </c>
      <c r="E174" s="96" t="n">
        <f aca="false">IF($B174="","",COUNTIFS(Journal!$BB$6:$BB$505,$B174,Journal!$AL$6:$AL$505,"Loss",Journal!$BP$6:$BP$505,1))</f>
        <v>0</v>
      </c>
      <c r="F174" s="96" t="n">
        <f aca="false">IF($B174="","",COUNTIFS(Journal!$BB$6:$BB$505,$B174,Journal!$AL$6:$AL$505,"BE",Journal!$BP$6:$BP$505,1))</f>
        <v>0</v>
      </c>
      <c r="G174" s="97" t="n">
        <f aca="false">IF($B174="","",IFERROR(D174/C174,0))</f>
        <v>1</v>
      </c>
      <c r="H174" s="98" t="n">
        <f aca="false">IF($B174="","",SUMIFS(Journal!$AK$6:$AK$505,Journal!$BB$6:$BB$505,$B174,Journal!$BP$6:$BP$505,1))</f>
        <v>2.33</v>
      </c>
      <c r="I174" s="98" t="n">
        <f aca="false">IF($B174="","",IFERROR(H174/C174,0))</f>
        <v>2.33</v>
      </c>
      <c r="J174" s="99" t="n">
        <f aca="false">IF($B174="","",SUMIFS(Journal!$AM$6:$AM$505,Journal!$BB$6:$BB$505,$B174,Journal!$BP$6:$BP$505,1))</f>
        <v>229.5</v>
      </c>
      <c r="K174" s="100" t="str">
        <f aca="false">IF($B174="","",IFERROR(SUMIFS(Journal!$AM$6:$AM$505,Journal!$BB$6:$BB$505,$B174,Journal!$BP$6:$BP$505,1,Journal!$AM$6:$AM$505,"&gt;0")/ABS(SUMIFS(Journal!$AM$6:$AM$505,Journal!$BB$6:$BB$505,$B174,Journal!$BP$6:$BP$505,1,Journal!$AM$6:$AM$505,"&lt;0")),"-"))</f>
        <v>-</v>
      </c>
    </row>
    <row r="175" customFormat="false" ht="15" hidden="false" customHeight="false" outlineLevel="0" collapsed="false">
      <c r="B175" s="13" t="s">
        <v>38</v>
      </c>
      <c r="C175" s="96" t="n">
        <f aca="false">IF($B175="","",D175+E175+F175)</f>
        <v>0</v>
      </c>
      <c r="D175" s="96" t="n">
        <f aca="false">IF($B175="","",COUNTIFS(Journal!$BB$6:$BB$505,$B175,Journal!$AL$6:$AL$505,"Win",Journal!$BP$6:$BP$505,1))</f>
        <v>0</v>
      </c>
      <c r="E175" s="96" t="n">
        <f aca="false">IF($B175="","",COUNTIFS(Journal!$BB$6:$BB$505,$B175,Journal!$AL$6:$AL$505,"Loss",Journal!$BP$6:$BP$505,1))</f>
        <v>0</v>
      </c>
      <c r="F175" s="96" t="n">
        <f aca="false">IF($B175="","",COUNTIFS(Journal!$BB$6:$BB$505,$B175,Journal!$AL$6:$AL$505,"BE",Journal!$BP$6:$BP$505,1))</f>
        <v>0</v>
      </c>
      <c r="G175" s="97" t="n">
        <f aca="false">IF($B175="","",IFERROR(D175/C175,0))</f>
        <v>0</v>
      </c>
      <c r="H175" s="98" t="n">
        <f aca="false">IF($B175="","",SUMIFS(Journal!$AK$6:$AK$505,Journal!$BB$6:$BB$505,$B175,Journal!$BP$6:$BP$505,1))</f>
        <v>0</v>
      </c>
      <c r="I175" s="98" t="n">
        <f aca="false">IF($B175="","",IFERROR(H175/C175,0))</f>
        <v>0</v>
      </c>
      <c r="J175" s="99" t="n">
        <f aca="false">IF($B175="","",SUMIFS(Journal!$AM$6:$AM$505,Journal!$BB$6:$BB$505,$B175,Journal!$BP$6:$BP$505,1))</f>
        <v>0</v>
      </c>
      <c r="K175" s="100" t="str">
        <f aca="false">IF($B175="","",IFERROR(SUMIFS(Journal!$AM$6:$AM$505,Journal!$BB$6:$BB$505,$B175,Journal!$BP$6:$BP$505,1,Journal!$AM$6:$AM$505,"&gt;0")/ABS(SUMIFS(Journal!$AM$6:$AM$505,Journal!$BB$6:$BB$505,$B175,Journal!$BP$6:$BP$505,1,Journal!$AM$6:$AM$505,"&lt;0")),"-"))</f>
        <v>-</v>
      </c>
    </row>
    <row r="176" customFormat="false" ht="15" hidden="false" customHeight="false" outlineLevel="0" collapsed="false">
      <c r="B176" s="13" t="s">
        <v>40</v>
      </c>
      <c r="C176" s="96" t="n">
        <f aca="false">IF($B176="","",D176+E176+F176)</f>
        <v>0</v>
      </c>
      <c r="D176" s="96" t="n">
        <f aca="false">IF($B176="","",COUNTIFS(Journal!$BB$6:$BB$505,$B176,Journal!$AL$6:$AL$505,"Win",Journal!$BP$6:$BP$505,1))</f>
        <v>0</v>
      </c>
      <c r="E176" s="96" t="n">
        <f aca="false">IF($B176="","",COUNTIFS(Journal!$BB$6:$BB$505,$B176,Journal!$AL$6:$AL$505,"Loss",Journal!$BP$6:$BP$505,1))</f>
        <v>0</v>
      </c>
      <c r="F176" s="96" t="n">
        <f aca="false">IF($B176="","",COUNTIFS(Journal!$BB$6:$BB$505,$B176,Journal!$AL$6:$AL$505,"BE",Journal!$BP$6:$BP$505,1))</f>
        <v>0</v>
      </c>
      <c r="G176" s="97" t="n">
        <f aca="false">IF($B176="","",IFERROR(D176/C176,0))</f>
        <v>0</v>
      </c>
      <c r="H176" s="98" t="n">
        <f aca="false">IF($B176="","",SUMIFS(Journal!$AK$6:$AK$505,Journal!$BB$6:$BB$505,$B176,Journal!$BP$6:$BP$505,1))</f>
        <v>0</v>
      </c>
      <c r="I176" s="98" t="n">
        <f aca="false">IF($B176="","",IFERROR(H176/C176,0))</f>
        <v>0</v>
      </c>
      <c r="J176" s="99" t="n">
        <f aca="false">IF($B176="","",SUMIFS(Journal!$AM$6:$AM$505,Journal!$BB$6:$BB$505,$B176,Journal!$BP$6:$BP$505,1))</f>
        <v>0</v>
      </c>
      <c r="K176" s="100" t="str">
        <f aca="false">IF($B176="","",IFERROR(SUMIFS(Journal!$AM$6:$AM$505,Journal!$BB$6:$BB$505,$B176,Journal!$BP$6:$BP$505,1,Journal!$AM$6:$AM$505,"&gt;0")/ABS(SUMIFS(Journal!$AM$6:$AM$505,Journal!$BB$6:$BB$505,$B176,Journal!$BP$6:$BP$505,1,Journal!$AM$6:$AM$505,"&lt;0")),"-"))</f>
        <v>-</v>
      </c>
    </row>
    <row r="177" customFormat="false" ht="15" hidden="false" customHeight="false" outlineLevel="0" collapsed="false">
      <c r="B177" s="13" t="s">
        <v>42</v>
      </c>
      <c r="C177" s="96" t="n">
        <f aca="false">IF($B177="","",D177+E177+F177)</f>
        <v>0</v>
      </c>
      <c r="D177" s="96" t="n">
        <f aca="false">IF($B177="","",COUNTIFS(Journal!$BB$6:$BB$505,$B177,Journal!$AL$6:$AL$505,"Win",Journal!$BP$6:$BP$505,1))</f>
        <v>0</v>
      </c>
      <c r="E177" s="96" t="n">
        <f aca="false">IF($B177="","",COUNTIFS(Journal!$BB$6:$BB$505,$B177,Journal!$AL$6:$AL$505,"Loss",Journal!$BP$6:$BP$505,1))</f>
        <v>0</v>
      </c>
      <c r="F177" s="96" t="n">
        <f aca="false">IF($B177="","",COUNTIFS(Journal!$BB$6:$BB$505,$B177,Journal!$AL$6:$AL$505,"BE",Journal!$BP$6:$BP$505,1))</f>
        <v>0</v>
      </c>
      <c r="G177" s="97" t="n">
        <f aca="false">IF($B177="","",IFERROR(D177/C177,0))</f>
        <v>0</v>
      </c>
      <c r="H177" s="98" t="n">
        <f aca="false">IF($B177="","",SUMIFS(Journal!$AK$6:$AK$505,Journal!$BB$6:$BB$505,$B177,Journal!$BP$6:$BP$505,1))</f>
        <v>0</v>
      </c>
      <c r="I177" s="98" t="n">
        <f aca="false">IF($B177="","",IFERROR(H177/C177,0))</f>
        <v>0</v>
      </c>
      <c r="J177" s="99" t="n">
        <f aca="false">IF($B177="","",SUMIFS(Journal!$AM$6:$AM$505,Journal!$BB$6:$BB$505,$B177,Journal!$BP$6:$BP$505,1))</f>
        <v>0</v>
      </c>
      <c r="K177" s="100" t="str">
        <f aca="false">IF($B177="","",IFERROR(SUMIFS(Journal!$AM$6:$AM$505,Journal!$BB$6:$BB$505,$B177,Journal!$BP$6:$BP$505,1,Journal!$AM$6:$AM$505,"&gt;0")/ABS(SUMIFS(Journal!$AM$6:$AM$505,Journal!$BB$6:$BB$505,$B177,Journal!$BP$6:$BP$505,1,Journal!$AM$6:$AM$505,"&lt;0")),"-"))</f>
        <v>-</v>
      </c>
    </row>
    <row r="178" customFormat="false" ht="15" hidden="false" customHeight="false" outlineLevel="0" collapsed="false">
      <c r="B178" s="13" t="s">
        <v>44</v>
      </c>
      <c r="C178" s="96" t="n">
        <f aca="false">IF($B178="","",D178+E178+F178)</f>
        <v>0</v>
      </c>
      <c r="D178" s="96" t="n">
        <f aca="false">IF($B178="","",COUNTIFS(Journal!$BB$6:$BB$505,$B178,Journal!$AL$6:$AL$505,"Win",Journal!$BP$6:$BP$505,1))</f>
        <v>0</v>
      </c>
      <c r="E178" s="96" t="n">
        <f aca="false">IF($B178="","",COUNTIFS(Journal!$BB$6:$BB$505,$B178,Journal!$AL$6:$AL$505,"Loss",Journal!$BP$6:$BP$505,1))</f>
        <v>0</v>
      </c>
      <c r="F178" s="96" t="n">
        <f aca="false">IF($B178="","",COUNTIFS(Journal!$BB$6:$BB$505,$B178,Journal!$AL$6:$AL$505,"BE",Journal!$BP$6:$BP$505,1))</f>
        <v>0</v>
      </c>
      <c r="G178" s="97" t="n">
        <f aca="false">IF($B178="","",IFERROR(D178/C178,0))</f>
        <v>0</v>
      </c>
      <c r="H178" s="98" t="n">
        <f aca="false">IF($B178="","",SUMIFS(Journal!$AK$6:$AK$505,Journal!$BB$6:$BB$505,$B178,Journal!$BP$6:$BP$505,1))</f>
        <v>0</v>
      </c>
      <c r="I178" s="98" t="n">
        <f aca="false">IF($B178="","",IFERROR(H178/C178,0))</f>
        <v>0</v>
      </c>
      <c r="J178" s="99" t="n">
        <f aca="false">IF($B178="","",SUMIFS(Journal!$AM$6:$AM$505,Journal!$BB$6:$BB$505,$B178,Journal!$BP$6:$BP$505,1))</f>
        <v>0</v>
      </c>
      <c r="K178" s="100" t="str">
        <f aca="false">IF($B178="","",IFERROR(SUMIFS(Journal!$AM$6:$AM$505,Journal!$BB$6:$BB$505,$B178,Journal!$BP$6:$BP$505,1,Journal!$AM$6:$AM$505,"&gt;0")/ABS(SUMIFS(Journal!$AM$6:$AM$505,Journal!$BB$6:$BB$505,$B178,Journal!$BP$6:$BP$505,1,Journal!$AM$6:$AM$505,"&lt;0")),"-"))</f>
        <v>-</v>
      </c>
    </row>
    <row r="181" customFormat="false" ht="21.75" hidden="false" customHeight="true" outlineLevel="0" collapsed="false">
      <c r="B181" s="104" t="s">
        <v>270</v>
      </c>
      <c r="C181" s="10"/>
      <c r="D181" s="10"/>
      <c r="E181" s="10"/>
      <c r="F181" s="10"/>
      <c r="G181" s="10"/>
      <c r="H181" s="10"/>
      <c r="I181" s="10"/>
      <c r="J181" s="10"/>
      <c r="K181" s="10"/>
    </row>
    <row r="182" customFormat="false" ht="25.5" hidden="false" customHeight="true" outlineLevel="0" collapsed="false">
      <c r="B182" s="58" t="s">
        <v>131</v>
      </c>
      <c r="C182" s="58" t="s">
        <v>218</v>
      </c>
      <c r="D182" s="58" t="s">
        <v>227</v>
      </c>
      <c r="E182" s="58" t="s">
        <v>228</v>
      </c>
      <c r="F182" s="58" t="s">
        <v>229</v>
      </c>
      <c r="G182" s="58" t="s">
        <v>230</v>
      </c>
      <c r="H182" s="58" t="s">
        <v>231</v>
      </c>
      <c r="I182" s="58" t="s">
        <v>232</v>
      </c>
      <c r="J182" s="58" t="s">
        <v>165</v>
      </c>
      <c r="K182" s="58" t="s">
        <v>233</v>
      </c>
    </row>
    <row r="183" customFormat="false" ht="15" hidden="false" customHeight="false" outlineLevel="0" collapsed="false">
      <c r="B183" s="13" t="str">
        <f aca="false">IF(Settings!$F$5="","",Settings!$F$5)</f>
        <v>Main Account</v>
      </c>
      <c r="C183" s="96" t="n">
        <f aca="false">IF($B183="","",D183+E183+F183)</f>
        <v>1</v>
      </c>
      <c r="D183" s="96" t="n">
        <f aca="false">IF($B183="","",COUNTIFS(Journal!$BJ$6:$BJ$505,$B183,Journal!$AL$6:$AL$505,"Win"))</f>
        <v>1</v>
      </c>
      <c r="E183" s="96" t="n">
        <f aca="false">IF($B183="","",COUNTIFS(Journal!$BJ$6:$BJ$505,$B183,Journal!$AL$6:$AL$505,"Loss"))</f>
        <v>0</v>
      </c>
      <c r="F183" s="96" t="n">
        <f aca="false">IF($B183="","",COUNTIFS(Journal!$BJ$6:$BJ$505,$B183,Journal!$AL$6:$AL$505,"BE"))</f>
        <v>0</v>
      </c>
      <c r="G183" s="97" t="n">
        <f aca="false">IF($B183="","",IFERROR(D183/C183,0))</f>
        <v>1</v>
      </c>
      <c r="H183" s="98" t="n">
        <f aca="false">IF($B183="","",SUMIFS(Journal!$AK$6:$AK$505,Journal!$BJ$6:$BJ$505,$B183))</f>
        <v>2.33</v>
      </c>
      <c r="I183" s="98" t="n">
        <f aca="false">IF($B183="","",IFERROR(H183/C183,0))</f>
        <v>2.33</v>
      </c>
      <c r="J183" s="99" t="n">
        <f aca="false">IF($B183="","",SUMIFS(Journal!$AM$6:$AM$505,Journal!$BJ$6:$BJ$505,$B183))</f>
        <v>229.5</v>
      </c>
      <c r="K183" s="100" t="str">
        <f aca="false">IF($B183="","",IFERROR(SUMIFS(Journal!$AM$6:$AM$505,Journal!$BJ$6:$BJ$505,$B183,Journal!$AM$6:$AM$505,"&gt;0")/ABS(SUMIFS(Journal!$AM$6:$AM$505,Journal!$BJ$6:$BJ$505,$B183,Journal!$AM$6:$AM$505,"&lt;0")),"-"))</f>
        <v>-</v>
      </c>
    </row>
    <row r="184" customFormat="false" ht="15" hidden="false" customHeight="false" outlineLevel="0" collapsed="false">
      <c r="B184" s="13" t="str">
        <f aca="false">IF(Settings!$F$6="","",Settings!$F$6)</f>
        <v>Prop Challenge</v>
      </c>
      <c r="C184" s="96" t="n">
        <f aca="false">IF($B184="","",D184+E184+F184)</f>
        <v>0</v>
      </c>
      <c r="D184" s="96" t="n">
        <f aca="false">IF($B184="","",COUNTIFS(Journal!$BJ$6:$BJ$505,$B184,Journal!$AL$6:$AL$505,"Win"))</f>
        <v>0</v>
      </c>
      <c r="E184" s="96" t="n">
        <f aca="false">IF($B184="","",COUNTIFS(Journal!$BJ$6:$BJ$505,$B184,Journal!$AL$6:$AL$505,"Loss"))</f>
        <v>0</v>
      </c>
      <c r="F184" s="96" t="n">
        <f aca="false">IF($B184="","",COUNTIFS(Journal!$BJ$6:$BJ$505,$B184,Journal!$AL$6:$AL$505,"BE"))</f>
        <v>0</v>
      </c>
      <c r="G184" s="97" t="n">
        <f aca="false">IF($B184="","",IFERROR(D184/C184,0))</f>
        <v>0</v>
      </c>
      <c r="H184" s="98" t="n">
        <f aca="false">IF($B184="","",SUMIFS(Journal!$AK$6:$AK$505,Journal!$BJ$6:$BJ$505,$B184))</f>
        <v>0</v>
      </c>
      <c r="I184" s="98" t="n">
        <f aca="false">IF($B184="","",IFERROR(H184/C184,0))</f>
        <v>0</v>
      </c>
      <c r="J184" s="99" t="n">
        <f aca="false">IF($B184="","",SUMIFS(Journal!$AM$6:$AM$505,Journal!$BJ$6:$BJ$505,$B184))</f>
        <v>0</v>
      </c>
      <c r="K184" s="100" t="str">
        <f aca="false">IF($B184="","",IFERROR(SUMIFS(Journal!$AM$6:$AM$505,Journal!$BJ$6:$BJ$505,$B184,Journal!$AM$6:$AM$505,"&gt;0")/ABS(SUMIFS(Journal!$AM$6:$AM$505,Journal!$BJ$6:$BJ$505,$B184,Journal!$AM$6:$AM$505,"&lt;0")),"-"))</f>
        <v>-</v>
      </c>
    </row>
    <row r="185" customFormat="false" ht="15" hidden="false" customHeight="false" outlineLevel="0" collapsed="false">
      <c r="B185" s="13" t="str">
        <f aca="false">IF(Settings!$F$7="","",Settings!$F$7)</f>
        <v/>
      </c>
      <c r="C185" s="96" t="str">
        <f aca="false">IF($B185="","",D185+E185+F185)</f>
        <v/>
      </c>
      <c r="D185" s="96" t="str">
        <f aca="false">IF($B185="","",COUNTIFS(Journal!$BJ$6:$BJ$505,$B185,Journal!$AL$6:$AL$505,"Win"))</f>
        <v/>
      </c>
      <c r="E185" s="96" t="str">
        <f aca="false">IF($B185="","",COUNTIFS(Journal!$BJ$6:$BJ$505,$B185,Journal!$AL$6:$AL$505,"Loss"))</f>
        <v/>
      </c>
      <c r="F185" s="96" t="str">
        <f aca="false">IF($B185="","",COUNTIFS(Journal!$BJ$6:$BJ$505,$B185,Journal!$AL$6:$AL$505,"BE"))</f>
        <v/>
      </c>
      <c r="G185" s="97" t="str">
        <f aca="false">IF($B185="","",IFERROR(D185/C185,0))</f>
        <v/>
      </c>
      <c r="H185" s="98" t="str">
        <f aca="false">IF($B185="","",SUMIFS(Journal!$AK$6:$AK$505,Journal!$BJ$6:$BJ$505,$B185))</f>
        <v/>
      </c>
      <c r="I185" s="98" t="str">
        <f aca="false">IF($B185="","",IFERROR(H185/C185,0))</f>
        <v/>
      </c>
      <c r="J185" s="99" t="str">
        <f aca="false">IF($B185="","",SUMIFS(Journal!$AM$6:$AM$505,Journal!$BJ$6:$BJ$505,$B185))</f>
        <v/>
      </c>
      <c r="K185" s="100" t="str">
        <f aca="false">IF($B185="","",IFERROR(SUMIFS(Journal!$AM$6:$AM$505,Journal!$BJ$6:$BJ$505,$B185,Journal!$AM$6:$AM$505,"&gt;0")/ABS(SUMIFS(Journal!$AM$6:$AM$505,Journal!$BJ$6:$BJ$505,$B185,Journal!$AM$6:$AM$505,"&lt;0")),"-"))</f>
        <v/>
      </c>
    </row>
    <row r="186" customFormat="false" ht="15" hidden="false" customHeight="false" outlineLevel="0" collapsed="false">
      <c r="B186" s="13" t="str">
        <f aca="false">IF(Settings!$F$8="","",Settings!$F$8)</f>
        <v/>
      </c>
      <c r="C186" s="96" t="str">
        <f aca="false">IF($B186="","",D186+E186+F186)</f>
        <v/>
      </c>
      <c r="D186" s="96" t="str">
        <f aca="false">IF($B186="","",COUNTIFS(Journal!$BJ$6:$BJ$505,$B186,Journal!$AL$6:$AL$505,"Win"))</f>
        <v/>
      </c>
      <c r="E186" s="96" t="str">
        <f aca="false">IF($B186="","",COUNTIFS(Journal!$BJ$6:$BJ$505,$B186,Journal!$AL$6:$AL$505,"Loss"))</f>
        <v/>
      </c>
      <c r="F186" s="96" t="str">
        <f aca="false">IF($B186="","",COUNTIFS(Journal!$BJ$6:$BJ$505,$B186,Journal!$AL$6:$AL$505,"BE"))</f>
        <v/>
      </c>
      <c r="G186" s="97" t="str">
        <f aca="false">IF($B186="","",IFERROR(D186/C186,0))</f>
        <v/>
      </c>
      <c r="H186" s="98" t="str">
        <f aca="false">IF($B186="","",SUMIFS(Journal!$AK$6:$AK$505,Journal!$BJ$6:$BJ$505,$B186))</f>
        <v/>
      </c>
      <c r="I186" s="98" t="str">
        <f aca="false">IF($B186="","",IFERROR(H186/C186,0))</f>
        <v/>
      </c>
      <c r="J186" s="99" t="str">
        <f aca="false">IF($B186="","",SUMIFS(Journal!$AM$6:$AM$505,Journal!$BJ$6:$BJ$505,$B186))</f>
        <v/>
      </c>
      <c r="K186" s="100" t="str">
        <f aca="false">IF($B186="","",IFERROR(SUMIFS(Journal!$AM$6:$AM$505,Journal!$BJ$6:$BJ$505,$B186,Journal!$AM$6:$AM$505,"&gt;0")/ABS(SUMIFS(Journal!$AM$6:$AM$505,Journal!$BJ$6:$BJ$505,$B186,Journal!$AM$6:$AM$505,"&lt;0")),"-"))</f>
        <v/>
      </c>
    </row>
    <row r="187" customFormat="false" ht="15" hidden="false" customHeight="false" outlineLevel="0" collapsed="false">
      <c r="B187" s="13" t="str">
        <f aca="false">IF(Settings!$F$9="","",Settings!$F$9)</f>
        <v/>
      </c>
      <c r="C187" s="96" t="str">
        <f aca="false">IF($B187="","",D187+E187+F187)</f>
        <v/>
      </c>
      <c r="D187" s="96" t="str">
        <f aca="false">IF($B187="","",COUNTIFS(Journal!$BJ$6:$BJ$505,$B187,Journal!$AL$6:$AL$505,"Win"))</f>
        <v/>
      </c>
      <c r="E187" s="96" t="str">
        <f aca="false">IF($B187="","",COUNTIFS(Journal!$BJ$6:$BJ$505,$B187,Journal!$AL$6:$AL$505,"Loss"))</f>
        <v/>
      </c>
      <c r="F187" s="96" t="str">
        <f aca="false">IF($B187="","",COUNTIFS(Journal!$BJ$6:$BJ$505,$B187,Journal!$AL$6:$AL$505,"BE"))</f>
        <v/>
      </c>
      <c r="G187" s="97" t="str">
        <f aca="false">IF($B187="","",IFERROR(D187/C187,0))</f>
        <v/>
      </c>
      <c r="H187" s="98" t="str">
        <f aca="false">IF($B187="","",SUMIFS(Journal!$AK$6:$AK$505,Journal!$BJ$6:$BJ$505,$B187))</f>
        <v/>
      </c>
      <c r="I187" s="98" t="str">
        <f aca="false">IF($B187="","",IFERROR(H187/C187,0))</f>
        <v/>
      </c>
      <c r="J187" s="99" t="str">
        <f aca="false">IF($B187="","",SUMIFS(Journal!$AM$6:$AM$505,Journal!$BJ$6:$BJ$505,$B187))</f>
        <v/>
      </c>
      <c r="K187" s="100" t="str">
        <f aca="false">IF($B187="","",IFERROR(SUMIFS(Journal!$AM$6:$AM$505,Journal!$BJ$6:$BJ$505,$B187,Journal!$AM$6:$AM$505,"&gt;0")/ABS(SUMIFS(Journal!$AM$6:$AM$505,Journal!$BJ$6:$BJ$505,$B187,Journal!$AM$6:$AM$505,"&lt;0")),"-"))</f>
        <v/>
      </c>
    </row>
    <row r="188" customFormat="false" ht="15" hidden="false" customHeight="false" outlineLevel="0" collapsed="false">
      <c r="B188" s="13" t="str">
        <f aca="false">IF(Settings!$F$10="","",Settings!$F$10)</f>
        <v/>
      </c>
      <c r="C188" s="96" t="str">
        <f aca="false">IF($B188="","",D188+E188+F188)</f>
        <v/>
      </c>
      <c r="D188" s="96" t="str">
        <f aca="false">IF($B188="","",COUNTIFS(Journal!$BJ$6:$BJ$505,$B188,Journal!$AL$6:$AL$505,"Win"))</f>
        <v/>
      </c>
      <c r="E188" s="96" t="str">
        <f aca="false">IF($B188="","",COUNTIFS(Journal!$BJ$6:$BJ$505,$B188,Journal!$AL$6:$AL$505,"Loss"))</f>
        <v/>
      </c>
      <c r="F188" s="96" t="str">
        <f aca="false">IF($B188="","",COUNTIFS(Journal!$BJ$6:$BJ$505,$B188,Journal!$AL$6:$AL$505,"BE"))</f>
        <v/>
      </c>
      <c r="G188" s="97" t="str">
        <f aca="false">IF($B188="","",IFERROR(D188/C188,0))</f>
        <v/>
      </c>
      <c r="H188" s="98" t="str">
        <f aca="false">IF($B188="","",SUMIFS(Journal!$AK$6:$AK$505,Journal!$BJ$6:$BJ$505,$B188))</f>
        <v/>
      </c>
      <c r="I188" s="98" t="str">
        <f aca="false">IF($B188="","",IFERROR(H188/C188,0))</f>
        <v/>
      </c>
      <c r="J188" s="99" t="str">
        <f aca="false">IF($B188="","",SUMIFS(Journal!$AM$6:$AM$505,Journal!$BJ$6:$BJ$505,$B188))</f>
        <v/>
      </c>
      <c r="K188" s="100" t="str">
        <f aca="false">IF($B188="","",IFERROR(SUMIFS(Journal!$AM$6:$AM$505,Journal!$BJ$6:$BJ$505,$B188,Journal!$AM$6:$AM$505,"&gt;0")/ABS(SUMIFS(Journal!$AM$6:$AM$505,Journal!$BJ$6:$BJ$505,$B188,Journal!$AM$6:$AM$505,"&lt;0")),"-"))</f>
        <v/>
      </c>
    </row>
    <row r="191" customFormat="false" ht="21.75" hidden="false" customHeight="true" outlineLevel="0" collapsed="false">
      <c r="B191" s="105" t="s">
        <v>271</v>
      </c>
      <c r="C191" s="12"/>
      <c r="D191" s="12"/>
      <c r="E191" s="12"/>
      <c r="F191" s="12"/>
      <c r="G191" s="12"/>
      <c r="H191" s="12"/>
      <c r="I191" s="12"/>
      <c r="J191" s="12"/>
      <c r="K191" s="12"/>
    </row>
    <row r="192" customFormat="false" ht="25.5" hidden="false" customHeight="true" outlineLevel="0" collapsed="false">
      <c r="B192" s="58" t="s">
        <v>272</v>
      </c>
      <c r="C192" s="58" t="s">
        <v>218</v>
      </c>
      <c r="D192" s="58" t="s">
        <v>227</v>
      </c>
      <c r="E192" s="58" t="s">
        <v>228</v>
      </c>
      <c r="F192" s="58" t="s">
        <v>229</v>
      </c>
      <c r="G192" s="58" t="s">
        <v>230</v>
      </c>
      <c r="H192" s="58" t="s">
        <v>231</v>
      </c>
      <c r="I192" s="58" t="s">
        <v>232</v>
      </c>
      <c r="J192" s="58" t="s">
        <v>165</v>
      </c>
      <c r="K192" s="58" t="s">
        <v>233</v>
      </c>
    </row>
    <row r="193" customFormat="false" ht="15" hidden="false" customHeight="false" outlineLevel="0" collapsed="false">
      <c r="B193" s="106" t="n">
        <f aca="false">DATE(YEAR(Settings!$C$7),MONTH(Settings!$C$7)+0,1)</f>
        <v>46266</v>
      </c>
      <c r="C193" s="96" t="n">
        <f aca="false">D193+E193+F193</f>
        <v>1</v>
      </c>
      <c r="D193" s="96" t="n">
        <f aca="false">COUNTIFS(Journal!$B$6:$B$505,"&gt;="&amp;$B193,Journal!$B$6:$B$505,"&lt;"&amp;DATE(YEAR($B193),MONTH($B193)+1,1),Journal!$BP$6:$BP$505,1,Journal!$AL$6:$AL$505,"Win")</f>
        <v>1</v>
      </c>
      <c r="E193" s="96" t="n">
        <f aca="false">COUNTIFS(Journal!$B$6:$B$505,"&gt;="&amp;$B193,Journal!$B$6:$B$505,"&lt;"&amp;DATE(YEAR($B193),MONTH($B193)+1,1),Journal!$BP$6:$BP$505,1,Journal!$AL$6:$AL$505,"Loss")</f>
        <v>0</v>
      </c>
      <c r="F193" s="96" t="n">
        <f aca="false">COUNTIFS(Journal!$B$6:$B$505,"&gt;="&amp;$B193,Journal!$B$6:$B$505,"&lt;"&amp;DATE(YEAR($B193),MONTH($B193)+1,1),Journal!$BP$6:$BP$505,1,Journal!$AL$6:$AL$505,"BE")</f>
        <v>0</v>
      </c>
      <c r="G193" s="97" t="n">
        <f aca="false">IFERROR(D193/C193,0)</f>
        <v>1</v>
      </c>
      <c r="H193" s="98" t="n">
        <f aca="false">SUMIFS(Journal!$AK$6:$AK$505,Journal!$B$6:$B$505,"&gt;="&amp;$B193,Journal!$B$6:$B$505,"&lt;"&amp;DATE(YEAR($B193),MONTH($B193)+1,1),Journal!$BP$6:$BP$505,1)</f>
        <v>2.33</v>
      </c>
      <c r="I193" s="98" t="n">
        <f aca="false">IFERROR(H193/C193,0)</f>
        <v>2.33</v>
      </c>
      <c r="J193" s="99" t="n">
        <f aca="false">SUMIFS(Journal!$AM$6:$AM$505,Journal!$B$6:$B$505,"&gt;="&amp;$B193,Journal!$B$6:$B$505,"&lt;"&amp;DATE(YEAR($B193),MONTH($B193)+1,1),Journal!$BP$6:$BP$505,1)</f>
        <v>229.5</v>
      </c>
      <c r="K193" s="100" t="str">
        <f aca="false">IFERROR(SUMIFS(Journal!$AM$6:$AM$505,Journal!$B$6:$B$505,"&gt;="&amp;$B193,Journal!$B$6:$B$505,"&lt;"&amp;DATE(YEAR($B193),MONTH($B193)+1,1),Journal!$BP$6:$BP$505,1,Journal!$AM$6:$AM$505,"&gt;0")/ABS(SUMIFS(Journal!$AM$6:$AM$505,Journal!$B$6:$B$505,"&gt;="&amp;$B193,Journal!$B$6:$B$505,"&lt;"&amp;DATE(YEAR($B193),MONTH($B193)+1,1),Journal!$BP$6:$BP$505,1,Journal!$AM$6:$AM$505,"&lt;0")),"-")</f>
        <v>-</v>
      </c>
    </row>
    <row r="194" customFormat="false" ht="15" hidden="false" customHeight="false" outlineLevel="0" collapsed="false">
      <c r="B194" s="106" t="n">
        <f aca="false">DATE(YEAR(Settings!$C$7),MONTH(Settings!$C$7)+1,1)</f>
        <v>46296</v>
      </c>
      <c r="C194" s="96" t="n">
        <f aca="false">D194+E194+F194</f>
        <v>0</v>
      </c>
      <c r="D194" s="96" t="n">
        <f aca="false">COUNTIFS(Journal!$B$6:$B$505,"&gt;="&amp;$B194,Journal!$B$6:$B$505,"&lt;"&amp;DATE(YEAR($B194),MONTH($B194)+1,1),Journal!$BP$6:$BP$505,1,Journal!$AL$6:$AL$505,"Win")</f>
        <v>0</v>
      </c>
      <c r="E194" s="96" t="n">
        <f aca="false">COUNTIFS(Journal!$B$6:$B$505,"&gt;="&amp;$B194,Journal!$B$6:$B$505,"&lt;"&amp;DATE(YEAR($B194),MONTH($B194)+1,1),Journal!$BP$6:$BP$505,1,Journal!$AL$6:$AL$505,"Loss")</f>
        <v>0</v>
      </c>
      <c r="F194" s="96" t="n">
        <f aca="false">COUNTIFS(Journal!$B$6:$B$505,"&gt;="&amp;$B194,Journal!$B$6:$B$505,"&lt;"&amp;DATE(YEAR($B194),MONTH($B194)+1,1),Journal!$BP$6:$BP$505,1,Journal!$AL$6:$AL$505,"BE")</f>
        <v>0</v>
      </c>
      <c r="G194" s="97" t="n">
        <f aca="false">IFERROR(D194/C194,0)</f>
        <v>0</v>
      </c>
      <c r="H194" s="98" t="n">
        <f aca="false">SUMIFS(Journal!$AK$6:$AK$505,Journal!$B$6:$B$505,"&gt;="&amp;$B194,Journal!$B$6:$B$505,"&lt;"&amp;DATE(YEAR($B194),MONTH($B194)+1,1),Journal!$BP$6:$BP$505,1)</f>
        <v>0</v>
      </c>
      <c r="I194" s="98" t="n">
        <f aca="false">IFERROR(H194/C194,0)</f>
        <v>0</v>
      </c>
      <c r="J194" s="99" t="n">
        <f aca="false">SUMIFS(Journal!$AM$6:$AM$505,Journal!$B$6:$B$505,"&gt;="&amp;$B194,Journal!$B$6:$B$505,"&lt;"&amp;DATE(YEAR($B194),MONTH($B194)+1,1),Journal!$BP$6:$BP$505,1)</f>
        <v>0</v>
      </c>
      <c r="K194" s="100" t="str">
        <f aca="false">IFERROR(SUMIFS(Journal!$AM$6:$AM$505,Journal!$B$6:$B$505,"&gt;="&amp;$B194,Journal!$B$6:$B$505,"&lt;"&amp;DATE(YEAR($B194),MONTH($B194)+1,1),Journal!$BP$6:$BP$505,1,Journal!$AM$6:$AM$505,"&gt;0")/ABS(SUMIFS(Journal!$AM$6:$AM$505,Journal!$B$6:$B$505,"&gt;="&amp;$B194,Journal!$B$6:$B$505,"&lt;"&amp;DATE(YEAR($B194),MONTH($B194)+1,1),Journal!$BP$6:$BP$505,1,Journal!$AM$6:$AM$505,"&lt;0")),"-")</f>
        <v>-</v>
      </c>
    </row>
    <row r="195" customFormat="false" ht="15" hidden="false" customHeight="false" outlineLevel="0" collapsed="false">
      <c r="B195" s="106" t="n">
        <f aca="false">DATE(YEAR(Settings!$C$7),MONTH(Settings!$C$7)+2,1)</f>
        <v>46327</v>
      </c>
      <c r="C195" s="96" t="n">
        <f aca="false">D195+E195+F195</f>
        <v>0</v>
      </c>
      <c r="D195" s="96" t="n">
        <f aca="false">COUNTIFS(Journal!$B$6:$B$505,"&gt;="&amp;$B195,Journal!$B$6:$B$505,"&lt;"&amp;DATE(YEAR($B195),MONTH($B195)+1,1),Journal!$BP$6:$BP$505,1,Journal!$AL$6:$AL$505,"Win")</f>
        <v>0</v>
      </c>
      <c r="E195" s="96" t="n">
        <f aca="false">COUNTIFS(Journal!$B$6:$B$505,"&gt;="&amp;$B195,Journal!$B$6:$B$505,"&lt;"&amp;DATE(YEAR($B195),MONTH($B195)+1,1),Journal!$BP$6:$BP$505,1,Journal!$AL$6:$AL$505,"Loss")</f>
        <v>0</v>
      </c>
      <c r="F195" s="96" t="n">
        <f aca="false">COUNTIFS(Journal!$B$6:$B$505,"&gt;="&amp;$B195,Journal!$B$6:$B$505,"&lt;"&amp;DATE(YEAR($B195),MONTH($B195)+1,1),Journal!$BP$6:$BP$505,1,Journal!$AL$6:$AL$505,"BE")</f>
        <v>0</v>
      </c>
      <c r="G195" s="97" t="n">
        <f aca="false">IFERROR(D195/C195,0)</f>
        <v>0</v>
      </c>
      <c r="H195" s="98" t="n">
        <f aca="false">SUMIFS(Journal!$AK$6:$AK$505,Journal!$B$6:$B$505,"&gt;="&amp;$B195,Journal!$B$6:$B$505,"&lt;"&amp;DATE(YEAR($B195),MONTH($B195)+1,1),Journal!$BP$6:$BP$505,1)</f>
        <v>0</v>
      </c>
      <c r="I195" s="98" t="n">
        <f aca="false">IFERROR(H195/C195,0)</f>
        <v>0</v>
      </c>
      <c r="J195" s="99" t="n">
        <f aca="false">SUMIFS(Journal!$AM$6:$AM$505,Journal!$B$6:$B$505,"&gt;="&amp;$B195,Journal!$B$6:$B$505,"&lt;"&amp;DATE(YEAR($B195),MONTH($B195)+1,1),Journal!$BP$6:$BP$505,1)</f>
        <v>0</v>
      </c>
      <c r="K195" s="100" t="str">
        <f aca="false">IFERROR(SUMIFS(Journal!$AM$6:$AM$505,Journal!$B$6:$B$505,"&gt;="&amp;$B195,Journal!$B$6:$B$505,"&lt;"&amp;DATE(YEAR($B195),MONTH($B195)+1,1),Journal!$BP$6:$BP$505,1,Journal!$AM$6:$AM$505,"&gt;0")/ABS(SUMIFS(Journal!$AM$6:$AM$505,Journal!$B$6:$B$505,"&gt;="&amp;$B195,Journal!$B$6:$B$505,"&lt;"&amp;DATE(YEAR($B195),MONTH($B195)+1,1),Journal!$BP$6:$BP$505,1,Journal!$AM$6:$AM$505,"&lt;0")),"-")</f>
        <v>-</v>
      </c>
    </row>
    <row r="196" customFormat="false" ht="15" hidden="false" customHeight="false" outlineLevel="0" collapsed="false">
      <c r="B196" s="106" t="n">
        <f aca="false">DATE(YEAR(Settings!$C$7),MONTH(Settings!$C$7)+3,1)</f>
        <v>46357</v>
      </c>
      <c r="C196" s="96" t="n">
        <f aca="false">D196+E196+F196</f>
        <v>0</v>
      </c>
      <c r="D196" s="96" t="n">
        <f aca="false">COUNTIFS(Journal!$B$6:$B$505,"&gt;="&amp;$B196,Journal!$B$6:$B$505,"&lt;"&amp;DATE(YEAR($B196),MONTH($B196)+1,1),Journal!$BP$6:$BP$505,1,Journal!$AL$6:$AL$505,"Win")</f>
        <v>0</v>
      </c>
      <c r="E196" s="96" t="n">
        <f aca="false">COUNTIFS(Journal!$B$6:$B$505,"&gt;="&amp;$B196,Journal!$B$6:$B$505,"&lt;"&amp;DATE(YEAR($B196),MONTH($B196)+1,1),Journal!$BP$6:$BP$505,1,Journal!$AL$6:$AL$505,"Loss")</f>
        <v>0</v>
      </c>
      <c r="F196" s="96" t="n">
        <f aca="false">COUNTIFS(Journal!$B$6:$B$505,"&gt;="&amp;$B196,Journal!$B$6:$B$505,"&lt;"&amp;DATE(YEAR($B196),MONTH($B196)+1,1),Journal!$BP$6:$BP$505,1,Journal!$AL$6:$AL$505,"BE")</f>
        <v>0</v>
      </c>
      <c r="G196" s="97" t="n">
        <f aca="false">IFERROR(D196/C196,0)</f>
        <v>0</v>
      </c>
      <c r="H196" s="98" t="n">
        <f aca="false">SUMIFS(Journal!$AK$6:$AK$505,Journal!$B$6:$B$505,"&gt;="&amp;$B196,Journal!$B$6:$B$505,"&lt;"&amp;DATE(YEAR($B196),MONTH($B196)+1,1),Journal!$BP$6:$BP$505,1)</f>
        <v>0</v>
      </c>
      <c r="I196" s="98" t="n">
        <f aca="false">IFERROR(H196/C196,0)</f>
        <v>0</v>
      </c>
      <c r="J196" s="99" t="n">
        <f aca="false">SUMIFS(Journal!$AM$6:$AM$505,Journal!$B$6:$B$505,"&gt;="&amp;$B196,Journal!$B$6:$B$505,"&lt;"&amp;DATE(YEAR($B196),MONTH($B196)+1,1),Journal!$BP$6:$BP$505,1)</f>
        <v>0</v>
      </c>
      <c r="K196" s="100" t="str">
        <f aca="false">IFERROR(SUMIFS(Journal!$AM$6:$AM$505,Journal!$B$6:$B$505,"&gt;="&amp;$B196,Journal!$B$6:$B$505,"&lt;"&amp;DATE(YEAR($B196),MONTH($B196)+1,1),Journal!$BP$6:$BP$505,1,Journal!$AM$6:$AM$505,"&gt;0")/ABS(SUMIFS(Journal!$AM$6:$AM$505,Journal!$B$6:$B$505,"&gt;="&amp;$B196,Journal!$B$6:$B$505,"&lt;"&amp;DATE(YEAR($B196),MONTH($B196)+1,1),Journal!$BP$6:$BP$505,1,Journal!$AM$6:$AM$505,"&lt;0")),"-")</f>
        <v>-</v>
      </c>
    </row>
    <row r="197" customFormat="false" ht="15" hidden="false" customHeight="false" outlineLevel="0" collapsed="false">
      <c r="B197" s="106" t="n">
        <f aca="false">DATE(YEAR(Settings!$C$7),MONTH(Settings!$C$7)+4,1)</f>
        <v>46388</v>
      </c>
      <c r="C197" s="96" t="n">
        <f aca="false">D197+E197+F197</f>
        <v>0</v>
      </c>
      <c r="D197" s="96" t="n">
        <f aca="false">COUNTIFS(Journal!$B$6:$B$505,"&gt;="&amp;$B197,Journal!$B$6:$B$505,"&lt;"&amp;DATE(YEAR($B197),MONTH($B197)+1,1),Journal!$BP$6:$BP$505,1,Journal!$AL$6:$AL$505,"Win")</f>
        <v>0</v>
      </c>
      <c r="E197" s="96" t="n">
        <f aca="false">COUNTIFS(Journal!$B$6:$B$505,"&gt;="&amp;$B197,Journal!$B$6:$B$505,"&lt;"&amp;DATE(YEAR($B197),MONTH($B197)+1,1),Journal!$BP$6:$BP$505,1,Journal!$AL$6:$AL$505,"Loss")</f>
        <v>0</v>
      </c>
      <c r="F197" s="96" t="n">
        <f aca="false">COUNTIFS(Journal!$B$6:$B$505,"&gt;="&amp;$B197,Journal!$B$6:$B$505,"&lt;"&amp;DATE(YEAR($B197),MONTH($B197)+1,1),Journal!$BP$6:$BP$505,1,Journal!$AL$6:$AL$505,"BE")</f>
        <v>0</v>
      </c>
      <c r="G197" s="97" t="n">
        <f aca="false">IFERROR(D197/C197,0)</f>
        <v>0</v>
      </c>
      <c r="H197" s="98" t="n">
        <f aca="false">SUMIFS(Journal!$AK$6:$AK$505,Journal!$B$6:$B$505,"&gt;="&amp;$B197,Journal!$B$6:$B$505,"&lt;"&amp;DATE(YEAR($B197),MONTH($B197)+1,1),Journal!$BP$6:$BP$505,1)</f>
        <v>0</v>
      </c>
      <c r="I197" s="98" t="n">
        <f aca="false">IFERROR(H197/C197,0)</f>
        <v>0</v>
      </c>
      <c r="J197" s="99" t="n">
        <f aca="false">SUMIFS(Journal!$AM$6:$AM$505,Journal!$B$6:$B$505,"&gt;="&amp;$B197,Journal!$B$6:$B$505,"&lt;"&amp;DATE(YEAR($B197),MONTH($B197)+1,1),Journal!$BP$6:$BP$505,1)</f>
        <v>0</v>
      </c>
      <c r="K197" s="100" t="str">
        <f aca="false">IFERROR(SUMIFS(Journal!$AM$6:$AM$505,Journal!$B$6:$B$505,"&gt;="&amp;$B197,Journal!$B$6:$B$505,"&lt;"&amp;DATE(YEAR($B197),MONTH($B197)+1,1),Journal!$BP$6:$BP$505,1,Journal!$AM$6:$AM$505,"&gt;0")/ABS(SUMIFS(Journal!$AM$6:$AM$505,Journal!$B$6:$B$505,"&gt;="&amp;$B197,Journal!$B$6:$B$505,"&lt;"&amp;DATE(YEAR($B197),MONTH($B197)+1,1),Journal!$BP$6:$BP$505,1,Journal!$AM$6:$AM$505,"&lt;0")),"-")</f>
        <v>-</v>
      </c>
    </row>
    <row r="198" customFormat="false" ht="15" hidden="false" customHeight="false" outlineLevel="0" collapsed="false">
      <c r="B198" s="106" t="n">
        <f aca="false">DATE(YEAR(Settings!$C$7),MONTH(Settings!$C$7)+5,1)</f>
        <v>46419</v>
      </c>
      <c r="C198" s="96" t="n">
        <f aca="false">D198+E198+F198</f>
        <v>0</v>
      </c>
      <c r="D198" s="96" t="n">
        <f aca="false">COUNTIFS(Journal!$B$6:$B$505,"&gt;="&amp;$B198,Journal!$B$6:$B$505,"&lt;"&amp;DATE(YEAR($B198),MONTH($B198)+1,1),Journal!$BP$6:$BP$505,1,Journal!$AL$6:$AL$505,"Win")</f>
        <v>0</v>
      </c>
      <c r="E198" s="96" t="n">
        <f aca="false">COUNTIFS(Journal!$B$6:$B$505,"&gt;="&amp;$B198,Journal!$B$6:$B$505,"&lt;"&amp;DATE(YEAR($B198),MONTH($B198)+1,1),Journal!$BP$6:$BP$505,1,Journal!$AL$6:$AL$505,"Loss")</f>
        <v>0</v>
      </c>
      <c r="F198" s="96" t="n">
        <f aca="false">COUNTIFS(Journal!$B$6:$B$505,"&gt;="&amp;$B198,Journal!$B$6:$B$505,"&lt;"&amp;DATE(YEAR($B198),MONTH($B198)+1,1),Journal!$BP$6:$BP$505,1,Journal!$AL$6:$AL$505,"BE")</f>
        <v>0</v>
      </c>
      <c r="G198" s="97" t="n">
        <f aca="false">IFERROR(D198/C198,0)</f>
        <v>0</v>
      </c>
      <c r="H198" s="98" t="n">
        <f aca="false">SUMIFS(Journal!$AK$6:$AK$505,Journal!$B$6:$B$505,"&gt;="&amp;$B198,Journal!$B$6:$B$505,"&lt;"&amp;DATE(YEAR($B198),MONTH($B198)+1,1),Journal!$BP$6:$BP$505,1)</f>
        <v>0</v>
      </c>
      <c r="I198" s="98" t="n">
        <f aca="false">IFERROR(H198/C198,0)</f>
        <v>0</v>
      </c>
      <c r="J198" s="99" t="n">
        <f aca="false">SUMIFS(Journal!$AM$6:$AM$505,Journal!$B$6:$B$505,"&gt;="&amp;$B198,Journal!$B$6:$B$505,"&lt;"&amp;DATE(YEAR($B198),MONTH($B198)+1,1),Journal!$BP$6:$BP$505,1)</f>
        <v>0</v>
      </c>
      <c r="K198" s="100" t="str">
        <f aca="false">IFERROR(SUMIFS(Journal!$AM$6:$AM$505,Journal!$B$6:$B$505,"&gt;="&amp;$B198,Journal!$B$6:$B$505,"&lt;"&amp;DATE(YEAR($B198),MONTH($B198)+1,1),Journal!$BP$6:$BP$505,1,Journal!$AM$6:$AM$505,"&gt;0")/ABS(SUMIFS(Journal!$AM$6:$AM$505,Journal!$B$6:$B$505,"&gt;="&amp;$B198,Journal!$B$6:$B$505,"&lt;"&amp;DATE(YEAR($B198),MONTH($B198)+1,1),Journal!$BP$6:$BP$505,1,Journal!$AM$6:$AM$505,"&lt;0")),"-")</f>
        <v>-</v>
      </c>
    </row>
    <row r="199" customFormat="false" ht="15" hidden="false" customHeight="false" outlineLevel="0" collapsed="false">
      <c r="B199" s="106" t="n">
        <f aca="false">DATE(YEAR(Settings!$C$7),MONTH(Settings!$C$7)+6,1)</f>
        <v>46447</v>
      </c>
      <c r="C199" s="96" t="n">
        <f aca="false">D199+E199+F199</f>
        <v>0</v>
      </c>
      <c r="D199" s="96" t="n">
        <f aca="false">COUNTIFS(Journal!$B$6:$B$505,"&gt;="&amp;$B199,Journal!$B$6:$B$505,"&lt;"&amp;DATE(YEAR($B199),MONTH($B199)+1,1),Journal!$BP$6:$BP$505,1,Journal!$AL$6:$AL$505,"Win")</f>
        <v>0</v>
      </c>
      <c r="E199" s="96" t="n">
        <f aca="false">COUNTIFS(Journal!$B$6:$B$505,"&gt;="&amp;$B199,Journal!$B$6:$B$505,"&lt;"&amp;DATE(YEAR($B199),MONTH($B199)+1,1),Journal!$BP$6:$BP$505,1,Journal!$AL$6:$AL$505,"Loss")</f>
        <v>0</v>
      </c>
      <c r="F199" s="96" t="n">
        <f aca="false">COUNTIFS(Journal!$B$6:$B$505,"&gt;="&amp;$B199,Journal!$B$6:$B$505,"&lt;"&amp;DATE(YEAR($B199),MONTH($B199)+1,1),Journal!$BP$6:$BP$505,1,Journal!$AL$6:$AL$505,"BE")</f>
        <v>0</v>
      </c>
      <c r="G199" s="97" t="n">
        <f aca="false">IFERROR(D199/C199,0)</f>
        <v>0</v>
      </c>
      <c r="H199" s="98" t="n">
        <f aca="false">SUMIFS(Journal!$AK$6:$AK$505,Journal!$B$6:$B$505,"&gt;="&amp;$B199,Journal!$B$6:$B$505,"&lt;"&amp;DATE(YEAR($B199),MONTH($B199)+1,1),Journal!$BP$6:$BP$505,1)</f>
        <v>0</v>
      </c>
      <c r="I199" s="98" t="n">
        <f aca="false">IFERROR(H199/C199,0)</f>
        <v>0</v>
      </c>
      <c r="J199" s="99" t="n">
        <f aca="false">SUMIFS(Journal!$AM$6:$AM$505,Journal!$B$6:$B$505,"&gt;="&amp;$B199,Journal!$B$6:$B$505,"&lt;"&amp;DATE(YEAR($B199),MONTH($B199)+1,1),Journal!$BP$6:$BP$505,1)</f>
        <v>0</v>
      </c>
      <c r="K199" s="100" t="str">
        <f aca="false">IFERROR(SUMIFS(Journal!$AM$6:$AM$505,Journal!$B$6:$B$505,"&gt;="&amp;$B199,Journal!$B$6:$B$505,"&lt;"&amp;DATE(YEAR($B199),MONTH($B199)+1,1),Journal!$BP$6:$BP$505,1,Journal!$AM$6:$AM$505,"&gt;0")/ABS(SUMIFS(Journal!$AM$6:$AM$505,Journal!$B$6:$B$505,"&gt;="&amp;$B199,Journal!$B$6:$B$505,"&lt;"&amp;DATE(YEAR($B199),MONTH($B199)+1,1),Journal!$BP$6:$BP$505,1,Journal!$AM$6:$AM$505,"&lt;0")),"-")</f>
        <v>-</v>
      </c>
    </row>
    <row r="200" customFormat="false" ht="15" hidden="false" customHeight="false" outlineLevel="0" collapsed="false">
      <c r="B200" s="106" t="n">
        <f aca="false">DATE(YEAR(Settings!$C$7),MONTH(Settings!$C$7)+7,1)</f>
        <v>46478</v>
      </c>
      <c r="C200" s="96" t="n">
        <f aca="false">D200+E200+F200</f>
        <v>0</v>
      </c>
      <c r="D200" s="96" t="n">
        <f aca="false">COUNTIFS(Journal!$B$6:$B$505,"&gt;="&amp;$B200,Journal!$B$6:$B$505,"&lt;"&amp;DATE(YEAR($B200),MONTH($B200)+1,1),Journal!$BP$6:$BP$505,1,Journal!$AL$6:$AL$505,"Win")</f>
        <v>0</v>
      </c>
      <c r="E200" s="96" t="n">
        <f aca="false">COUNTIFS(Journal!$B$6:$B$505,"&gt;="&amp;$B200,Journal!$B$6:$B$505,"&lt;"&amp;DATE(YEAR($B200),MONTH($B200)+1,1),Journal!$BP$6:$BP$505,1,Journal!$AL$6:$AL$505,"Loss")</f>
        <v>0</v>
      </c>
      <c r="F200" s="96" t="n">
        <f aca="false">COUNTIFS(Journal!$B$6:$B$505,"&gt;="&amp;$B200,Journal!$B$6:$B$505,"&lt;"&amp;DATE(YEAR($B200),MONTH($B200)+1,1),Journal!$BP$6:$BP$505,1,Journal!$AL$6:$AL$505,"BE")</f>
        <v>0</v>
      </c>
      <c r="G200" s="97" t="n">
        <f aca="false">IFERROR(D200/C200,0)</f>
        <v>0</v>
      </c>
      <c r="H200" s="98" t="n">
        <f aca="false">SUMIFS(Journal!$AK$6:$AK$505,Journal!$B$6:$B$505,"&gt;="&amp;$B200,Journal!$B$6:$B$505,"&lt;"&amp;DATE(YEAR($B200),MONTH($B200)+1,1),Journal!$BP$6:$BP$505,1)</f>
        <v>0</v>
      </c>
      <c r="I200" s="98" t="n">
        <f aca="false">IFERROR(H200/C200,0)</f>
        <v>0</v>
      </c>
      <c r="J200" s="99" t="n">
        <f aca="false">SUMIFS(Journal!$AM$6:$AM$505,Journal!$B$6:$B$505,"&gt;="&amp;$B200,Journal!$B$6:$B$505,"&lt;"&amp;DATE(YEAR($B200),MONTH($B200)+1,1),Journal!$BP$6:$BP$505,1)</f>
        <v>0</v>
      </c>
      <c r="K200" s="100" t="str">
        <f aca="false">IFERROR(SUMIFS(Journal!$AM$6:$AM$505,Journal!$B$6:$B$505,"&gt;="&amp;$B200,Journal!$B$6:$B$505,"&lt;"&amp;DATE(YEAR($B200),MONTH($B200)+1,1),Journal!$BP$6:$BP$505,1,Journal!$AM$6:$AM$505,"&gt;0")/ABS(SUMIFS(Journal!$AM$6:$AM$505,Journal!$B$6:$B$505,"&gt;="&amp;$B200,Journal!$B$6:$B$505,"&lt;"&amp;DATE(YEAR($B200),MONTH($B200)+1,1),Journal!$BP$6:$BP$505,1,Journal!$AM$6:$AM$505,"&lt;0")),"-")</f>
        <v>-</v>
      </c>
    </row>
    <row r="201" customFormat="false" ht="15" hidden="false" customHeight="false" outlineLevel="0" collapsed="false">
      <c r="B201" s="106" t="n">
        <f aca="false">DATE(YEAR(Settings!$C$7),MONTH(Settings!$C$7)+8,1)</f>
        <v>46508</v>
      </c>
      <c r="C201" s="96" t="n">
        <f aca="false">D201+E201+F201</f>
        <v>0</v>
      </c>
      <c r="D201" s="96" t="n">
        <f aca="false">COUNTIFS(Journal!$B$6:$B$505,"&gt;="&amp;$B201,Journal!$B$6:$B$505,"&lt;"&amp;DATE(YEAR($B201),MONTH($B201)+1,1),Journal!$BP$6:$BP$505,1,Journal!$AL$6:$AL$505,"Win")</f>
        <v>0</v>
      </c>
      <c r="E201" s="96" t="n">
        <f aca="false">COUNTIFS(Journal!$B$6:$B$505,"&gt;="&amp;$B201,Journal!$B$6:$B$505,"&lt;"&amp;DATE(YEAR($B201),MONTH($B201)+1,1),Journal!$BP$6:$BP$505,1,Journal!$AL$6:$AL$505,"Loss")</f>
        <v>0</v>
      </c>
      <c r="F201" s="96" t="n">
        <f aca="false">COUNTIFS(Journal!$B$6:$B$505,"&gt;="&amp;$B201,Journal!$B$6:$B$505,"&lt;"&amp;DATE(YEAR($B201),MONTH($B201)+1,1),Journal!$BP$6:$BP$505,1,Journal!$AL$6:$AL$505,"BE")</f>
        <v>0</v>
      </c>
      <c r="G201" s="97" t="n">
        <f aca="false">IFERROR(D201/C201,0)</f>
        <v>0</v>
      </c>
      <c r="H201" s="98" t="n">
        <f aca="false">SUMIFS(Journal!$AK$6:$AK$505,Journal!$B$6:$B$505,"&gt;="&amp;$B201,Journal!$B$6:$B$505,"&lt;"&amp;DATE(YEAR($B201),MONTH($B201)+1,1),Journal!$BP$6:$BP$505,1)</f>
        <v>0</v>
      </c>
      <c r="I201" s="98" t="n">
        <f aca="false">IFERROR(H201/C201,0)</f>
        <v>0</v>
      </c>
      <c r="J201" s="99" t="n">
        <f aca="false">SUMIFS(Journal!$AM$6:$AM$505,Journal!$B$6:$B$505,"&gt;="&amp;$B201,Journal!$B$6:$B$505,"&lt;"&amp;DATE(YEAR($B201),MONTH($B201)+1,1),Journal!$BP$6:$BP$505,1)</f>
        <v>0</v>
      </c>
      <c r="K201" s="100" t="str">
        <f aca="false">IFERROR(SUMIFS(Journal!$AM$6:$AM$505,Journal!$B$6:$B$505,"&gt;="&amp;$B201,Journal!$B$6:$B$505,"&lt;"&amp;DATE(YEAR($B201),MONTH($B201)+1,1),Journal!$BP$6:$BP$505,1,Journal!$AM$6:$AM$505,"&gt;0")/ABS(SUMIFS(Journal!$AM$6:$AM$505,Journal!$B$6:$B$505,"&gt;="&amp;$B201,Journal!$B$6:$B$505,"&lt;"&amp;DATE(YEAR($B201),MONTH($B201)+1,1),Journal!$BP$6:$BP$505,1,Journal!$AM$6:$AM$505,"&lt;0")),"-")</f>
        <v>-</v>
      </c>
    </row>
    <row r="202" customFormat="false" ht="15" hidden="false" customHeight="false" outlineLevel="0" collapsed="false">
      <c r="B202" s="106" t="n">
        <f aca="false">DATE(YEAR(Settings!$C$7),MONTH(Settings!$C$7)+9,1)</f>
        <v>46539</v>
      </c>
      <c r="C202" s="96" t="n">
        <f aca="false">D202+E202+F202</f>
        <v>0</v>
      </c>
      <c r="D202" s="96" t="n">
        <f aca="false">COUNTIFS(Journal!$B$6:$B$505,"&gt;="&amp;$B202,Journal!$B$6:$B$505,"&lt;"&amp;DATE(YEAR($B202),MONTH($B202)+1,1),Journal!$BP$6:$BP$505,1,Journal!$AL$6:$AL$505,"Win")</f>
        <v>0</v>
      </c>
      <c r="E202" s="96" t="n">
        <f aca="false">COUNTIFS(Journal!$B$6:$B$505,"&gt;="&amp;$B202,Journal!$B$6:$B$505,"&lt;"&amp;DATE(YEAR($B202),MONTH($B202)+1,1),Journal!$BP$6:$BP$505,1,Journal!$AL$6:$AL$505,"Loss")</f>
        <v>0</v>
      </c>
      <c r="F202" s="96" t="n">
        <f aca="false">COUNTIFS(Journal!$B$6:$B$505,"&gt;="&amp;$B202,Journal!$B$6:$B$505,"&lt;"&amp;DATE(YEAR($B202),MONTH($B202)+1,1),Journal!$BP$6:$BP$505,1,Journal!$AL$6:$AL$505,"BE")</f>
        <v>0</v>
      </c>
      <c r="G202" s="97" t="n">
        <f aca="false">IFERROR(D202/C202,0)</f>
        <v>0</v>
      </c>
      <c r="H202" s="98" t="n">
        <f aca="false">SUMIFS(Journal!$AK$6:$AK$505,Journal!$B$6:$B$505,"&gt;="&amp;$B202,Journal!$B$6:$B$505,"&lt;"&amp;DATE(YEAR($B202),MONTH($B202)+1,1),Journal!$BP$6:$BP$505,1)</f>
        <v>0</v>
      </c>
      <c r="I202" s="98" t="n">
        <f aca="false">IFERROR(H202/C202,0)</f>
        <v>0</v>
      </c>
      <c r="J202" s="99" t="n">
        <f aca="false">SUMIFS(Journal!$AM$6:$AM$505,Journal!$B$6:$B$505,"&gt;="&amp;$B202,Journal!$B$6:$B$505,"&lt;"&amp;DATE(YEAR($B202),MONTH($B202)+1,1),Journal!$BP$6:$BP$505,1)</f>
        <v>0</v>
      </c>
      <c r="K202" s="100" t="str">
        <f aca="false">IFERROR(SUMIFS(Journal!$AM$6:$AM$505,Journal!$B$6:$B$505,"&gt;="&amp;$B202,Journal!$B$6:$B$505,"&lt;"&amp;DATE(YEAR($B202),MONTH($B202)+1,1),Journal!$BP$6:$BP$505,1,Journal!$AM$6:$AM$505,"&gt;0")/ABS(SUMIFS(Journal!$AM$6:$AM$505,Journal!$B$6:$B$505,"&gt;="&amp;$B202,Journal!$B$6:$B$505,"&lt;"&amp;DATE(YEAR($B202),MONTH($B202)+1,1),Journal!$BP$6:$BP$505,1,Journal!$AM$6:$AM$505,"&lt;0")),"-")</f>
        <v>-</v>
      </c>
    </row>
    <row r="203" customFormat="false" ht="15" hidden="false" customHeight="false" outlineLevel="0" collapsed="false">
      <c r="B203" s="106" t="n">
        <f aca="false">DATE(YEAR(Settings!$C$7),MONTH(Settings!$C$7)+10,1)</f>
        <v>46569</v>
      </c>
      <c r="C203" s="96" t="n">
        <f aca="false">D203+E203+F203</f>
        <v>0</v>
      </c>
      <c r="D203" s="96" t="n">
        <f aca="false">COUNTIFS(Journal!$B$6:$B$505,"&gt;="&amp;$B203,Journal!$B$6:$B$505,"&lt;"&amp;DATE(YEAR($B203),MONTH($B203)+1,1),Journal!$BP$6:$BP$505,1,Journal!$AL$6:$AL$505,"Win")</f>
        <v>0</v>
      </c>
      <c r="E203" s="96" t="n">
        <f aca="false">COUNTIFS(Journal!$B$6:$B$505,"&gt;="&amp;$B203,Journal!$B$6:$B$505,"&lt;"&amp;DATE(YEAR($B203),MONTH($B203)+1,1),Journal!$BP$6:$BP$505,1,Journal!$AL$6:$AL$505,"Loss")</f>
        <v>0</v>
      </c>
      <c r="F203" s="96" t="n">
        <f aca="false">COUNTIFS(Journal!$B$6:$B$505,"&gt;="&amp;$B203,Journal!$B$6:$B$505,"&lt;"&amp;DATE(YEAR($B203),MONTH($B203)+1,1),Journal!$BP$6:$BP$505,1,Journal!$AL$6:$AL$505,"BE")</f>
        <v>0</v>
      </c>
      <c r="G203" s="97" t="n">
        <f aca="false">IFERROR(D203/C203,0)</f>
        <v>0</v>
      </c>
      <c r="H203" s="98" t="n">
        <f aca="false">SUMIFS(Journal!$AK$6:$AK$505,Journal!$B$6:$B$505,"&gt;="&amp;$B203,Journal!$B$6:$B$505,"&lt;"&amp;DATE(YEAR($B203),MONTH($B203)+1,1),Journal!$BP$6:$BP$505,1)</f>
        <v>0</v>
      </c>
      <c r="I203" s="98" t="n">
        <f aca="false">IFERROR(H203/C203,0)</f>
        <v>0</v>
      </c>
      <c r="J203" s="99" t="n">
        <f aca="false">SUMIFS(Journal!$AM$6:$AM$505,Journal!$B$6:$B$505,"&gt;="&amp;$B203,Journal!$B$6:$B$505,"&lt;"&amp;DATE(YEAR($B203),MONTH($B203)+1,1),Journal!$BP$6:$BP$505,1)</f>
        <v>0</v>
      </c>
      <c r="K203" s="100" t="str">
        <f aca="false">IFERROR(SUMIFS(Journal!$AM$6:$AM$505,Journal!$B$6:$B$505,"&gt;="&amp;$B203,Journal!$B$6:$B$505,"&lt;"&amp;DATE(YEAR($B203),MONTH($B203)+1,1),Journal!$BP$6:$BP$505,1,Journal!$AM$6:$AM$505,"&gt;0")/ABS(SUMIFS(Journal!$AM$6:$AM$505,Journal!$B$6:$B$505,"&gt;="&amp;$B203,Journal!$B$6:$B$505,"&lt;"&amp;DATE(YEAR($B203),MONTH($B203)+1,1),Journal!$BP$6:$BP$505,1,Journal!$AM$6:$AM$505,"&lt;0")),"-")</f>
        <v>-</v>
      </c>
    </row>
    <row r="204" customFormat="false" ht="15" hidden="false" customHeight="false" outlineLevel="0" collapsed="false">
      <c r="B204" s="106" t="n">
        <f aca="false">DATE(YEAR(Settings!$C$7),MONTH(Settings!$C$7)+11,1)</f>
        <v>46600</v>
      </c>
      <c r="C204" s="96" t="n">
        <f aca="false">D204+E204+F204</f>
        <v>0</v>
      </c>
      <c r="D204" s="96" t="n">
        <f aca="false">COUNTIFS(Journal!$B$6:$B$505,"&gt;="&amp;$B204,Journal!$B$6:$B$505,"&lt;"&amp;DATE(YEAR($B204),MONTH($B204)+1,1),Journal!$BP$6:$BP$505,1,Journal!$AL$6:$AL$505,"Win")</f>
        <v>0</v>
      </c>
      <c r="E204" s="96" t="n">
        <f aca="false">COUNTIFS(Journal!$B$6:$B$505,"&gt;="&amp;$B204,Journal!$B$6:$B$505,"&lt;"&amp;DATE(YEAR($B204),MONTH($B204)+1,1),Journal!$BP$6:$BP$505,1,Journal!$AL$6:$AL$505,"Loss")</f>
        <v>0</v>
      </c>
      <c r="F204" s="96" t="n">
        <f aca="false">COUNTIFS(Journal!$B$6:$B$505,"&gt;="&amp;$B204,Journal!$B$6:$B$505,"&lt;"&amp;DATE(YEAR($B204),MONTH($B204)+1,1),Journal!$BP$6:$BP$505,1,Journal!$AL$6:$AL$505,"BE")</f>
        <v>0</v>
      </c>
      <c r="G204" s="97" t="n">
        <f aca="false">IFERROR(D204/C204,0)</f>
        <v>0</v>
      </c>
      <c r="H204" s="98" t="n">
        <f aca="false">SUMIFS(Journal!$AK$6:$AK$505,Journal!$B$6:$B$505,"&gt;="&amp;$B204,Journal!$B$6:$B$505,"&lt;"&amp;DATE(YEAR($B204),MONTH($B204)+1,1),Journal!$BP$6:$BP$505,1)</f>
        <v>0</v>
      </c>
      <c r="I204" s="98" t="n">
        <f aca="false">IFERROR(H204/C204,0)</f>
        <v>0</v>
      </c>
      <c r="J204" s="99" t="n">
        <f aca="false">SUMIFS(Journal!$AM$6:$AM$505,Journal!$B$6:$B$505,"&gt;="&amp;$B204,Journal!$B$6:$B$505,"&lt;"&amp;DATE(YEAR($B204),MONTH($B204)+1,1),Journal!$BP$6:$BP$505,1)</f>
        <v>0</v>
      </c>
      <c r="K204" s="100" t="str">
        <f aca="false">IFERROR(SUMIFS(Journal!$AM$6:$AM$505,Journal!$B$6:$B$505,"&gt;="&amp;$B204,Journal!$B$6:$B$505,"&lt;"&amp;DATE(YEAR($B204),MONTH($B204)+1,1),Journal!$BP$6:$BP$505,1,Journal!$AM$6:$AM$505,"&gt;0")/ABS(SUMIFS(Journal!$AM$6:$AM$505,Journal!$B$6:$B$505,"&gt;="&amp;$B204,Journal!$B$6:$B$505,"&lt;"&amp;DATE(YEAR($B204),MONTH($B204)+1,1),Journal!$BP$6:$BP$505,1,Journal!$AM$6:$AM$505,"&lt;0")),"-")</f>
        <v>-</v>
      </c>
    </row>
    <row r="207" customFormat="false" ht="21.75" hidden="false" customHeight="true" outlineLevel="0" collapsed="false">
      <c r="B207" s="102" t="s">
        <v>273</v>
      </c>
      <c r="C207" s="17"/>
      <c r="D207" s="17"/>
      <c r="E207" s="17"/>
      <c r="F207" s="17"/>
      <c r="G207" s="17"/>
      <c r="H207" s="17"/>
      <c r="I207" s="17"/>
      <c r="J207" s="17"/>
      <c r="K207" s="17"/>
    </row>
    <row r="208" customFormat="false" ht="25.5" hidden="false" customHeight="true" outlineLevel="0" collapsed="false">
      <c r="B208" s="58" t="s">
        <v>220</v>
      </c>
      <c r="C208" s="58" t="s">
        <v>274</v>
      </c>
      <c r="D208" s="58" t="s">
        <v>218</v>
      </c>
      <c r="E208" s="58" t="s">
        <v>165</v>
      </c>
      <c r="F208" s="58" t="s">
        <v>275</v>
      </c>
    </row>
    <row r="209" customFormat="false" ht="15" hidden="false" customHeight="false" outlineLevel="0" collapsed="false">
      <c r="B209" s="13" t="str">
        <f aca="false">IF(Lists!$P$6="","",Lists!$P$6)</f>
        <v>Calm &amp; Focused</v>
      </c>
      <c r="C209" s="96" t="n">
        <f aca="false">IF($B209="","",COUNTIFS('Daily Journal'!$G$6:$G$135,$B209,'Daily Journal'!$D$6:$D$135,"&gt;0"))</f>
        <v>0</v>
      </c>
      <c r="D209" s="96" t="n">
        <f aca="false">IF($B209="","",SUMIFS('Daily Journal'!$D$6:$D$135,'Daily Journal'!$G$6:$G$135,$B209))</f>
        <v>0</v>
      </c>
      <c r="E209" s="99" t="n">
        <f aca="false">IF($B209="","",SUMIFS('Daily Journal'!$E$6:$E$135,'Daily Journal'!$G$6:$G$135,$B209))</f>
        <v>0</v>
      </c>
      <c r="F209" s="99" t="n">
        <f aca="false">IF($B209="","",IFERROR(E209/C209,0))</f>
        <v>0</v>
      </c>
    </row>
    <row r="210" customFormat="false" ht="15" hidden="false" customHeight="false" outlineLevel="0" collapsed="false">
      <c r="B210" s="13" t="str">
        <f aca="false">IF(Lists!$P$7="","",Lists!$P$7)</f>
        <v>Energised</v>
      </c>
      <c r="C210" s="96" t="n">
        <f aca="false">IF($B210="","",COUNTIFS('Daily Journal'!$G$6:$G$135,$B210,'Daily Journal'!$D$6:$D$135,"&gt;0"))</f>
        <v>0</v>
      </c>
      <c r="D210" s="96" t="n">
        <f aca="false">IF($B210="","",SUMIFS('Daily Journal'!$D$6:$D$135,'Daily Journal'!$G$6:$G$135,$B210))</f>
        <v>0</v>
      </c>
      <c r="E210" s="99" t="n">
        <f aca="false">IF($B210="","",SUMIFS('Daily Journal'!$E$6:$E$135,'Daily Journal'!$G$6:$G$135,$B210))</f>
        <v>0</v>
      </c>
      <c r="F210" s="99" t="n">
        <f aca="false">IF($B210="","",IFERROR(E210/C210,0))</f>
        <v>0</v>
      </c>
    </row>
    <row r="211" customFormat="false" ht="15" hidden="false" customHeight="false" outlineLevel="0" collapsed="false">
      <c r="B211" s="13" t="str">
        <f aca="false">IF(Lists!$P$8="","",Lists!$P$8)</f>
        <v>Neutral</v>
      </c>
      <c r="C211" s="96" t="n">
        <f aca="false">IF($B211="","",COUNTIFS('Daily Journal'!$G$6:$G$135,$B211,'Daily Journal'!$D$6:$D$135,"&gt;0"))</f>
        <v>0</v>
      </c>
      <c r="D211" s="96" t="n">
        <f aca="false">IF($B211="","",SUMIFS('Daily Journal'!$D$6:$D$135,'Daily Journal'!$G$6:$G$135,$B211))</f>
        <v>0</v>
      </c>
      <c r="E211" s="99" t="n">
        <f aca="false">IF($B211="","",SUMIFS('Daily Journal'!$E$6:$E$135,'Daily Journal'!$G$6:$G$135,$B211))</f>
        <v>0</v>
      </c>
      <c r="F211" s="99" t="n">
        <f aca="false">IF($B211="","",IFERROR(E211/C211,0))</f>
        <v>0</v>
      </c>
    </row>
    <row r="212" customFormat="false" ht="15" hidden="false" customHeight="false" outlineLevel="0" collapsed="false">
      <c r="B212" s="13" t="str">
        <f aca="false">IF(Lists!$P$9="","",Lists!$P$9)</f>
        <v>Tired</v>
      </c>
      <c r="C212" s="96" t="n">
        <f aca="false">IF($B212="","",COUNTIFS('Daily Journal'!$G$6:$G$135,$B212,'Daily Journal'!$D$6:$D$135,"&gt;0"))</f>
        <v>0</v>
      </c>
      <c r="D212" s="96" t="n">
        <f aca="false">IF($B212="","",SUMIFS('Daily Journal'!$D$6:$D$135,'Daily Journal'!$G$6:$G$135,$B212))</f>
        <v>0</v>
      </c>
      <c r="E212" s="99" t="n">
        <f aca="false">IF($B212="","",SUMIFS('Daily Journal'!$E$6:$E$135,'Daily Journal'!$G$6:$G$135,$B212))</f>
        <v>0</v>
      </c>
      <c r="F212" s="99" t="n">
        <f aca="false">IF($B212="","",IFERROR(E212/C212,0))</f>
        <v>0</v>
      </c>
    </row>
    <row r="213" customFormat="false" ht="15" hidden="false" customHeight="false" outlineLevel="0" collapsed="false">
      <c r="B213" s="13" t="str">
        <f aca="false">IF(Lists!$P$10="","",Lists!$P$10)</f>
        <v>Stressed</v>
      </c>
      <c r="C213" s="96" t="n">
        <f aca="false">IF($B213="","",COUNTIFS('Daily Journal'!$G$6:$G$135,$B213,'Daily Journal'!$D$6:$D$135,"&gt;0"))</f>
        <v>0</v>
      </c>
      <c r="D213" s="96" t="n">
        <f aca="false">IF($B213="","",SUMIFS('Daily Journal'!$D$6:$D$135,'Daily Journal'!$G$6:$G$135,$B213))</f>
        <v>0</v>
      </c>
      <c r="E213" s="99" t="n">
        <f aca="false">IF($B213="","",SUMIFS('Daily Journal'!$E$6:$E$135,'Daily Journal'!$G$6:$G$135,$B213))</f>
        <v>0</v>
      </c>
      <c r="F213" s="99" t="n">
        <f aca="false">IF($B213="","",IFERROR(E213/C213,0))</f>
        <v>0</v>
      </c>
    </row>
    <row r="214" customFormat="false" ht="15" hidden="false" customHeight="false" outlineLevel="0" collapsed="false">
      <c r="B214" s="13" t="str">
        <f aca="false">IF(Lists!$P$11="","",Lists!$P$11)</f>
        <v>Distracted</v>
      </c>
      <c r="C214" s="96" t="n">
        <f aca="false">IF($B214="","",COUNTIFS('Daily Journal'!$G$6:$G$135,$B214,'Daily Journal'!$D$6:$D$135,"&gt;0"))</f>
        <v>0</v>
      </c>
      <c r="D214" s="96" t="n">
        <f aca="false">IF($B214="","",SUMIFS('Daily Journal'!$D$6:$D$135,'Daily Journal'!$G$6:$G$135,$B214))</f>
        <v>0</v>
      </c>
      <c r="E214" s="99" t="n">
        <f aca="false">IF($B214="","",SUMIFS('Daily Journal'!$E$6:$E$135,'Daily Journal'!$G$6:$G$135,$B214))</f>
        <v>0</v>
      </c>
      <c r="F214" s="99" t="n">
        <f aca="false">IF($B214="","",IFERROR(E214/C214,0))</f>
        <v>0</v>
      </c>
    </row>
    <row r="216" customFormat="false" ht="22.35" hidden="false" customHeight="false" outlineLevel="0" collapsed="false">
      <c r="B216" s="58" t="s">
        <v>276</v>
      </c>
      <c r="C216" s="58" t="s">
        <v>274</v>
      </c>
      <c r="D216" s="58" t="s">
        <v>218</v>
      </c>
      <c r="E216" s="58" t="s">
        <v>165</v>
      </c>
      <c r="F216" s="58" t="s">
        <v>275</v>
      </c>
    </row>
    <row r="217" customFormat="false" ht="15" hidden="false" customHeight="false" outlineLevel="0" collapsed="false">
      <c r="B217" s="13" t="s">
        <v>277</v>
      </c>
      <c r="C217" s="96" t="n">
        <f aca="false">COUNTIFS('Daily Journal'!$F$6:$F$135,"&gt;=0",'Daily Journal'!$F$6:$F$135,"&lt;6",'Daily Journal'!$D$6:$D$135,"&gt;0")</f>
        <v>0</v>
      </c>
      <c r="D217" s="96" t="n">
        <f aca="false">SUMIFS('Daily Journal'!$D$6:$D$135,'Daily Journal'!$F$6:$F$135,"&gt;=0",'Daily Journal'!$F$6:$F$135,"&lt;6")</f>
        <v>0</v>
      </c>
      <c r="E217" s="99" t="n">
        <f aca="false">SUMIFS('Daily Journal'!$E$6:$E$135,'Daily Journal'!$F$6:$F$135,"&gt;=0",'Daily Journal'!$F$6:$F$135,"&lt;6")</f>
        <v>0</v>
      </c>
      <c r="F217" s="99" t="n">
        <f aca="false">IFERROR(E217/C217,0)</f>
        <v>0</v>
      </c>
    </row>
    <row r="218" customFormat="false" ht="15" hidden="false" customHeight="false" outlineLevel="0" collapsed="false">
      <c r="B218" s="13" t="s">
        <v>278</v>
      </c>
      <c r="C218" s="96" t="n">
        <f aca="false">COUNTIFS('Daily Journal'!$F$6:$F$135,"&gt;=6",'Daily Journal'!$F$6:$F$135,"&lt;7",'Daily Journal'!$D$6:$D$135,"&gt;0")</f>
        <v>0</v>
      </c>
      <c r="D218" s="96" t="n">
        <f aca="false">SUMIFS('Daily Journal'!$D$6:$D$135,'Daily Journal'!$F$6:$F$135,"&gt;=6",'Daily Journal'!$F$6:$F$135,"&lt;7")</f>
        <v>0</v>
      </c>
      <c r="E218" s="99" t="n">
        <f aca="false">SUMIFS('Daily Journal'!$E$6:$E$135,'Daily Journal'!$F$6:$F$135,"&gt;=6",'Daily Journal'!$F$6:$F$135,"&lt;7")</f>
        <v>0</v>
      </c>
      <c r="F218" s="99" t="n">
        <f aca="false">IFERROR(E218/C218,0)</f>
        <v>0</v>
      </c>
    </row>
    <row r="219" customFormat="false" ht="15" hidden="false" customHeight="false" outlineLevel="0" collapsed="false">
      <c r="B219" s="13" t="s">
        <v>279</v>
      </c>
      <c r="C219" s="96" t="n">
        <f aca="false">COUNTIFS('Daily Journal'!$F$6:$F$135,"&gt;=7",'Daily Journal'!$D$6:$D$135,"&gt;0")</f>
        <v>0</v>
      </c>
      <c r="D219" s="96" t="n">
        <f aca="false">SUMIFS('Daily Journal'!$D$6:$D$135,'Daily Journal'!$F$6:$F$135,"&gt;=7")</f>
        <v>0</v>
      </c>
      <c r="E219" s="99" t="n">
        <f aca="false">SUMIFS('Daily Journal'!$E$6:$E$135,'Daily Journal'!$F$6:$F$135,"&gt;=7")</f>
        <v>0</v>
      </c>
      <c r="F219" s="99" t="n">
        <f aca="false">IFERROR(E219/C219,0)</f>
        <v>0</v>
      </c>
    </row>
  </sheetData>
  <conditionalFormatting sqref="G7:G12">
    <cfRule type="dataBar" priority="2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{56995089-3312-4269-924F-B1BC7E2FADF3}</x14:id>
        </ext>
      </extLst>
    </cfRule>
  </conditionalFormatting>
  <conditionalFormatting sqref="I7:I12">
    <cfRule type="colorScale" priority="3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7:J12">
    <cfRule type="colorScale" priority="4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7:G28">
    <cfRule type="dataBar" priority="5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{F2671D21-A720-4845-9A15-B92C407258DE}</x14:id>
        </ext>
      </extLst>
    </cfRule>
  </conditionalFormatting>
  <conditionalFormatting sqref="I17:I28">
    <cfRule type="colorScale" priority="6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7:J28">
    <cfRule type="colorScale" priority="7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33:G44">
    <cfRule type="dataBar" priority="8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{A499B84F-6F5D-4EC0-BD78-50E2C97F6EF9}</x14:id>
        </ext>
      </extLst>
    </cfRule>
  </conditionalFormatting>
  <conditionalFormatting sqref="I33:I44">
    <cfRule type="colorScale" priority="9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33:J44">
    <cfRule type="colorScale" priority="10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49:G56">
    <cfRule type="dataBar" priority="11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{36C45135-5AD4-495A-B5E1-14EFB53713E1}</x14:id>
        </ext>
      </extLst>
    </cfRule>
  </conditionalFormatting>
  <conditionalFormatting sqref="I49:I56">
    <cfRule type="colorScale" priority="12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49:J56">
    <cfRule type="colorScale" priority="13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61:G68">
    <cfRule type="dataBar" priority="14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{CAF0AB43-FCB3-4CCA-B4C0-9AB368E08FDE}</x14:id>
        </ext>
      </extLst>
    </cfRule>
  </conditionalFormatting>
  <conditionalFormatting sqref="I61:I68">
    <cfRule type="colorScale" priority="15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61:J68">
    <cfRule type="colorScale" priority="16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73:G74">
    <cfRule type="dataBar" priority="17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{34745750-62A9-4A2D-B5E6-F7AED3C83B59}</x14:id>
        </ext>
      </extLst>
    </cfRule>
  </conditionalFormatting>
  <conditionalFormatting sqref="I73:I74">
    <cfRule type="colorScale" priority="18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73:J74">
    <cfRule type="colorScale" priority="19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79:G82">
    <cfRule type="dataBar" priority="20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{EC331EE0-6424-4DAF-959E-71E6DB26A780}</x14:id>
        </ext>
      </extLst>
    </cfRule>
  </conditionalFormatting>
  <conditionalFormatting sqref="I79:I82">
    <cfRule type="colorScale" priority="21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79:J82">
    <cfRule type="colorScale" priority="22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87:G90">
    <cfRule type="dataBar" priority="23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{5A7CE0A7-874B-4460-BE90-3FCD6DC161D5}</x14:id>
        </ext>
      </extLst>
    </cfRule>
  </conditionalFormatting>
  <conditionalFormatting sqref="I87:I90">
    <cfRule type="colorScale" priority="24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87:J90">
    <cfRule type="colorScale" priority="25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95:G96">
    <cfRule type="dataBar" priority="26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{14DBD360-ED61-49CF-8DDE-EBD4E4C67CDD}</x14:id>
        </ext>
      </extLst>
    </cfRule>
  </conditionalFormatting>
  <conditionalFormatting sqref="I95:I96">
    <cfRule type="colorScale" priority="27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95:J96">
    <cfRule type="colorScale" priority="28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01:G107">
    <cfRule type="dataBar" priority="29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{C050CE84-88F1-4DB3-A5A4-11CD599236A5}</x14:id>
        </ext>
      </extLst>
    </cfRule>
  </conditionalFormatting>
  <conditionalFormatting sqref="I101:I107">
    <cfRule type="colorScale" priority="30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01:J107">
    <cfRule type="colorScale" priority="31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12:G135">
    <cfRule type="dataBar" priority="32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{B27376E0-AD66-4B50-8FA8-FF89FABD348E}</x14:id>
        </ext>
      </extLst>
    </cfRule>
  </conditionalFormatting>
  <conditionalFormatting sqref="I112:I135">
    <cfRule type="colorScale" priority="33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12:J135">
    <cfRule type="colorScale" priority="34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40:G143">
    <cfRule type="dataBar" priority="35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{4F78E2E8-1152-4FFE-944B-C1F7E53335AA}</x14:id>
        </ext>
      </extLst>
    </cfRule>
  </conditionalFormatting>
  <conditionalFormatting sqref="I140:I143">
    <cfRule type="colorScale" priority="36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40:J143">
    <cfRule type="colorScale" priority="37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48:G155">
    <cfRule type="dataBar" priority="38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{CB1FCB73-35AA-406A-ACA8-7E18AF68D267}</x14:id>
        </ext>
      </extLst>
    </cfRule>
  </conditionalFormatting>
  <conditionalFormatting sqref="I148:I155">
    <cfRule type="colorScale" priority="39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48:J155">
    <cfRule type="colorScale" priority="40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60:G169">
    <cfRule type="dataBar" priority="41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{29312AC9-4A8F-4026-A1CD-92B91E3E4B95}</x14:id>
        </ext>
      </extLst>
    </cfRule>
  </conditionalFormatting>
  <conditionalFormatting sqref="I160:I169">
    <cfRule type="colorScale" priority="42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60:J169">
    <cfRule type="colorScale" priority="43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74:G178">
    <cfRule type="dataBar" priority="44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{5DDAEAE0-514F-40E9-B43E-C3663EAC29EE}</x14:id>
        </ext>
      </extLst>
    </cfRule>
  </conditionalFormatting>
  <conditionalFormatting sqref="I174:I178">
    <cfRule type="colorScale" priority="45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74:J178">
    <cfRule type="colorScale" priority="46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G183:G188">
    <cfRule type="dataBar" priority="47">
      <dataBar showValue="1" minLength="10" maxLength="90">
        <cfvo type="num" val="0"/>
        <cfvo type="num" val="1"/>
        <color rgb="FF6FA8DC"/>
      </dataBar>
      <extLst>
        <ext xmlns:x14="http://schemas.microsoft.com/office/spreadsheetml/2009/9/main" uri="{B025F937-C7B1-47D3-B67F-A62EFF666E3E}">
          <x14:id>{7D2F7336-AC36-4930-B1FA-69934A5272BC}</x14:id>
        </ext>
      </extLst>
    </cfRule>
  </conditionalFormatting>
  <conditionalFormatting sqref="I183:I188">
    <cfRule type="colorScale" priority="48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83:J188">
    <cfRule type="colorScale" priority="49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conditionalFormatting sqref="J193:J204">
    <cfRule type="colorScale" priority="50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hyperlinks>
    <hyperlink ref="M6" r:id="rId1" location="'Analytics'!B5" display="Session"/>
    <hyperlink ref="M7" r:id="rId2" location="'Analytics'!B15" display="Pair"/>
    <hyperlink ref="M8" r:id="rId3" location="'Analytics'!B31" display="Setup / Model"/>
    <hyperlink ref="M9" r:id="rId4" location="'Analytics'!B47" display="Zone Type"/>
    <hyperlink ref="M10" r:id="rId5" location="'Analytics'!B59" display="Sweep Type"/>
    <hyperlink ref="M11" r:id="rId6" location="'Analytics'!B71" display="Sweep vs No Sweep"/>
    <hyperlink ref="M12" r:id="rId7" location="'Analytics'!B77" display="HTF Bias"/>
    <hyperlink ref="M13" r:id="rId8" location="'Analytics'!B85" display="Setup Grade"/>
    <hyperlink ref="M14" r:id="rId9" location="'Analytics'!B93" display="Direction"/>
    <hyperlink ref="M15" r:id="rId10" location="'Analytics'!B99" display="Weekday"/>
    <hyperlink ref="M16" r:id="rId11" location="'Analytics'!B110" display="Entry Hour"/>
    <hyperlink ref="M17" r:id="rId12" location="'Analytics'!B138" display="Hold Time"/>
    <hyperlink ref="M18" r:id="rId13" location="'Analytics'!B146" display="Emotion"/>
    <hyperlink ref="M19" r:id="rId14" location="'Analytics'!B158" display="Mistake Tag"/>
    <hyperlink ref="M20" r:id="rId15" location="'Analytics'!B172" display="Rule Check"/>
    <hyperlink ref="M21" r:id="rId16" location="'Analytics'!B181" display="Account"/>
    <hyperlink ref="M22" r:id="rId17" location="'Analytics'!B191" display="Monthly"/>
    <hyperlink ref="M23" r:id="rId18" location="'Analytics'!B207" display="Mood and Slee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995089-3312-4269-924F-B1BC7E2FADF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G7:G12</xm:sqref>
        </x14:conditionalFormatting>
        <x14:conditionalFormatting xmlns:xm="http://schemas.microsoft.com/office/excel/2006/main">
          <x14:cfRule type="dataBar" id="{F2671D21-A720-4845-9A15-B92C407258D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G17:G28</xm:sqref>
        </x14:conditionalFormatting>
        <x14:conditionalFormatting xmlns:xm="http://schemas.microsoft.com/office/excel/2006/main">
          <x14:cfRule type="dataBar" id="{A499B84F-6F5D-4EC0-BD78-50E2C97F6EF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G33:G44</xm:sqref>
        </x14:conditionalFormatting>
        <x14:conditionalFormatting xmlns:xm="http://schemas.microsoft.com/office/excel/2006/main">
          <x14:cfRule type="dataBar" id="{36C45135-5AD4-495A-B5E1-14EFB53713E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G49:G56</xm:sqref>
        </x14:conditionalFormatting>
        <x14:conditionalFormatting xmlns:xm="http://schemas.microsoft.com/office/excel/2006/main">
          <x14:cfRule type="dataBar" id="{CAF0AB43-FCB3-4CCA-B4C0-9AB368E08FD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G61:G68</xm:sqref>
        </x14:conditionalFormatting>
        <x14:conditionalFormatting xmlns:xm="http://schemas.microsoft.com/office/excel/2006/main">
          <x14:cfRule type="dataBar" id="{34745750-62A9-4A2D-B5E6-F7AED3C83B5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G73:G74</xm:sqref>
        </x14:conditionalFormatting>
        <x14:conditionalFormatting xmlns:xm="http://schemas.microsoft.com/office/excel/2006/main">
          <x14:cfRule type="dataBar" id="{EC331EE0-6424-4DAF-959E-71E6DB26A78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G79:G82</xm:sqref>
        </x14:conditionalFormatting>
        <x14:conditionalFormatting xmlns:xm="http://schemas.microsoft.com/office/excel/2006/main">
          <x14:cfRule type="dataBar" id="{5A7CE0A7-874B-4460-BE90-3FCD6DC161D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G87:G90</xm:sqref>
        </x14:conditionalFormatting>
        <x14:conditionalFormatting xmlns:xm="http://schemas.microsoft.com/office/excel/2006/main">
          <x14:cfRule type="dataBar" id="{14DBD360-ED61-49CF-8DDE-EBD4E4C67CD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G95:G96</xm:sqref>
        </x14:conditionalFormatting>
        <x14:conditionalFormatting xmlns:xm="http://schemas.microsoft.com/office/excel/2006/main">
          <x14:cfRule type="dataBar" id="{C050CE84-88F1-4DB3-A5A4-11CD599236A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G101:G107</xm:sqref>
        </x14:conditionalFormatting>
        <x14:conditionalFormatting xmlns:xm="http://schemas.microsoft.com/office/excel/2006/main">
          <x14:cfRule type="dataBar" id="{B27376E0-AD66-4B50-8FA8-FF89FABD348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G112:G135</xm:sqref>
        </x14:conditionalFormatting>
        <x14:conditionalFormatting xmlns:xm="http://schemas.microsoft.com/office/excel/2006/main">
          <x14:cfRule type="dataBar" id="{4F78E2E8-1152-4FFE-944B-C1F7E53335A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G140:G143</xm:sqref>
        </x14:conditionalFormatting>
        <x14:conditionalFormatting xmlns:xm="http://schemas.microsoft.com/office/excel/2006/main">
          <x14:cfRule type="dataBar" id="{CB1FCB73-35AA-406A-ACA8-7E18AF68D26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G148:G155</xm:sqref>
        </x14:conditionalFormatting>
        <x14:conditionalFormatting xmlns:xm="http://schemas.microsoft.com/office/excel/2006/main">
          <x14:cfRule type="dataBar" id="{29312AC9-4A8F-4026-A1CD-92B91E3E4B9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G160:G169</xm:sqref>
        </x14:conditionalFormatting>
        <x14:conditionalFormatting xmlns:xm="http://schemas.microsoft.com/office/excel/2006/main">
          <x14:cfRule type="dataBar" id="{5DDAEAE0-514F-40E9-B43E-C3663EAC29E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G174:G178</xm:sqref>
        </x14:conditionalFormatting>
        <x14:conditionalFormatting xmlns:xm="http://schemas.microsoft.com/office/excel/2006/main">
          <x14:cfRule type="dataBar" id="{7D2F7336-AC36-4930-B1FA-69934A5272B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FA8DC"/>
              <x14:axisColor rgb="FF000000"/>
            </x14:dataBar>
          </x14:cfRule>
          <xm:sqref>G183:G188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4FB3"/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6" min="14" style="0" width="40"/>
  </cols>
  <sheetData>
    <row r="1" customFormat="false" ht="33.75" hidden="false" customHeight="true" outlineLevel="0" collapsed="false">
      <c r="A1" s="17"/>
      <c r="B1" s="107" t="s">
        <v>280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8" hidden="false" customHeight="true" outlineLevel="0" collapsed="false">
      <c r="A2" s="17"/>
      <c r="B2" s="108" t="s">
        <v>281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customFormat="false" ht="31.5" hidden="false" customHeight="true" outlineLevel="0" collapsed="false">
      <c r="B5" s="58" t="s">
        <v>282</v>
      </c>
      <c r="C5" s="58" t="s">
        <v>283</v>
      </c>
      <c r="D5" s="58" t="s">
        <v>284</v>
      </c>
      <c r="E5" s="58" t="s">
        <v>218</v>
      </c>
      <c r="F5" s="58" t="s">
        <v>227</v>
      </c>
      <c r="G5" s="58" t="s">
        <v>228</v>
      </c>
      <c r="H5" s="58" t="s">
        <v>229</v>
      </c>
      <c r="I5" s="58" t="s">
        <v>230</v>
      </c>
      <c r="J5" s="58" t="s">
        <v>285</v>
      </c>
      <c r="K5" s="58" t="s">
        <v>165</v>
      </c>
      <c r="L5" s="58" t="s">
        <v>286</v>
      </c>
      <c r="M5" s="58" t="s">
        <v>287</v>
      </c>
      <c r="N5" s="64" t="s">
        <v>288</v>
      </c>
      <c r="O5" s="64" t="s">
        <v>289</v>
      </c>
      <c r="P5" s="64" t="s">
        <v>290</v>
      </c>
    </row>
    <row r="6" customFormat="false" ht="21.75" hidden="false" customHeight="true" outlineLevel="0" collapsed="false">
      <c r="B6" s="109" t="n">
        <v>1</v>
      </c>
      <c r="C6" s="110" t="n">
        <f aca="false">Settings!$C$7-WEEKDAY(Settings!$C$7,2)+1+7*(B6-1)</f>
        <v>46293</v>
      </c>
      <c r="D6" s="110" t="n">
        <f aca="false">C6+6</f>
        <v>46299</v>
      </c>
      <c r="E6" s="109" t="n">
        <f aca="false">F6+G6+H6</f>
        <v>1</v>
      </c>
      <c r="F6" s="111" t="n">
        <f aca="false">COUNTIFS(Journal!$B$6:$B$505,"&gt;="&amp;$C6,Journal!$B$6:$B$505,"&lt;"&amp;($C6+7),Journal!$BP$6:$BP$505,1,Journal!$AL$6:$AL$505,"Win")</f>
        <v>1</v>
      </c>
      <c r="G6" s="111" t="n">
        <f aca="false">COUNTIFS(Journal!$B$6:$B$505,"&gt;="&amp;$C6,Journal!$B$6:$B$505,"&lt;"&amp;($C6+7),Journal!$BP$6:$BP$505,1,Journal!$AL$6:$AL$505,"Loss")</f>
        <v>0</v>
      </c>
      <c r="H6" s="111" t="n">
        <f aca="false">COUNTIFS(Journal!$B$6:$B$505,"&gt;="&amp;$C6,Journal!$B$6:$B$505,"&lt;"&amp;($C6+7),Journal!$BP$6:$BP$505,1,Journal!$AL$6:$AL$505,"BE")</f>
        <v>0</v>
      </c>
      <c r="I6" s="112" t="n">
        <f aca="false">IF(E6=0,"",F6/E6)</f>
        <v>1</v>
      </c>
      <c r="J6" s="113" t="n">
        <f aca="false">IF(E6=0,"",SUMIFS(Journal!$AK$6:$AK$505,Journal!$B$6:$B$505,"&gt;="&amp;$C6,Journal!$B$6:$B$505,"&lt;"&amp;($C6+7),Journal!$BP$6:$BP$505,1))</f>
        <v>2.33</v>
      </c>
      <c r="K6" s="114" t="n">
        <f aca="false">IF(E6=0,"",SUMIFS(Journal!$AM$6:$AM$505,Journal!$B$6:$B$505,"&gt;="&amp;$C6,Journal!$B$6:$B$505,"&lt;"&amp;($C6+7),Journal!$BP$6:$BP$505,1))</f>
        <v>229.5</v>
      </c>
      <c r="L6" s="111" t="n">
        <f aca="false">COUNTIFS(Journal!$B$6:$B$505,"&gt;="&amp;$C6,Journal!$B$6:$B$505,"&lt;"&amp;($C6+7),Journal!$BP$6:$BP$505,1,Journal!$BB$6:$BB$505,"Oversized")+COUNTIFS(Journal!$B$6:$B$505,"&gt;="&amp;$C6,Journal!$B$6:$B$505,"&lt;"&amp;($C6+7),Journal!$BP$6:$BP$505,1,Journal!$BB$6:$BB$505,"Overtraded")+COUNTIFS(Journal!$B$6:$B$505,"&gt;="&amp;$C6,Journal!$B$6:$B$505,"&lt;"&amp;($C6+7),Journal!$BP$6:$BP$505,1,Journal!$BB$6:$BB$505,"Daily loss hit")+COUNTIFS(Journal!$B$6:$B$505,"&gt;="&amp;$C6,Journal!$B$6:$B$505,"&lt;"&amp;($C6+7),Journal!$BP$6:$BP$505,1,Journal!$BB$6:$BB$505,"Weekly loss hit")</f>
        <v>0</v>
      </c>
      <c r="M6" s="112" t="n">
        <f aca="false">IFERROR(COUNTIFS(Journal!$B$6:$B$505,"&gt;="&amp;$C6,Journal!$B$6:$B$505,"&lt;"&amp;($C6+7),Journal!$BP$6:$BP$505,1,Journal!$BD$6:$BD$505,"Yes")/(COUNTIFS(Journal!$B$6:$B$505,"&gt;="&amp;$C6,Journal!$B$6:$B$505,"&lt;"&amp;($C6+7),Journal!$BP$6:$BP$505,1,Journal!$BD$6:$BD$505,"Yes")+COUNTIFS(Journal!$B$6:$B$505,"&gt;="&amp;$C6,Journal!$B$6:$B$505,"&lt;"&amp;($C6+7),Journal!$BP$6:$BP$505,1,Journal!$BD$6:$BD$505,"No")),"")</f>
        <v>1</v>
      </c>
      <c r="N6" s="90"/>
      <c r="O6" s="90"/>
      <c r="P6" s="90"/>
    </row>
    <row r="7" customFormat="false" ht="21.75" hidden="false" customHeight="true" outlineLevel="0" collapsed="false">
      <c r="B7" s="109" t="n">
        <v>2</v>
      </c>
      <c r="C7" s="110" t="n">
        <f aca="false">Settings!$C$7-WEEKDAY(Settings!$C$7,2)+1+7*(B7-1)</f>
        <v>46300</v>
      </c>
      <c r="D7" s="110" t="n">
        <f aca="false">C7+6</f>
        <v>46306</v>
      </c>
      <c r="E7" s="109" t="n">
        <f aca="false">F7+G7+H7</f>
        <v>0</v>
      </c>
      <c r="F7" s="111" t="n">
        <f aca="false">COUNTIFS(Journal!$B$6:$B$505,"&gt;="&amp;$C7,Journal!$B$6:$B$505,"&lt;"&amp;($C7+7),Journal!$BP$6:$BP$505,1,Journal!$AL$6:$AL$505,"Win")</f>
        <v>0</v>
      </c>
      <c r="G7" s="111" t="n">
        <f aca="false">COUNTIFS(Journal!$B$6:$B$505,"&gt;="&amp;$C7,Journal!$B$6:$B$505,"&lt;"&amp;($C7+7),Journal!$BP$6:$BP$505,1,Journal!$AL$6:$AL$505,"Loss")</f>
        <v>0</v>
      </c>
      <c r="H7" s="111" t="n">
        <f aca="false">COUNTIFS(Journal!$B$6:$B$505,"&gt;="&amp;$C7,Journal!$B$6:$B$505,"&lt;"&amp;($C7+7),Journal!$BP$6:$BP$505,1,Journal!$AL$6:$AL$505,"BE")</f>
        <v>0</v>
      </c>
      <c r="I7" s="112" t="str">
        <f aca="false">IF(E7=0,"",F7/E7)</f>
        <v/>
      </c>
      <c r="J7" s="113" t="str">
        <f aca="false">IF(E7=0,"",SUMIFS(Journal!$AK$6:$AK$505,Journal!$B$6:$B$505,"&gt;="&amp;$C7,Journal!$B$6:$B$505,"&lt;"&amp;($C7+7),Journal!$BP$6:$BP$505,1))</f>
        <v/>
      </c>
      <c r="K7" s="114" t="str">
        <f aca="false">IF(E7=0,"",SUMIFS(Journal!$AM$6:$AM$505,Journal!$B$6:$B$505,"&gt;="&amp;$C7,Journal!$B$6:$B$505,"&lt;"&amp;($C7+7),Journal!$BP$6:$BP$505,1))</f>
        <v/>
      </c>
      <c r="L7" s="111" t="n">
        <f aca="false">COUNTIFS(Journal!$B$6:$B$505,"&gt;="&amp;$C7,Journal!$B$6:$B$505,"&lt;"&amp;($C7+7),Journal!$BP$6:$BP$505,1,Journal!$BB$6:$BB$505,"Oversized")+COUNTIFS(Journal!$B$6:$B$505,"&gt;="&amp;$C7,Journal!$B$6:$B$505,"&lt;"&amp;($C7+7),Journal!$BP$6:$BP$505,1,Journal!$BB$6:$BB$505,"Overtraded")+COUNTIFS(Journal!$B$6:$B$505,"&gt;="&amp;$C7,Journal!$B$6:$B$505,"&lt;"&amp;($C7+7),Journal!$BP$6:$BP$505,1,Journal!$BB$6:$BB$505,"Daily loss hit")+COUNTIFS(Journal!$B$6:$B$505,"&gt;="&amp;$C7,Journal!$B$6:$B$505,"&lt;"&amp;($C7+7),Journal!$BP$6:$BP$505,1,Journal!$BB$6:$BB$505,"Weekly loss hit")</f>
        <v>0</v>
      </c>
      <c r="M7" s="112" t="str">
        <f aca="false">IFERROR(COUNTIFS(Journal!$B$6:$B$505,"&gt;="&amp;$C7,Journal!$B$6:$B$505,"&lt;"&amp;($C7+7),Journal!$BP$6:$BP$505,1,Journal!$BD$6:$BD$505,"Yes")/(COUNTIFS(Journal!$B$6:$B$505,"&gt;="&amp;$C7,Journal!$B$6:$B$505,"&lt;"&amp;($C7+7),Journal!$BP$6:$BP$505,1,Journal!$BD$6:$BD$505,"Yes")+COUNTIFS(Journal!$B$6:$B$505,"&gt;="&amp;$C7,Journal!$B$6:$B$505,"&lt;"&amp;($C7+7),Journal!$BP$6:$BP$505,1,Journal!$BD$6:$BD$505,"No")),"")</f>
        <v/>
      </c>
      <c r="N7" s="90"/>
      <c r="O7" s="90"/>
      <c r="P7" s="90"/>
    </row>
    <row r="8" customFormat="false" ht="21.75" hidden="false" customHeight="true" outlineLevel="0" collapsed="false">
      <c r="B8" s="109" t="n">
        <v>3</v>
      </c>
      <c r="C8" s="110" t="n">
        <f aca="false">Settings!$C$7-WEEKDAY(Settings!$C$7,2)+1+7*(B8-1)</f>
        <v>46307</v>
      </c>
      <c r="D8" s="110" t="n">
        <f aca="false">C8+6</f>
        <v>46313</v>
      </c>
      <c r="E8" s="109" t="n">
        <f aca="false">F8+G8+H8</f>
        <v>0</v>
      </c>
      <c r="F8" s="111" t="n">
        <f aca="false">COUNTIFS(Journal!$B$6:$B$505,"&gt;="&amp;$C8,Journal!$B$6:$B$505,"&lt;"&amp;($C8+7),Journal!$BP$6:$BP$505,1,Journal!$AL$6:$AL$505,"Win")</f>
        <v>0</v>
      </c>
      <c r="G8" s="111" t="n">
        <f aca="false">COUNTIFS(Journal!$B$6:$B$505,"&gt;="&amp;$C8,Journal!$B$6:$B$505,"&lt;"&amp;($C8+7),Journal!$BP$6:$BP$505,1,Journal!$AL$6:$AL$505,"Loss")</f>
        <v>0</v>
      </c>
      <c r="H8" s="111" t="n">
        <f aca="false">COUNTIFS(Journal!$B$6:$B$505,"&gt;="&amp;$C8,Journal!$B$6:$B$505,"&lt;"&amp;($C8+7),Journal!$BP$6:$BP$505,1,Journal!$AL$6:$AL$505,"BE")</f>
        <v>0</v>
      </c>
      <c r="I8" s="112" t="str">
        <f aca="false">IF(E8=0,"",F8/E8)</f>
        <v/>
      </c>
      <c r="J8" s="113" t="str">
        <f aca="false">IF(E8=0,"",SUMIFS(Journal!$AK$6:$AK$505,Journal!$B$6:$B$505,"&gt;="&amp;$C8,Journal!$B$6:$B$505,"&lt;"&amp;($C8+7),Journal!$BP$6:$BP$505,1))</f>
        <v/>
      </c>
      <c r="K8" s="114" t="str">
        <f aca="false">IF(E8=0,"",SUMIFS(Journal!$AM$6:$AM$505,Journal!$B$6:$B$505,"&gt;="&amp;$C8,Journal!$B$6:$B$505,"&lt;"&amp;($C8+7),Journal!$BP$6:$BP$505,1))</f>
        <v/>
      </c>
      <c r="L8" s="111" t="n">
        <f aca="false">COUNTIFS(Journal!$B$6:$B$505,"&gt;="&amp;$C8,Journal!$B$6:$B$505,"&lt;"&amp;($C8+7),Journal!$BP$6:$BP$505,1,Journal!$BB$6:$BB$505,"Oversized")+COUNTIFS(Journal!$B$6:$B$505,"&gt;="&amp;$C8,Journal!$B$6:$B$505,"&lt;"&amp;($C8+7),Journal!$BP$6:$BP$505,1,Journal!$BB$6:$BB$505,"Overtraded")+COUNTIFS(Journal!$B$6:$B$505,"&gt;="&amp;$C8,Journal!$B$6:$B$505,"&lt;"&amp;($C8+7),Journal!$BP$6:$BP$505,1,Journal!$BB$6:$BB$505,"Daily loss hit")+COUNTIFS(Journal!$B$6:$B$505,"&gt;="&amp;$C8,Journal!$B$6:$B$505,"&lt;"&amp;($C8+7),Journal!$BP$6:$BP$505,1,Journal!$BB$6:$BB$505,"Weekly loss hit")</f>
        <v>0</v>
      </c>
      <c r="M8" s="112" t="str">
        <f aca="false">IFERROR(COUNTIFS(Journal!$B$6:$B$505,"&gt;="&amp;$C8,Journal!$B$6:$B$505,"&lt;"&amp;($C8+7),Journal!$BP$6:$BP$505,1,Journal!$BD$6:$BD$505,"Yes")/(COUNTIFS(Journal!$B$6:$B$505,"&gt;="&amp;$C8,Journal!$B$6:$B$505,"&lt;"&amp;($C8+7),Journal!$BP$6:$BP$505,1,Journal!$BD$6:$BD$505,"Yes")+COUNTIFS(Journal!$B$6:$B$505,"&gt;="&amp;$C8,Journal!$B$6:$B$505,"&lt;"&amp;($C8+7),Journal!$BP$6:$BP$505,1,Journal!$BD$6:$BD$505,"No")),"")</f>
        <v/>
      </c>
      <c r="N8" s="90"/>
      <c r="O8" s="90"/>
      <c r="P8" s="90"/>
    </row>
    <row r="9" customFormat="false" ht="21.75" hidden="false" customHeight="true" outlineLevel="0" collapsed="false">
      <c r="B9" s="109" t="n">
        <v>4</v>
      </c>
      <c r="C9" s="110" t="n">
        <f aca="false">Settings!$C$7-WEEKDAY(Settings!$C$7,2)+1+7*(B9-1)</f>
        <v>46314</v>
      </c>
      <c r="D9" s="110" t="n">
        <f aca="false">C9+6</f>
        <v>46320</v>
      </c>
      <c r="E9" s="109" t="n">
        <f aca="false">F9+G9+H9</f>
        <v>0</v>
      </c>
      <c r="F9" s="111" t="n">
        <f aca="false">COUNTIFS(Journal!$B$6:$B$505,"&gt;="&amp;$C9,Journal!$B$6:$B$505,"&lt;"&amp;($C9+7),Journal!$BP$6:$BP$505,1,Journal!$AL$6:$AL$505,"Win")</f>
        <v>0</v>
      </c>
      <c r="G9" s="111" t="n">
        <f aca="false">COUNTIFS(Journal!$B$6:$B$505,"&gt;="&amp;$C9,Journal!$B$6:$B$505,"&lt;"&amp;($C9+7),Journal!$BP$6:$BP$505,1,Journal!$AL$6:$AL$505,"Loss")</f>
        <v>0</v>
      </c>
      <c r="H9" s="111" t="n">
        <f aca="false">COUNTIFS(Journal!$B$6:$B$505,"&gt;="&amp;$C9,Journal!$B$6:$B$505,"&lt;"&amp;($C9+7),Journal!$BP$6:$BP$505,1,Journal!$AL$6:$AL$505,"BE")</f>
        <v>0</v>
      </c>
      <c r="I9" s="112" t="str">
        <f aca="false">IF(E9=0,"",F9/E9)</f>
        <v/>
      </c>
      <c r="J9" s="113" t="str">
        <f aca="false">IF(E9=0,"",SUMIFS(Journal!$AK$6:$AK$505,Journal!$B$6:$B$505,"&gt;="&amp;$C9,Journal!$B$6:$B$505,"&lt;"&amp;($C9+7),Journal!$BP$6:$BP$505,1))</f>
        <v/>
      </c>
      <c r="K9" s="114" t="str">
        <f aca="false">IF(E9=0,"",SUMIFS(Journal!$AM$6:$AM$505,Journal!$B$6:$B$505,"&gt;="&amp;$C9,Journal!$B$6:$B$505,"&lt;"&amp;($C9+7),Journal!$BP$6:$BP$505,1))</f>
        <v/>
      </c>
      <c r="L9" s="111" t="n">
        <f aca="false">COUNTIFS(Journal!$B$6:$B$505,"&gt;="&amp;$C9,Journal!$B$6:$B$505,"&lt;"&amp;($C9+7),Journal!$BP$6:$BP$505,1,Journal!$BB$6:$BB$505,"Oversized")+COUNTIFS(Journal!$B$6:$B$505,"&gt;="&amp;$C9,Journal!$B$6:$B$505,"&lt;"&amp;($C9+7),Journal!$BP$6:$BP$505,1,Journal!$BB$6:$BB$505,"Overtraded")+COUNTIFS(Journal!$B$6:$B$505,"&gt;="&amp;$C9,Journal!$B$6:$B$505,"&lt;"&amp;($C9+7),Journal!$BP$6:$BP$505,1,Journal!$BB$6:$BB$505,"Daily loss hit")+COUNTIFS(Journal!$B$6:$B$505,"&gt;="&amp;$C9,Journal!$B$6:$B$505,"&lt;"&amp;($C9+7),Journal!$BP$6:$BP$505,1,Journal!$BB$6:$BB$505,"Weekly loss hit")</f>
        <v>0</v>
      </c>
      <c r="M9" s="112" t="str">
        <f aca="false">IFERROR(COUNTIFS(Journal!$B$6:$B$505,"&gt;="&amp;$C9,Journal!$B$6:$B$505,"&lt;"&amp;($C9+7),Journal!$BP$6:$BP$505,1,Journal!$BD$6:$BD$505,"Yes")/(COUNTIFS(Journal!$B$6:$B$505,"&gt;="&amp;$C9,Journal!$B$6:$B$505,"&lt;"&amp;($C9+7),Journal!$BP$6:$BP$505,1,Journal!$BD$6:$BD$505,"Yes")+COUNTIFS(Journal!$B$6:$B$505,"&gt;="&amp;$C9,Journal!$B$6:$B$505,"&lt;"&amp;($C9+7),Journal!$BP$6:$BP$505,1,Journal!$BD$6:$BD$505,"No")),"")</f>
        <v/>
      </c>
      <c r="N9" s="90"/>
      <c r="O9" s="90"/>
      <c r="P9" s="90"/>
    </row>
    <row r="10" customFormat="false" ht="21.75" hidden="false" customHeight="true" outlineLevel="0" collapsed="false">
      <c r="B10" s="109" t="n">
        <v>5</v>
      </c>
      <c r="C10" s="110" t="n">
        <f aca="false">Settings!$C$7-WEEKDAY(Settings!$C$7,2)+1+7*(B10-1)</f>
        <v>46321</v>
      </c>
      <c r="D10" s="110" t="n">
        <f aca="false">C10+6</f>
        <v>46327</v>
      </c>
      <c r="E10" s="109" t="n">
        <f aca="false">F10+G10+H10</f>
        <v>0</v>
      </c>
      <c r="F10" s="111" t="n">
        <f aca="false">COUNTIFS(Journal!$B$6:$B$505,"&gt;="&amp;$C10,Journal!$B$6:$B$505,"&lt;"&amp;($C10+7),Journal!$BP$6:$BP$505,1,Journal!$AL$6:$AL$505,"Win")</f>
        <v>0</v>
      </c>
      <c r="G10" s="111" t="n">
        <f aca="false">COUNTIFS(Journal!$B$6:$B$505,"&gt;="&amp;$C10,Journal!$B$6:$B$505,"&lt;"&amp;($C10+7),Journal!$BP$6:$BP$505,1,Journal!$AL$6:$AL$505,"Loss")</f>
        <v>0</v>
      </c>
      <c r="H10" s="111" t="n">
        <f aca="false">COUNTIFS(Journal!$B$6:$B$505,"&gt;="&amp;$C10,Journal!$B$6:$B$505,"&lt;"&amp;($C10+7),Journal!$BP$6:$BP$505,1,Journal!$AL$6:$AL$505,"BE")</f>
        <v>0</v>
      </c>
      <c r="I10" s="112" t="str">
        <f aca="false">IF(E10=0,"",F10/E10)</f>
        <v/>
      </c>
      <c r="J10" s="113" t="str">
        <f aca="false">IF(E10=0,"",SUMIFS(Journal!$AK$6:$AK$505,Journal!$B$6:$B$505,"&gt;="&amp;$C10,Journal!$B$6:$B$505,"&lt;"&amp;($C10+7),Journal!$BP$6:$BP$505,1))</f>
        <v/>
      </c>
      <c r="K10" s="114" t="str">
        <f aca="false">IF(E10=0,"",SUMIFS(Journal!$AM$6:$AM$505,Journal!$B$6:$B$505,"&gt;="&amp;$C10,Journal!$B$6:$B$505,"&lt;"&amp;($C10+7),Journal!$BP$6:$BP$505,1))</f>
        <v/>
      </c>
      <c r="L10" s="111" t="n">
        <f aca="false">COUNTIFS(Journal!$B$6:$B$505,"&gt;="&amp;$C10,Journal!$B$6:$B$505,"&lt;"&amp;($C10+7),Journal!$BP$6:$BP$505,1,Journal!$BB$6:$BB$505,"Oversized")+COUNTIFS(Journal!$B$6:$B$505,"&gt;="&amp;$C10,Journal!$B$6:$B$505,"&lt;"&amp;($C10+7),Journal!$BP$6:$BP$505,1,Journal!$BB$6:$BB$505,"Overtraded")+COUNTIFS(Journal!$B$6:$B$505,"&gt;="&amp;$C10,Journal!$B$6:$B$505,"&lt;"&amp;($C10+7),Journal!$BP$6:$BP$505,1,Journal!$BB$6:$BB$505,"Daily loss hit")+COUNTIFS(Journal!$B$6:$B$505,"&gt;="&amp;$C10,Journal!$B$6:$B$505,"&lt;"&amp;($C10+7),Journal!$BP$6:$BP$505,1,Journal!$BB$6:$BB$505,"Weekly loss hit")</f>
        <v>0</v>
      </c>
      <c r="M10" s="112" t="str">
        <f aca="false">IFERROR(COUNTIFS(Journal!$B$6:$B$505,"&gt;="&amp;$C10,Journal!$B$6:$B$505,"&lt;"&amp;($C10+7),Journal!$BP$6:$BP$505,1,Journal!$BD$6:$BD$505,"Yes")/(COUNTIFS(Journal!$B$6:$B$505,"&gt;="&amp;$C10,Journal!$B$6:$B$505,"&lt;"&amp;($C10+7),Journal!$BP$6:$BP$505,1,Journal!$BD$6:$BD$505,"Yes")+COUNTIFS(Journal!$B$6:$B$505,"&gt;="&amp;$C10,Journal!$B$6:$B$505,"&lt;"&amp;($C10+7),Journal!$BP$6:$BP$505,1,Journal!$BD$6:$BD$505,"No")),"")</f>
        <v/>
      </c>
      <c r="N10" s="90"/>
      <c r="O10" s="90"/>
      <c r="P10" s="90"/>
    </row>
    <row r="11" customFormat="false" ht="21.75" hidden="false" customHeight="true" outlineLevel="0" collapsed="false">
      <c r="B11" s="109" t="n">
        <v>6</v>
      </c>
      <c r="C11" s="110" t="n">
        <f aca="false">Settings!$C$7-WEEKDAY(Settings!$C$7,2)+1+7*(B11-1)</f>
        <v>46328</v>
      </c>
      <c r="D11" s="110" t="n">
        <f aca="false">C11+6</f>
        <v>46334</v>
      </c>
      <c r="E11" s="109" t="n">
        <f aca="false">F11+G11+H11</f>
        <v>0</v>
      </c>
      <c r="F11" s="111" t="n">
        <f aca="false">COUNTIFS(Journal!$B$6:$B$505,"&gt;="&amp;$C11,Journal!$B$6:$B$505,"&lt;"&amp;($C11+7),Journal!$BP$6:$BP$505,1,Journal!$AL$6:$AL$505,"Win")</f>
        <v>0</v>
      </c>
      <c r="G11" s="111" t="n">
        <f aca="false">COUNTIFS(Journal!$B$6:$B$505,"&gt;="&amp;$C11,Journal!$B$6:$B$505,"&lt;"&amp;($C11+7),Journal!$BP$6:$BP$505,1,Journal!$AL$6:$AL$505,"Loss")</f>
        <v>0</v>
      </c>
      <c r="H11" s="111" t="n">
        <f aca="false">COUNTIFS(Journal!$B$6:$B$505,"&gt;="&amp;$C11,Journal!$B$6:$B$505,"&lt;"&amp;($C11+7),Journal!$BP$6:$BP$505,1,Journal!$AL$6:$AL$505,"BE")</f>
        <v>0</v>
      </c>
      <c r="I11" s="112" t="str">
        <f aca="false">IF(E11=0,"",F11/E11)</f>
        <v/>
      </c>
      <c r="J11" s="113" t="str">
        <f aca="false">IF(E11=0,"",SUMIFS(Journal!$AK$6:$AK$505,Journal!$B$6:$B$505,"&gt;="&amp;$C11,Journal!$B$6:$B$505,"&lt;"&amp;($C11+7),Journal!$BP$6:$BP$505,1))</f>
        <v/>
      </c>
      <c r="K11" s="114" t="str">
        <f aca="false">IF(E11=0,"",SUMIFS(Journal!$AM$6:$AM$505,Journal!$B$6:$B$505,"&gt;="&amp;$C11,Journal!$B$6:$B$505,"&lt;"&amp;($C11+7),Journal!$BP$6:$BP$505,1))</f>
        <v/>
      </c>
      <c r="L11" s="111" t="n">
        <f aca="false">COUNTIFS(Journal!$B$6:$B$505,"&gt;="&amp;$C11,Journal!$B$6:$B$505,"&lt;"&amp;($C11+7),Journal!$BP$6:$BP$505,1,Journal!$BB$6:$BB$505,"Oversized")+COUNTIFS(Journal!$B$6:$B$505,"&gt;="&amp;$C11,Journal!$B$6:$B$505,"&lt;"&amp;($C11+7),Journal!$BP$6:$BP$505,1,Journal!$BB$6:$BB$505,"Overtraded")+COUNTIFS(Journal!$B$6:$B$505,"&gt;="&amp;$C11,Journal!$B$6:$B$505,"&lt;"&amp;($C11+7),Journal!$BP$6:$BP$505,1,Journal!$BB$6:$BB$505,"Daily loss hit")+COUNTIFS(Journal!$B$6:$B$505,"&gt;="&amp;$C11,Journal!$B$6:$B$505,"&lt;"&amp;($C11+7),Journal!$BP$6:$BP$505,1,Journal!$BB$6:$BB$505,"Weekly loss hit")</f>
        <v>0</v>
      </c>
      <c r="M11" s="112" t="str">
        <f aca="false">IFERROR(COUNTIFS(Journal!$B$6:$B$505,"&gt;="&amp;$C11,Journal!$B$6:$B$505,"&lt;"&amp;($C11+7),Journal!$BP$6:$BP$505,1,Journal!$BD$6:$BD$505,"Yes")/(COUNTIFS(Journal!$B$6:$B$505,"&gt;="&amp;$C11,Journal!$B$6:$B$505,"&lt;"&amp;($C11+7),Journal!$BP$6:$BP$505,1,Journal!$BD$6:$BD$505,"Yes")+COUNTIFS(Journal!$B$6:$B$505,"&gt;="&amp;$C11,Journal!$B$6:$B$505,"&lt;"&amp;($C11+7),Journal!$BP$6:$BP$505,1,Journal!$BD$6:$BD$505,"No")),"")</f>
        <v/>
      </c>
      <c r="N11" s="90"/>
      <c r="O11" s="90"/>
      <c r="P11" s="90"/>
    </row>
    <row r="12" customFormat="false" ht="21.75" hidden="false" customHeight="true" outlineLevel="0" collapsed="false">
      <c r="B12" s="109" t="n">
        <v>7</v>
      </c>
      <c r="C12" s="110" t="n">
        <f aca="false">Settings!$C$7-WEEKDAY(Settings!$C$7,2)+1+7*(B12-1)</f>
        <v>46335</v>
      </c>
      <c r="D12" s="110" t="n">
        <f aca="false">C12+6</f>
        <v>46341</v>
      </c>
      <c r="E12" s="109" t="n">
        <f aca="false">F12+G12+H12</f>
        <v>0</v>
      </c>
      <c r="F12" s="111" t="n">
        <f aca="false">COUNTIFS(Journal!$B$6:$B$505,"&gt;="&amp;$C12,Journal!$B$6:$B$505,"&lt;"&amp;($C12+7),Journal!$BP$6:$BP$505,1,Journal!$AL$6:$AL$505,"Win")</f>
        <v>0</v>
      </c>
      <c r="G12" s="111" t="n">
        <f aca="false">COUNTIFS(Journal!$B$6:$B$505,"&gt;="&amp;$C12,Journal!$B$6:$B$505,"&lt;"&amp;($C12+7),Journal!$BP$6:$BP$505,1,Journal!$AL$6:$AL$505,"Loss")</f>
        <v>0</v>
      </c>
      <c r="H12" s="111" t="n">
        <f aca="false">COUNTIFS(Journal!$B$6:$B$505,"&gt;="&amp;$C12,Journal!$B$6:$B$505,"&lt;"&amp;($C12+7),Journal!$BP$6:$BP$505,1,Journal!$AL$6:$AL$505,"BE")</f>
        <v>0</v>
      </c>
      <c r="I12" s="112" t="str">
        <f aca="false">IF(E12=0,"",F12/E12)</f>
        <v/>
      </c>
      <c r="J12" s="113" t="str">
        <f aca="false">IF(E12=0,"",SUMIFS(Journal!$AK$6:$AK$505,Journal!$B$6:$B$505,"&gt;="&amp;$C12,Journal!$B$6:$B$505,"&lt;"&amp;($C12+7),Journal!$BP$6:$BP$505,1))</f>
        <v/>
      </c>
      <c r="K12" s="114" t="str">
        <f aca="false">IF(E12=0,"",SUMIFS(Journal!$AM$6:$AM$505,Journal!$B$6:$B$505,"&gt;="&amp;$C12,Journal!$B$6:$B$505,"&lt;"&amp;($C12+7),Journal!$BP$6:$BP$505,1))</f>
        <v/>
      </c>
      <c r="L12" s="111" t="n">
        <f aca="false">COUNTIFS(Journal!$B$6:$B$505,"&gt;="&amp;$C12,Journal!$B$6:$B$505,"&lt;"&amp;($C12+7),Journal!$BP$6:$BP$505,1,Journal!$BB$6:$BB$505,"Oversized")+COUNTIFS(Journal!$B$6:$B$505,"&gt;="&amp;$C12,Journal!$B$6:$B$505,"&lt;"&amp;($C12+7),Journal!$BP$6:$BP$505,1,Journal!$BB$6:$BB$505,"Overtraded")+COUNTIFS(Journal!$B$6:$B$505,"&gt;="&amp;$C12,Journal!$B$6:$B$505,"&lt;"&amp;($C12+7),Journal!$BP$6:$BP$505,1,Journal!$BB$6:$BB$505,"Daily loss hit")+COUNTIFS(Journal!$B$6:$B$505,"&gt;="&amp;$C12,Journal!$B$6:$B$505,"&lt;"&amp;($C12+7),Journal!$BP$6:$BP$505,1,Journal!$BB$6:$BB$505,"Weekly loss hit")</f>
        <v>0</v>
      </c>
      <c r="M12" s="112" t="str">
        <f aca="false">IFERROR(COUNTIFS(Journal!$B$6:$B$505,"&gt;="&amp;$C12,Journal!$B$6:$B$505,"&lt;"&amp;($C12+7),Journal!$BP$6:$BP$505,1,Journal!$BD$6:$BD$505,"Yes")/(COUNTIFS(Journal!$B$6:$B$505,"&gt;="&amp;$C12,Journal!$B$6:$B$505,"&lt;"&amp;($C12+7),Journal!$BP$6:$BP$505,1,Journal!$BD$6:$BD$505,"Yes")+COUNTIFS(Journal!$B$6:$B$505,"&gt;="&amp;$C12,Journal!$B$6:$B$505,"&lt;"&amp;($C12+7),Journal!$BP$6:$BP$505,1,Journal!$BD$6:$BD$505,"No")),"")</f>
        <v/>
      </c>
      <c r="N12" s="90"/>
      <c r="O12" s="90"/>
      <c r="P12" s="90"/>
    </row>
    <row r="13" customFormat="false" ht="21.75" hidden="false" customHeight="true" outlineLevel="0" collapsed="false">
      <c r="B13" s="109" t="n">
        <v>8</v>
      </c>
      <c r="C13" s="110" t="n">
        <f aca="false">Settings!$C$7-WEEKDAY(Settings!$C$7,2)+1+7*(B13-1)</f>
        <v>46342</v>
      </c>
      <c r="D13" s="110" t="n">
        <f aca="false">C13+6</f>
        <v>46348</v>
      </c>
      <c r="E13" s="109" t="n">
        <f aca="false">F13+G13+H13</f>
        <v>0</v>
      </c>
      <c r="F13" s="111" t="n">
        <f aca="false">COUNTIFS(Journal!$B$6:$B$505,"&gt;="&amp;$C13,Journal!$B$6:$B$505,"&lt;"&amp;($C13+7),Journal!$BP$6:$BP$505,1,Journal!$AL$6:$AL$505,"Win")</f>
        <v>0</v>
      </c>
      <c r="G13" s="111" t="n">
        <f aca="false">COUNTIFS(Journal!$B$6:$B$505,"&gt;="&amp;$C13,Journal!$B$6:$B$505,"&lt;"&amp;($C13+7),Journal!$BP$6:$BP$505,1,Journal!$AL$6:$AL$505,"Loss")</f>
        <v>0</v>
      </c>
      <c r="H13" s="111" t="n">
        <f aca="false">COUNTIFS(Journal!$B$6:$B$505,"&gt;="&amp;$C13,Journal!$B$6:$B$505,"&lt;"&amp;($C13+7),Journal!$BP$6:$BP$505,1,Journal!$AL$6:$AL$505,"BE")</f>
        <v>0</v>
      </c>
      <c r="I13" s="112" t="str">
        <f aca="false">IF(E13=0,"",F13/E13)</f>
        <v/>
      </c>
      <c r="J13" s="113" t="str">
        <f aca="false">IF(E13=0,"",SUMIFS(Journal!$AK$6:$AK$505,Journal!$B$6:$B$505,"&gt;="&amp;$C13,Journal!$B$6:$B$505,"&lt;"&amp;($C13+7),Journal!$BP$6:$BP$505,1))</f>
        <v/>
      </c>
      <c r="K13" s="114" t="str">
        <f aca="false">IF(E13=0,"",SUMIFS(Journal!$AM$6:$AM$505,Journal!$B$6:$B$505,"&gt;="&amp;$C13,Journal!$B$6:$B$505,"&lt;"&amp;($C13+7),Journal!$BP$6:$BP$505,1))</f>
        <v/>
      </c>
      <c r="L13" s="111" t="n">
        <f aca="false">COUNTIFS(Journal!$B$6:$B$505,"&gt;="&amp;$C13,Journal!$B$6:$B$505,"&lt;"&amp;($C13+7),Journal!$BP$6:$BP$505,1,Journal!$BB$6:$BB$505,"Oversized")+COUNTIFS(Journal!$B$6:$B$505,"&gt;="&amp;$C13,Journal!$B$6:$B$505,"&lt;"&amp;($C13+7),Journal!$BP$6:$BP$505,1,Journal!$BB$6:$BB$505,"Overtraded")+COUNTIFS(Journal!$B$6:$B$505,"&gt;="&amp;$C13,Journal!$B$6:$B$505,"&lt;"&amp;($C13+7),Journal!$BP$6:$BP$505,1,Journal!$BB$6:$BB$505,"Daily loss hit")+COUNTIFS(Journal!$B$6:$B$505,"&gt;="&amp;$C13,Journal!$B$6:$B$505,"&lt;"&amp;($C13+7),Journal!$BP$6:$BP$505,1,Journal!$BB$6:$BB$505,"Weekly loss hit")</f>
        <v>0</v>
      </c>
      <c r="M13" s="112" t="str">
        <f aca="false">IFERROR(COUNTIFS(Journal!$B$6:$B$505,"&gt;="&amp;$C13,Journal!$B$6:$B$505,"&lt;"&amp;($C13+7),Journal!$BP$6:$BP$505,1,Journal!$BD$6:$BD$505,"Yes")/(COUNTIFS(Journal!$B$6:$B$505,"&gt;="&amp;$C13,Journal!$B$6:$B$505,"&lt;"&amp;($C13+7),Journal!$BP$6:$BP$505,1,Journal!$BD$6:$BD$505,"Yes")+COUNTIFS(Journal!$B$6:$B$505,"&gt;="&amp;$C13,Journal!$B$6:$B$505,"&lt;"&amp;($C13+7),Journal!$BP$6:$BP$505,1,Journal!$BD$6:$BD$505,"No")),"")</f>
        <v/>
      </c>
      <c r="N13" s="90"/>
      <c r="O13" s="90"/>
      <c r="P13" s="90"/>
    </row>
    <row r="14" customFormat="false" ht="21.75" hidden="false" customHeight="true" outlineLevel="0" collapsed="false">
      <c r="B14" s="109" t="n">
        <v>9</v>
      </c>
      <c r="C14" s="110" t="n">
        <f aca="false">Settings!$C$7-WEEKDAY(Settings!$C$7,2)+1+7*(B14-1)</f>
        <v>46349</v>
      </c>
      <c r="D14" s="110" t="n">
        <f aca="false">C14+6</f>
        <v>46355</v>
      </c>
      <c r="E14" s="109" t="n">
        <f aca="false">F14+G14+H14</f>
        <v>0</v>
      </c>
      <c r="F14" s="111" t="n">
        <f aca="false">COUNTIFS(Journal!$B$6:$B$505,"&gt;="&amp;$C14,Journal!$B$6:$B$505,"&lt;"&amp;($C14+7),Journal!$BP$6:$BP$505,1,Journal!$AL$6:$AL$505,"Win")</f>
        <v>0</v>
      </c>
      <c r="G14" s="111" t="n">
        <f aca="false">COUNTIFS(Journal!$B$6:$B$505,"&gt;="&amp;$C14,Journal!$B$6:$B$505,"&lt;"&amp;($C14+7),Journal!$BP$6:$BP$505,1,Journal!$AL$6:$AL$505,"Loss")</f>
        <v>0</v>
      </c>
      <c r="H14" s="111" t="n">
        <f aca="false">COUNTIFS(Journal!$B$6:$B$505,"&gt;="&amp;$C14,Journal!$B$6:$B$505,"&lt;"&amp;($C14+7),Journal!$BP$6:$BP$505,1,Journal!$AL$6:$AL$505,"BE")</f>
        <v>0</v>
      </c>
      <c r="I14" s="112" t="str">
        <f aca="false">IF(E14=0,"",F14/E14)</f>
        <v/>
      </c>
      <c r="J14" s="113" t="str">
        <f aca="false">IF(E14=0,"",SUMIFS(Journal!$AK$6:$AK$505,Journal!$B$6:$B$505,"&gt;="&amp;$C14,Journal!$B$6:$B$505,"&lt;"&amp;($C14+7),Journal!$BP$6:$BP$505,1))</f>
        <v/>
      </c>
      <c r="K14" s="114" t="str">
        <f aca="false">IF(E14=0,"",SUMIFS(Journal!$AM$6:$AM$505,Journal!$B$6:$B$505,"&gt;="&amp;$C14,Journal!$B$6:$B$505,"&lt;"&amp;($C14+7),Journal!$BP$6:$BP$505,1))</f>
        <v/>
      </c>
      <c r="L14" s="111" t="n">
        <f aca="false">COUNTIFS(Journal!$B$6:$B$505,"&gt;="&amp;$C14,Journal!$B$6:$B$505,"&lt;"&amp;($C14+7),Journal!$BP$6:$BP$505,1,Journal!$BB$6:$BB$505,"Oversized")+COUNTIFS(Journal!$B$6:$B$505,"&gt;="&amp;$C14,Journal!$B$6:$B$505,"&lt;"&amp;($C14+7),Journal!$BP$6:$BP$505,1,Journal!$BB$6:$BB$505,"Overtraded")+COUNTIFS(Journal!$B$6:$B$505,"&gt;="&amp;$C14,Journal!$B$6:$B$505,"&lt;"&amp;($C14+7),Journal!$BP$6:$BP$505,1,Journal!$BB$6:$BB$505,"Daily loss hit")+COUNTIFS(Journal!$B$6:$B$505,"&gt;="&amp;$C14,Journal!$B$6:$B$505,"&lt;"&amp;($C14+7),Journal!$BP$6:$BP$505,1,Journal!$BB$6:$BB$505,"Weekly loss hit")</f>
        <v>0</v>
      </c>
      <c r="M14" s="112" t="str">
        <f aca="false">IFERROR(COUNTIFS(Journal!$B$6:$B$505,"&gt;="&amp;$C14,Journal!$B$6:$B$505,"&lt;"&amp;($C14+7),Journal!$BP$6:$BP$505,1,Journal!$BD$6:$BD$505,"Yes")/(COUNTIFS(Journal!$B$6:$B$505,"&gt;="&amp;$C14,Journal!$B$6:$B$505,"&lt;"&amp;($C14+7),Journal!$BP$6:$BP$505,1,Journal!$BD$6:$BD$505,"Yes")+COUNTIFS(Journal!$B$6:$B$505,"&gt;="&amp;$C14,Journal!$B$6:$B$505,"&lt;"&amp;($C14+7),Journal!$BP$6:$BP$505,1,Journal!$BD$6:$BD$505,"No")),"")</f>
        <v/>
      </c>
      <c r="N14" s="90"/>
      <c r="O14" s="90"/>
      <c r="P14" s="90"/>
    </row>
    <row r="15" customFormat="false" ht="21.75" hidden="false" customHeight="true" outlineLevel="0" collapsed="false">
      <c r="B15" s="109" t="n">
        <v>10</v>
      </c>
      <c r="C15" s="110" t="n">
        <f aca="false">Settings!$C$7-WEEKDAY(Settings!$C$7,2)+1+7*(B15-1)</f>
        <v>46356</v>
      </c>
      <c r="D15" s="110" t="n">
        <f aca="false">C15+6</f>
        <v>46362</v>
      </c>
      <c r="E15" s="109" t="n">
        <f aca="false">F15+G15+H15</f>
        <v>0</v>
      </c>
      <c r="F15" s="111" t="n">
        <f aca="false">COUNTIFS(Journal!$B$6:$B$505,"&gt;="&amp;$C15,Journal!$B$6:$B$505,"&lt;"&amp;($C15+7),Journal!$BP$6:$BP$505,1,Journal!$AL$6:$AL$505,"Win")</f>
        <v>0</v>
      </c>
      <c r="G15" s="111" t="n">
        <f aca="false">COUNTIFS(Journal!$B$6:$B$505,"&gt;="&amp;$C15,Journal!$B$6:$B$505,"&lt;"&amp;($C15+7),Journal!$BP$6:$BP$505,1,Journal!$AL$6:$AL$505,"Loss")</f>
        <v>0</v>
      </c>
      <c r="H15" s="111" t="n">
        <f aca="false">COUNTIFS(Journal!$B$6:$B$505,"&gt;="&amp;$C15,Journal!$B$6:$B$505,"&lt;"&amp;($C15+7),Journal!$BP$6:$BP$505,1,Journal!$AL$6:$AL$505,"BE")</f>
        <v>0</v>
      </c>
      <c r="I15" s="112" t="str">
        <f aca="false">IF(E15=0,"",F15/E15)</f>
        <v/>
      </c>
      <c r="J15" s="113" t="str">
        <f aca="false">IF(E15=0,"",SUMIFS(Journal!$AK$6:$AK$505,Journal!$B$6:$B$505,"&gt;="&amp;$C15,Journal!$B$6:$B$505,"&lt;"&amp;($C15+7),Journal!$BP$6:$BP$505,1))</f>
        <v/>
      </c>
      <c r="K15" s="114" t="str">
        <f aca="false">IF(E15=0,"",SUMIFS(Journal!$AM$6:$AM$505,Journal!$B$6:$B$505,"&gt;="&amp;$C15,Journal!$B$6:$B$505,"&lt;"&amp;($C15+7),Journal!$BP$6:$BP$505,1))</f>
        <v/>
      </c>
      <c r="L15" s="111" t="n">
        <f aca="false">COUNTIFS(Journal!$B$6:$B$505,"&gt;="&amp;$C15,Journal!$B$6:$B$505,"&lt;"&amp;($C15+7),Journal!$BP$6:$BP$505,1,Journal!$BB$6:$BB$505,"Oversized")+COUNTIFS(Journal!$B$6:$B$505,"&gt;="&amp;$C15,Journal!$B$6:$B$505,"&lt;"&amp;($C15+7),Journal!$BP$6:$BP$505,1,Journal!$BB$6:$BB$505,"Overtraded")+COUNTIFS(Journal!$B$6:$B$505,"&gt;="&amp;$C15,Journal!$B$6:$B$505,"&lt;"&amp;($C15+7),Journal!$BP$6:$BP$505,1,Journal!$BB$6:$BB$505,"Daily loss hit")+COUNTIFS(Journal!$B$6:$B$505,"&gt;="&amp;$C15,Journal!$B$6:$B$505,"&lt;"&amp;($C15+7),Journal!$BP$6:$BP$505,1,Journal!$BB$6:$BB$505,"Weekly loss hit")</f>
        <v>0</v>
      </c>
      <c r="M15" s="112" t="str">
        <f aca="false">IFERROR(COUNTIFS(Journal!$B$6:$B$505,"&gt;="&amp;$C15,Journal!$B$6:$B$505,"&lt;"&amp;($C15+7),Journal!$BP$6:$BP$505,1,Journal!$BD$6:$BD$505,"Yes")/(COUNTIFS(Journal!$B$6:$B$505,"&gt;="&amp;$C15,Journal!$B$6:$B$505,"&lt;"&amp;($C15+7),Journal!$BP$6:$BP$505,1,Journal!$BD$6:$BD$505,"Yes")+COUNTIFS(Journal!$B$6:$B$505,"&gt;="&amp;$C15,Journal!$B$6:$B$505,"&lt;"&amp;($C15+7),Journal!$BP$6:$BP$505,1,Journal!$BD$6:$BD$505,"No")),"")</f>
        <v/>
      </c>
      <c r="N15" s="90"/>
      <c r="O15" s="90"/>
      <c r="P15" s="90"/>
    </row>
    <row r="16" customFormat="false" ht="21.75" hidden="false" customHeight="true" outlineLevel="0" collapsed="false">
      <c r="B16" s="109" t="n">
        <v>11</v>
      </c>
      <c r="C16" s="110" t="n">
        <f aca="false">Settings!$C$7-WEEKDAY(Settings!$C$7,2)+1+7*(B16-1)</f>
        <v>46363</v>
      </c>
      <c r="D16" s="110" t="n">
        <f aca="false">C16+6</f>
        <v>46369</v>
      </c>
      <c r="E16" s="109" t="n">
        <f aca="false">F16+G16+H16</f>
        <v>0</v>
      </c>
      <c r="F16" s="111" t="n">
        <f aca="false">COUNTIFS(Journal!$B$6:$B$505,"&gt;="&amp;$C16,Journal!$B$6:$B$505,"&lt;"&amp;($C16+7),Journal!$BP$6:$BP$505,1,Journal!$AL$6:$AL$505,"Win")</f>
        <v>0</v>
      </c>
      <c r="G16" s="111" t="n">
        <f aca="false">COUNTIFS(Journal!$B$6:$B$505,"&gt;="&amp;$C16,Journal!$B$6:$B$505,"&lt;"&amp;($C16+7),Journal!$BP$6:$BP$505,1,Journal!$AL$6:$AL$505,"Loss")</f>
        <v>0</v>
      </c>
      <c r="H16" s="111" t="n">
        <f aca="false">COUNTIFS(Journal!$B$6:$B$505,"&gt;="&amp;$C16,Journal!$B$6:$B$505,"&lt;"&amp;($C16+7),Journal!$BP$6:$BP$505,1,Journal!$AL$6:$AL$505,"BE")</f>
        <v>0</v>
      </c>
      <c r="I16" s="112" t="str">
        <f aca="false">IF(E16=0,"",F16/E16)</f>
        <v/>
      </c>
      <c r="J16" s="113" t="str">
        <f aca="false">IF(E16=0,"",SUMIFS(Journal!$AK$6:$AK$505,Journal!$B$6:$B$505,"&gt;="&amp;$C16,Journal!$B$6:$B$505,"&lt;"&amp;($C16+7),Journal!$BP$6:$BP$505,1))</f>
        <v/>
      </c>
      <c r="K16" s="114" t="str">
        <f aca="false">IF(E16=0,"",SUMIFS(Journal!$AM$6:$AM$505,Journal!$B$6:$B$505,"&gt;="&amp;$C16,Journal!$B$6:$B$505,"&lt;"&amp;($C16+7),Journal!$BP$6:$BP$505,1))</f>
        <v/>
      </c>
      <c r="L16" s="111" t="n">
        <f aca="false">COUNTIFS(Journal!$B$6:$B$505,"&gt;="&amp;$C16,Journal!$B$6:$B$505,"&lt;"&amp;($C16+7),Journal!$BP$6:$BP$505,1,Journal!$BB$6:$BB$505,"Oversized")+COUNTIFS(Journal!$B$6:$B$505,"&gt;="&amp;$C16,Journal!$B$6:$B$505,"&lt;"&amp;($C16+7),Journal!$BP$6:$BP$505,1,Journal!$BB$6:$BB$505,"Overtraded")+COUNTIFS(Journal!$B$6:$B$505,"&gt;="&amp;$C16,Journal!$B$6:$B$505,"&lt;"&amp;($C16+7),Journal!$BP$6:$BP$505,1,Journal!$BB$6:$BB$505,"Daily loss hit")+COUNTIFS(Journal!$B$6:$B$505,"&gt;="&amp;$C16,Journal!$B$6:$B$505,"&lt;"&amp;($C16+7),Journal!$BP$6:$BP$505,1,Journal!$BB$6:$BB$505,"Weekly loss hit")</f>
        <v>0</v>
      </c>
      <c r="M16" s="112" t="str">
        <f aca="false">IFERROR(COUNTIFS(Journal!$B$6:$B$505,"&gt;="&amp;$C16,Journal!$B$6:$B$505,"&lt;"&amp;($C16+7),Journal!$BP$6:$BP$505,1,Journal!$BD$6:$BD$505,"Yes")/(COUNTIFS(Journal!$B$6:$B$505,"&gt;="&amp;$C16,Journal!$B$6:$B$505,"&lt;"&amp;($C16+7),Journal!$BP$6:$BP$505,1,Journal!$BD$6:$BD$505,"Yes")+COUNTIFS(Journal!$B$6:$B$505,"&gt;="&amp;$C16,Journal!$B$6:$B$505,"&lt;"&amp;($C16+7),Journal!$BP$6:$BP$505,1,Journal!$BD$6:$BD$505,"No")),"")</f>
        <v/>
      </c>
      <c r="N16" s="90"/>
      <c r="O16" s="90"/>
      <c r="P16" s="90"/>
    </row>
    <row r="17" customFormat="false" ht="21.75" hidden="false" customHeight="true" outlineLevel="0" collapsed="false">
      <c r="B17" s="109" t="n">
        <v>12</v>
      </c>
      <c r="C17" s="110" t="n">
        <f aca="false">Settings!$C$7-WEEKDAY(Settings!$C$7,2)+1+7*(B17-1)</f>
        <v>46370</v>
      </c>
      <c r="D17" s="110" t="n">
        <f aca="false">C17+6</f>
        <v>46376</v>
      </c>
      <c r="E17" s="109" t="n">
        <f aca="false">F17+G17+H17</f>
        <v>0</v>
      </c>
      <c r="F17" s="111" t="n">
        <f aca="false">COUNTIFS(Journal!$B$6:$B$505,"&gt;="&amp;$C17,Journal!$B$6:$B$505,"&lt;"&amp;($C17+7),Journal!$BP$6:$BP$505,1,Journal!$AL$6:$AL$505,"Win")</f>
        <v>0</v>
      </c>
      <c r="G17" s="111" t="n">
        <f aca="false">COUNTIFS(Journal!$B$6:$B$505,"&gt;="&amp;$C17,Journal!$B$6:$B$505,"&lt;"&amp;($C17+7),Journal!$BP$6:$BP$505,1,Journal!$AL$6:$AL$505,"Loss")</f>
        <v>0</v>
      </c>
      <c r="H17" s="111" t="n">
        <f aca="false">COUNTIFS(Journal!$B$6:$B$505,"&gt;="&amp;$C17,Journal!$B$6:$B$505,"&lt;"&amp;($C17+7),Journal!$BP$6:$BP$505,1,Journal!$AL$6:$AL$505,"BE")</f>
        <v>0</v>
      </c>
      <c r="I17" s="112" t="str">
        <f aca="false">IF(E17=0,"",F17/E17)</f>
        <v/>
      </c>
      <c r="J17" s="113" t="str">
        <f aca="false">IF(E17=0,"",SUMIFS(Journal!$AK$6:$AK$505,Journal!$B$6:$B$505,"&gt;="&amp;$C17,Journal!$B$6:$B$505,"&lt;"&amp;($C17+7),Journal!$BP$6:$BP$505,1))</f>
        <v/>
      </c>
      <c r="K17" s="114" t="str">
        <f aca="false">IF(E17=0,"",SUMIFS(Journal!$AM$6:$AM$505,Journal!$B$6:$B$505,"&gt;="&amp;$C17,Journal!$B$6:$B$505,"&lt;"&amp;($C17+7),Journal!$BP$6:$BP$505,1))</f>
        <v/>
      </c>
      <c r="L17" s="111" t="n">
        <f aca="false">COUNTIFS(Journal!$B$6:$B$505,"&gt;="&amp;$C17,Journal!$B$6:$B$505,"&lt;"&amp;($C17+7),Journal!$BP$6:$BP$505,1,Journal!$BB$6:$BB$505,"Oversized")+COUNTIFS(Journal!$B$6:$B$505,"&gt;="&amp;$C17,Journal!$B$6:$B$505,"&lt;"&amp;($C17+7),Journal!$BP$6:$BP$505,1,Journal!$BB$6:$BB$505,"Overtraded")+COUNTIFS(Journal!$B$6:$B$505,"&gt;="&amp;$C17,Journal!$B$6:$B$505,"&lt;"&amp;($C17+7),Journal!$BP$6:$BP$505,1,Journal!$BB$6:$BB$505,"Daily loss hit")+COUNTIFS(Journal!$B$6:$B$505,"&gt;="&amp;$C17,Journal!$B$6:$B$505,"&lt;"&amp;($C17+7),Journal!$BP$6:$BP$505,1,Journal!$BB$6:$BB$505,"Weekly loss hit")</f>
        <v>0</v>
      </c>
      <c r="M17" s="112" t="str">
        <f aca="false">IFERROR(COUNTIFS(Journal!$B$6:$B$505,"&gt;="&amp;$C17,Journal!$B$6:$B$505,"&lt;"&amp;($C17+7),Journal!$BP$6:$BP$505,1,Journal!$BD$6:$BD$505,"Yes")/(COUNTIFS(Journal!$B$6:$B$505,"&gt;="&amp;$C17,Journal!$B$6:$B$505,"&lt;"&amp;($C17+7),Journal!$BP$6:$BP$505,1,Journal!$BD$6:$BD$505,"Yes")+COUNTIFS(Journal!$B$6:$B$505,"&gt;="&amp;$C17,Journal!$B$6:$B$505,"&lt;"&amp;($C17+7),Journal!$BP$6:$BP$505,1,Journal!$BD$6:$BD$505,"No")),"")</f>
        <v/>
      </c>
      <c r="N17" s="90"/>
      <c r="O17" s="90"/>
      <c r="P17" s="90"/>
    </row>
    <row r="18" customFormat="false" ht="21.75" hidden="false" customHeight="true" outlineLevel="0" collapsed="false">
      <c r="B18" s="109" t="n">
        <v>13</v>
      </c>
      <c r="C18" s="110" t="n">
        <f aca="false">Settings!$C$7-WEEKDAY(Settings!$C$7,2)+1+7*(B18-1)</f>
        <v>46377</v>
      </c>
      <c r="D18" s="110" t="n">
        <f aca="false">C18+6</f>
        <v>46383</v>
      </c>
      <c r="E18" s="109" t="n">
        <f aca="false">F18+G18+H18</f>
        <v>0</v>
      </c>
      <c r="F18" s="111" t="n">
        <f aca="false">COUNTIFS(Journal!$B$6:$B$505,"&gt;="&amp;$C18,Journal!$B$6:$B$505,"&lt;"&amp;($C18+7),Journal!$BP$6:$BP$505,1,Journal!$AL$6:$AL$505,"Win")</f>
        <v>0</v>
      </c>
      <c r="G18" s="111" t="n">
        <f aca="false">COUNTIFS(Journal!$B$6:$B$505,"&gt;="&amp;$C18,Journal!$B$6:$B$505,"&lt;"&amp;($C18+7),Journal!$BP$6:$BP$505,1,Journal!$AL$6:$AL$505,"Loss")</f>
        <v>0</v>
      </c>
      <c r="H18" s="111" t="n">
        <f aca="false">COUNTIFS(Journal!$B$6:$B$505,"&gt;="&amp;$C18,Journal!$B$6:$B$505,"&lt;"&amp;($C18+7),Journal!$BP$6:$BP$505,1,Journal!$AL$6:$AL$505,"BE")</f>
        <v>0</v>
      </c>
      <c r="I18" s="112" t="str">
        <f aca="false">IF(E18=0,"",F18/E18)</f>
        <v/>
      </c>
      <c r="J18" s="113" t="str">
        <f aca="false">IF(E18=0,"",SUMIFS(Journal!$AK$6:$AK$505,Journal!$B$6:$B$505,"&gt;="&amp;$C18,Journal!$B$6:$B$505,"&lt;"&amp;($C18+7),Journal!$BP$6:$BP$505,1))</f>
        <v/>
      </c>
      <c r="K18" s="114" t="str">
        <f aca="false">IF(E18=0,"",SUMIFS(Journal!$AM$6:$AM$505,Journal!$B$6:$B$505,"&gt;="&amp;$C18,Journal!$B$6:$B$505,"&lt;"&amp;($C18+7),Journal!$BP$6:$BP$505,1))</f>
        <v/>
      </c>
      <c r="L18" s="111" t="n">
        <f aca="false">COUNTIFS(Journal!$B$6:$B$505,"&gt;="&amp;$C18,Journal!$B$6:$B$505,"&lt;"&amp;($C18+7),Journal!$BP$6:$BP$505,1,Journal!$BB$6:$BB$505,"Oversized")+COUNTIFS(Journal!$B$6:$B$505,"&gt;="&amp;$C18,Journal!$B$6:$B$505,"&lt;"&amp;($C18+7),Journal!$BP$6:$BP$505,1,Journal!$BB$6:$BB$505,"Overtraded")+COUNTIFS(Journal!$B$6:$B$505,"&gt;="&amp;$C18,Journal!$B$6:$B$505,"&lt;"&amp;($C18+7),Journal!$BP$6:$BP$505,1,Journal!$BB$6:$BB$505,"Daily loss hit")+COUNTIFS(Journal!$B$6:$B$505,"&gt;="&amp;$C18,Journal!$B$6:$B$505,"&lt;"&amp;($C18+7),Journal!$BP$6:$BP$505,1,Journal!$BB$6:$BB$505,"Weekly loss hit")</f>
        <v>0</v>
      </c>
      <c r="M18" s="112" t="str">
        <f aca="false">IFERROR(COUNTIFS(Journal!$B$6:$B$505,"&gt;="&amp;$C18,Journal!$B$6:$B$505,"&lt;"&amp;($C18+7),Journal!$BP$6:$BP$505,1,Journal!$BD$6:$BD$505,"Yes")/(COUNTIFS(Journal!$B$6:$B$505,"&gt;="&amp;$C18,Journal!$B$6:$B$505,"&lt;"&amp;($C18+7),Journal!$BP$6:$BP$505,1,Journal!$BD$6:$BD$505,"Yes")+COUNTIFS(Journal!$B$6:$B$505,"&gt;="&amp;$C18,Journal!$B$6:$B$505,"&lt;"&amp;($C18+7),Journal!$BP$6:$BP$505,1,Journal!$BD$6:$BD$505,"No")),"")</f>
        <v/>
      </c>
      <c r="N18" s="90"/>
      <c r="O18" s="90"/>
      <c r="P18" s="90"/>
    </row>
    <row r="19" customFormat="false" ht="21.75" hidden="false" customHeight="true" outlineLevel="0" collapsed="false">
      <c r="B19" s="109" t="n">
        <v>14</v>
      </c>
      <c r="C19" s="110" t="n">
        <f aca="false">Settings!$C$7-WEEKDAY(Settings!$C$7,2)+1+7*(B19-1)</f>
        <v>46384</v>
      </c>
      <c r="D19" s="110" t="n">
        <f aca="false">C19+6</f>
        <v>46390</v>
      </c>
      <c r="E19" s="109" t="n">
        <f aca="false">F19+G19+H19</f>
        <v>0</v>
      </c>
      <c r="F19" s="111" t="n">
        <f aca="false">COUNTIFS(Journal!$B$6:$B$505,"&gt;="&amp;$C19,Journal!$B$6:$B$505,"&lt;"&amp;($C19+7),Journal!$BP$6:$BP$505,1,Journal!$AL$6:$AL$505,"Win")</f>
        <v>0</v>
      </c>
      <c r="G19" s="111" t="n">
        <f aca="false">COUNTIFS(Journal!$B$6:$B$505,"&gt;="&amp;$C19,Journal!$B$6:$B$505,"&lt;"&amp;($C19+7),Journal!$BP$6:$BP$505,1,Journal!$AL$6:$AL$505,"Loss")</f>
        <v>0</v>
      </c>
      <c r="H19" s="111" t="n">
        <f aca="false">COUNTIFS(Journal!$B$6:$B$505,"&gt;="&amp;$C19,Journal!$B$6:$B$505,"&lt;"&amp;($C19+7),Journal!$BP$6:$BP$505,1,Journal!$AL$6:$AL$505,"BE")</f>
        <v>0</v>
      </c>
      <c r="I19" s="112" t="str">
        <f aca="false">IF(E19=0,"",F19/E19)</f>
        <v/>
      </c>
      <c r="J19" s="113" t="str">
        <f aca="false">IF(E19=0,"",SUMIFS(Journal!$AK$6:$AK$505,Journal!$B$6:$B$505,"&gt;="&amp;$C19,Journal!$B$6:$B$505,"&lt;"&amp;($C19+7),Journal!$BP$6:$BP$505,1))</f>
        <v/>
      </c>
      <c r="K19" s="114" t="str">
        <f aca="false">IF(E19=0,"",SUMIFS(Journal!$AM$6:$AM$505,Journal!$B$6:$B$505,"&gt;="&amp;$C19,Journal!$B$6:$B$505,"&lt;"&amp;($C19+7),Journal!$BP$6:$BP$505,1))</f>
        <v/>
      </c>
      <c r="L19" s="111" t="n">
        <f aca="false">COUNTIFS(Journal!$B$6:$B$505,"&gt;="&amp;$C19,Journal!$B$6:$B$505,"&lt;"&amp;($C19+7),Journal!$BP$6:$BP$505,1,Journal!$BB$6:$BB$505,"Oversized")+COUNTIFS(Journal!$B$6:$B$505,"&gt;="&amp;$C19,Journal!$B$6:$B$505,"&lt;"&amp;($C19+7),Journal!$BP$6:$BP$505,1,Journal!$BB$6:$BB$505,"Overtraded")+COUNTIFS(Journal!$B$6:$B$505,"&gt;="&amp;$C19,Journal!$B$6:$B$505,"&lt;"&amp;($C19+7),Journal!$BP$6:$BP$505,1,Journal!$BB$6:$BB$505,"Daily loss hit")+COUNTIFS(Journal!$B$6:$B$505,"&gt;="&amp;$C19,Journal!$B$6:$B$505,"&lt;"&amp;($C19+7),Journal!$BP$6:$BP$505,1,Journal!$BB$6:$BB$505,"Weekly loss hit")</f>
        <v>0</v>
      </c>
      <c r="M19" s="112" t="str">
        <f aca="false">IFERROR(COUNTIFS(Journal!$B$6:$B$505,"&gt;="&amp;$C19,Journal!$B$6:$B$505,"&lt;"&amp;($C19+7),Journal!$BP$6:$BP$505,1,Journal!$BD$6:$BD$505,"Yes")/(COUNTIFS(Journal!$B$6:$B$505,"&gt;="&amp;$C19,Journal!$B$6:$B$505,"&lt;"&amp;($C19+7),Journal!$BP$6:$BP$505,1,Journal!$BD$6:$BD$505,"Yes")+COUNTIFS(Journal!$B$6:$B$505,"&gt;="&amp;$C19,Journal!$B$6:$B$505,"&lt;"&amp;($C19+7),Journal!$BP$6:$BP$505,1,Journal!$BD$6:$BD$505,"No")),"")</f>
        <v/>
      </c>
      <c r="N19" s="90"/>
      <c r="O19" s="90"/>
      <c r="P19" s="90"/>
    </row>
    <row r="20" customFormat="false" ht="21.75" hidden="false" customHeight="true" outlineLevel="0" collapsed="false">
      <c r="B20" s="109" t="n">
        <v>15</v>
      </c>
      <c r="C20" s="110" t="n">
        <f aca="false">Settings!$C$7-WEEKDAY(Settings!$C$7,2)+1+7*(B20-1)</f>
        <v>46391</v>
      </c>
      <c r="D20" s="110" t="n">
        <f aca="false">C20+6</f>
        <v>46397</v>
      </c>
      <c r="E20" s="109" t="n">
        <f aca="false">F20+G20+H20</f>
        <v>0</v>
      </c>
      <c r="F20" s="111" t="n">
        <f aca="false">COUNTIFS(Journal!$B$6:$B$505,"&gt;="&amp;$C20,Journal!$B$6:$B$505,"&lt;"&amp;($C20+7),Journal!$BP$6:$BP$505,1,Journal!$AL$6:$AL$505,"Win")</f>
        <v>0</v>
      </c>
      <c r="G20" s="111" t="n">
        <f aca="false">COUNTIFS(Journal!$B$6:$B$505,"&gt;="&amp;$C20,Journal!$B$6:$B$505,"&lt;"&amp;($C20+7),Journal!$BP$6:$BP$505,1,Journal!$AL$6:$AL$505,"Loss")</f>
        <v>0</v>
      </c>
      <c r="H20" s="111" t="n">
        <f aca="false">COUNTIFS(Journal!$B$6:$B$505,"&gt;="&amp;$C20,Journal!$B$6:$B$505,"&lt;"&amp;($C20+7),Journal!$BP$6:$BP$505,1,Journal!$AL$6:$AL$505,"BE")</f>
        <v>0</v>
      </c>
      <c r="I20" s="112" t="str">
        <f aca="false">IF(E20=0,"",F20/E20)</f>
        <v/>
      </c>
      <c r="J20" s="113" t="str">
        <f aca="false">IF(E20=0,"",SUMIFS(Journal!$AK$6:$AK$505,Journal!$B$6:$B$505,"&gt;="&amp;$C20,Journal!$B$6:$B$505,"&lt;"&amp;($C20+7),Journal!$BP$6:$BP$505,1))</f>
        <v/>
      </c>
      <c r="K20" s="114" t="str">
        <f aca="false">IF(E20=0,"",SUMIFS(Journal!$AM$6:$AM$505,Journal!$B$6:$B$505,"&gt;="&amp;$C20,Journal!$B$6:$B$505,"&lt;"&amp;($C20+7),Journal!$BP$6:$BP$505,1))</f>
        <v/>
      </c>
      <c r="L20" s="111" t="n">
        <f aca="false">COUNTIFS(Journal!$B$6:$B$505,"&gt;="&amp;$C20,Journal!$B$6:$B$505,"&lt;"&amp;($C20+7),Journal!$BP$6:$BP$505,1,Journal!$BB$6:$BB$505,"Oversized")+COUNTIFS(Journal!$B$6:$B$505,"&gt;="&amp;$C20,Journal!$B$6:$B$505,"&lt;"&amp;($C20+7),Journal!$BP$6:$BP$505,1,Journal!$BB$6:$BB$505,"Overtraded")+COUNTIFS(Journal!$B$6:$B$505,"&gt;="&amp;$C20,Journal!$B$6:$B$505,"&lt;"&amp;($C20+7),Journal!$BP$6:$BP$505,1,Journal!$BB$6:$BB$505,"Daily loss hit")+COUNTIFS(Journal!$B$6:$B$505,"&gt;="&amp;$C20,Journal!$B$6:$B$505,"&lt;"&amp;($C20+7),Journal!$BP$6:$BP$505,1,Journal!$BB$6:$BB$505,"Weekly loss hit")</f>
        <v>0</v>
      </c>
      <c r="M20" s="112" t="str">
        <f aca="false">IFERROR(COUNTIFS(Journal!$B$6:$B$505,"&gt;="&amp;$C20,Journal!$B$6:$B$505,"&lt;"&amp;($C20+7),Journal!$BP$6:$BP$505,1,Journal!$BD$6:$BD$505,"Yes")/(COUNTIFS(Journal!$B$6:$B$505,"&gt;="&amp;$C20,Journal!$B$6:$B$505,"&lt;"&amp;($C20+7),Journal!$BP$6:$BP$505,1,Journal!$BD$6:$BD$505,"Yes")+COUNTIFS(Journal!$B$6:$B$505,"&gt;="&amp;$C20,Journal!$B$6:$B$505,"&lt;"&amp;($C20+7),Journal!$BP$6:$BP$505,1,Journal!$BD$6:$BD$505,"No")),"")</f>
        <v/>
      </c>
      <c r="N20" s="90"/>
      <c r="O20" s="90"/>
      <c r="P20" s="90"/>
    </row>
    <row r="21" customFormat="false" ht="21.75" hidden="false" customHeight="true" outlineLevel="0" collapsed="false">
      <c r="B21" s="109" t="n">
        <v>16</v>
      </c>
      <c r="C21" s="110" t="n">
        <f aca="false">Settings!$C$7-WEEKDAY(Settings!$C$7,2)+1+7*(B21-1)</f>
        <v>46398</v>
      </c>
      <c r="D21" s="110" t="n">
        <f aca="false">C21+6</f>
        <v>46404</v>
      </c>
      <c r="E21" s="109" t="n">
        <f aca="false">F21+G21+H21</f>
        <v>0</v>
      </c>
      <c r="F21" s="111" t="n">
        <f aca="false">COUNTIFS(Journal!$B$6:$B$505,"&gt;="&amp;$C21,Journal!$B$6:$B$505,"&lt;"&amp;($C21+7),Journal!$BP$6:$BP$505,1,Journal!$AL$6:$AL$505,"Win")</f>
        <v>0</v>
      </c>
      <c r="G21" s="111" t="n">
        <f aca="false">COUNTIFS(Journal!$B$6:$B$505,"&gt;="&amp;$C21,Journal!$B$6:$B$505,"&lt;"&amp;($C21+7),Journal!$BP$6:$BP$505,1,Journal!$AL$6:$AL$505,"Loss")</f>
        <v>0</v>
      </c>
      <c r="H21" s="111" t="n">
        <f aca="false">COUNTIFS(Journal!$B$6:$B$505,"&gt;="&amp;$C21,Journal!$B$6:$B$505,"&lt;"&amp;($C21+7),Journal!$BP$6:$BP$505,1,Journal!$AL$6:$AL$505,"BE")</f>
        <v>0</v>
      </c>
      <c r="I21" s="112" t="str">
        <f aca="false">IF(E21=0,"",F21/E21)</f>
        <v/>
      </c>
      <c r="J21" s="113" t="str">
        <f aca="false">IF(E21=0,"",SUMIFS(Journal!$AK$6:$AK$505,Journal!$B$6:$B$505,"&gt;="&amp;$C21,Journal!$B$6:$B$505,"&lt;"&amp;($C21+7),Journal!$BP$6:$BP$505,1))</f>
        <v/>
      </c>
      <c r="K21" s="114" t="str">
        <f aca="false">IF(E21=0,"",SUMIFS(Journal!$AM$6:$AM$505,Journal!$B$6:$B$505,"&gt;="&amp;$C21,Journal!$B$6:$B$505,"&lt;"&amp;($C21+7),Journal!$BP$6:$BP$505,1))</f>
        <v/>
      </c>
      <c r="L21" s="111" t="n">
        <f aca="false">COUNTIFS(Journal!$B$6:$B$505,"&gt;="&amp;$C21,Journal!$B$6:$B$505,"&lt;"&amp;($C21+7),Journal!$BP$6:$BP$505,1,Journal!$BB$6:$BB$505,"Oversized")+COUNTIFS(Journal!$B$6:$B$505,"&gt;="&amp;$C21,Journal!$B$6:$B$505,"&lt;"&amp;($C21+7),Journal!$BP$6:$BP$505,1,Journal!$BB$6:$BB$505,"Overtraded")+COUNTIFS(Journal!$B$6:$B$505,"&gt;="&amp;$C21,Journal!$B$6:$B$505,"&lt;"&amp;($C21+7),Journal!$BP$6:$BP$505,1,Journal!$BB$6:$BB$505,"Daily loss hit")+COUNTIFS(Journal!$B$6:$B$505,"&gt;="&amp;$C21,Journal!$B$6:$B$505,"&lt;"&amp;($C21+7),Journal!$BP$6:$BP$505,1,Journal!$BB$6:$BB$505,"Weekly loss hit")</f>
        <v>0</v>
      </c>
      <c r="M21" s="112" t="str">
        <f aca="false">IFERROR(COUNTIFS(Journal!$B$6:$B$505,"&gt;="&amp;$C21,Journal!$B$6:$B$505,"&lt;"&amp;($C21+7),Journal!$BP$6:$BP$505,1,Journal!$BD$6:$BD$505,"Yes")/(COUNTIFS(Journal!$B$6:$B$505,"&gt;="&amp;$C21,Journal!$B$6:$B$505,"&lt;"&amp;($C21+7),Journal!$BP$6:$BP$505,1,Journal!$BD$6:$BD$505,"Yes")+COUNTIFS(Journal!$B$6:$B$505,"&gt;="&amp;$C21,Journal!$B$6:$B$505,"&lt;"&amp;($C21+7),Journal!$BP$6:$BP$505,1,Journal!$BD$6:$BD$505,"No")),"")</f>
        <v/>
      </c>
      <c r="N21" s="90"/>
      <c r="O21" s="90"/>
      <c r="P21" s="90"/>
    </row>
    <row r="22" customFormat="false" ht="21.75" hidden="false" customHeight="true" outlineLevel="0" collapsed="false">
      <c r="B22" s="109" t="n">
        <v>17</v>
      </c>
      <c r="C22" s="110" t="n">
        <f aca="false">Settings!$C$7-WEEKDAY(Settings!$C$7,2)+1+7*(B22-1)</f>
        <v>46405</v>
      </c>
      <c r="D22" s="110" t="n">
        <f aca="false">C22+6</f>
        <v>46411</v>
      </c>
      <c r="E22" s="109" t="n">
        <f aca="false">F22+G22+H22</f>
        <v>0</v>
      </c>
      <c r="F22" s="111" t="n">
        <f aca="false">COUNTIFS(Journal!$B$6:$B$505,"&gt;="&amp;$C22,Journal!$B$6:$B$505,"&lt;"&amp;($C22+7),Journal!$BP$6:$BP$505,1,Journal!$AL$6:$AL$505,"Win")</f>
        <v>0</v>
      </c>
      <c r="G22" s="111" t="n">
        <f aca="false">COUNTIFS(Journal!$B$6:$B$505,"&gt;="&amp;$C22,Journal!$B$6:$B$505,"&lt;"&amp;($C22+7),Journal!$BP$6:$BP$505,1,Journal!$AL$6:$AL$505,"Loss")</f>
        <v>0</v>
      </c>
      <c r="H22" s="111" t="n">
        <f aca="false">COUNTIFS(Journal!$B$6:$B$505,"&gt;="&amp;$C22,Journal!$B$6:$B$505,"&lt;"&amp;($C22+7),Journal!$BP$6:$BP$505,1,Journal!$AL$6:$AL$505,"BE")</f>
        <v>0</v>
      </c>
      <c r="I22" s="112" t="str">
        <f aca="false">IF(E22=0,"",F22/E22)</f>
        <v/>
      </c>
      <c r="J22" s="113" t="str">
        <f aca="false">IF(E22=0,"",SUMIFS(Journal!$AK$6:$AK$505,Journal!$B$6:$B$505,"&gt;="&amp;$C22,Journal!$B$6:$B$505,"&lt;"&amp;($C22+7),Journal!$BP$6:$BP$505,1))</f>
        <v/>
      </c>
      <c r="K22" s="114" t="str">
        <f aca="false">IF(E22=0,"",SUMIFS(Journal!$AM$6:$AM$505,Journal!$B$6:$B$505,"&gt;="&amp;$C22,Journal!$B$6:$B$505,"&lt;"&amp;($C22+7),Journal!$BP$6:$BP$505,1))</f>
        <v/>
      </c>
      <c r="L22" s="111" t="n">
        <f aca="false">COUNTIFS(Journal!$B$6:$B$505,"&gt;="&amp;$C22,Journal!$B$6:$B$505,"&lt;"&amp;($C22+7),Journal!$BP$6:$BP$505,1,Journal!$BB$6:$BB$505,"Oversized")+COUNTIFS(Journal!$B$6:$B$505,"&gt;="&amp;$C22,Journal!$B$6:$B$505,"&lt;"&amp;($C22+7),Journal!$BP$6:$BP$505,1,Journal!$BB$6:$BB$505,"Overtraded")+COUNTIFS(Journal!$B$6:$B$505,"&gt;="&amp;$C22,Journal!$B$6:$B$505,"&lt;"&amp;($C22+7),Journal!$BP$6:$BP$505,1,Journal!$BB$6:$BB$505,"Daily loss hit")+COUNTIFS(Journal!$B$6:$B$505,"&gt;="&amp;$C22,Journal!$B$6:$B$505,"&lt;"&amp;($C22+7),Journal!$BP$6:$BP$505,1,Journal!$BB$6:$BB$505,"Weekly loss hit")</f>
        <v>0</v>
      </c>
      <c r="M22" s="112" t="str">
        <f aca="false">IFERROR(COUNTIFS(Journal!$B$6:$B$505,"&gt;="&amp;$C22,Journal!$B$6:$B$505,"&lt;"&amp;($C22+7),Journal!$BP$6:$BP$505,1,Journal!$BD$6:$BD$505,"Yes")/(COUNTIFS(Journal!$B$6:$B$505,"&gt;="&amp;$C22,Journal!$B$6:$B$505,"&lt;"&amp;($C22+7),Journal!$BP$6:$BP$505,1,Journal!$BD$6:$BD$505,"Yes")+COUNTIFS(Journal!$B$6:$B$505,"&gt;="&amp;$C22,Journal!$B$6:$B$505,"&lt;"&amp;($C22+7),Journal!$BP$6:$BP$505,1,Journal!$BD$6:$BD$505,"No")),"")</f>
        <v/>
      </c>
      <c r="N22" s="90"/>
      <c r="O22" s="90"/>
      <c r="P22" s="90"/>
    </row>
    <row r="23" customFormat="false" ht="21.75" hidden="false" customHeight="true" outlineLevel="0" collapsed="false">
      <c r="B23" s="109" t="n">
        <v>18</v>
      </c>
      <c r="C23" s="110" t="n">
        <f aca="false">Settings!$C$7-WEEKDAY(Settings!$C$7,2)+1+7*(B23-1)</f>
        <v>46412</v>
      </c>
      <c r="D23" s="110" t="n">
        <f aca="false">C23+6</f>
        <v>46418</v>
      </c>
      <c r="E23" s="109" t="n">
        <f aca="false">F23+G23+H23</f>
        <v>0</v>
      </c>
      <c r="F23" s="111" t="n">
        <f aca="false">COUNTIFS(Journal!$B$6:$B$505,"&gt;="&amp;$C23,Journal!$B$6:$B$505,"&lt;"&amp;($C23+7),Journal!$BP$6:$BP$505,1,Journal!$AL$6:$AL$505,"Win")</f>
        <v>0</v>
      </c>
      <c r="G23" s="111" t="n">
        <f aca="false">COUNTIFS(Journal!$B$6:$B$505,"&gt;="&amp;$C23,Journal!$B$6:$B$505,"&lt;"&amp;($C23+7),Journal!$BP$6:$BP$505,1,Journal!$AL$6:$AL$505,"Loss")</f>
        <v>0</v>
      </c>
      <c r="H23" s="111" t="n">
        <f aca="false">COUNTIFS(Journal!$B$6:$B$505,"&gt;="&amp;$C23,Journal!$B$6:$B$505,"&lt;"&amp;($C23+7),Journal!$BP$6:$BP$505,1,Journal!$AL$6:$AL$505,"BE")</f>
        <v>0</v>
      </c>
      <c r="I23" s="112" t="str">
        <f aca="false">IF(E23=0,"",F23/E23)</f>
        <v/>
      </c>
      <c r="J23" s="113" t="str">
        <f aca="false">IF(E23=0,"",SUMIFS(Journal!$AK$6:$AK$505,Journal!$B$6:$B$505,"&gt;="&amp;$C23,Journal!$B$6:$B$505,"&lt;"&amp;($C23+7),Journal!$BP$6:$BP$505,1))</f>
        <v/>
      </c>
      <c r="K23" s="114" t="str">
        <f aca="false">IF(E23=0,"",SUMIFS(Journal!$AM$6:$AM$505,Journal!$B$6:$B$505,"&gt;="&amp;$C23,Journal!$B$6:$B$505,"&lt;"&amp;($C23+7),Journal!$BP$6:$BP$505,1))</f>
        <v/>
      </c>
      <c r="L23" s="111" t="n">
        <f aca="false">COUNTIFS(Journal!$B$6:$B$505,"&gt;="&amp;$C23,Journal!$B$6:$B$505,"&lt;"&amp;($C23+7),Journal!$BP$6:$BP$505,1,Journal!$BB$6:$BB$505,"Oversized")+COUNTIFS(Journal!$B$6:$B$505,"&gt;="&amp;$C23,Journal!$B$6:$B$505,"&lt;"&amp;($C23+7),Journal!$BP$6:$BP$505,1,Journal!$BB$6:$BB$505,"Overtraded")+COUNTIFS(Journal!$B$6:$B$505,"&gt;="&amp;$C23,Journal!$B$6:$B$505,"&lt;"&amp;($C23+7),Journal!$BP$6:$BP$505,1,Journal!$BB$6:$BB$505,"Daily loss hit")+COUNTIFS(Journal!$B$6:$B$505,"&gt;="&amp;$C23,Journal!$B$6:$B$505,"&lt;"&amp;($C23+7),Journal!$BP$6:$BP$505,1,Journal!$BB$6:$BB$505,"Weekly loss hit")</f>
        <v>0</v>
      </c>
      <c r="M23" s="112" t="str">
        <f aca="false">IFERROR(COUNTIFS(Journal!$B$6:$B$505,"&gt;="&amp;$C23,Journal!$B$6:$B$505,"&lt;"&amp;($C23+7),Journal!$BP$6:$BP$505,1,Journal!$BD$6:$BD$505,"Yes")/(COUNTIFS(Journal!$B$6:$B$505,"&gt;="&amp;$C23,Journal!$B$6:$B$505,"&lt;"&amp;($C23+7),Journal!$BP$6:$BP$505,1,Journal!$BD$6:$BD$505,"Yes")+COUNTIFS(Journal!$B$6:$B$505,"&gt;="&amp;$C23,Journal!$B$6:$B$505,"&lt;"&amp;($C23+7),Journal!$BP$6:$BP$505,1,Journal!$BD$6:$BD$505,"No")),"")</f>
        <v/>
      </c>
      <c r="N23" s="90"/>
      <c r="O23" s="90"/>
      <c r="P23" s="90"/>
    </row>
    <row r="24" customFormat="false" ht="21.75" hidden="false" customHeight="true" outlineLevel="0" collapsed="false">
      <c r="B24" s="109" t="n">
        <v>19</v>
      </c>
      <c r="C24" s="110" t="n">
        <f aca="false">Settings!$C$7-WEEKDAY(Settings!$C$7,2)+1+7*(B24-1)</f>
        <v>46419</v>
      </c>
      <c r="D24" s="110" t="n">
        <f aca="false">C24+6</f>
        <v>46425</v>
      </c>
      <c r="E24" s="109" t="n">
        <f aca="false">F24+G24+H24</f>
        <v>0</v>
      </c>
      <c r="F24" s="111" t="n">
        <f aca="false">COUNTIFS(Journal!$B$6:$B$505,"&gt;="&amp;$C24,Journal!$B$6:$B$505,"&lt;"&amp;($C24+7),Journal!$BP$6:$BP$505,1,Journal!$AL$6:$AL$505,"Win")</f>
        <v>0</v>
      </c>
      <c r="G24" s="111" t="n">
        <f aca="false">COUNTIFS(Journal!$B$6:$B$505,"&gt;="&amp;$C24,Journal!$B$6:$B$505,"&lt;"&amp;($C24+7),Journal!$BP$6:$BP$505,1,Journal!$AL$6:$AL$505,"Loss")</f>
        <v>0</v>
      </c>
      <c r="H24" s="111" t="n">
        <f aca="false">COUNTIFS(Journal!$B$6:$B$505,"&gt;="&amp;$C24,Journal!$B$6:$B$505,"&lt;"&amp;($C24+7),Journal!$BP$6:$BP$505,1,Journal!$AL$6:$AL$505,"BE")</f>
        <v>0</v>
      </c>
      <c r="I24" s="112" t="str">
        <f aca="false">IF(E24=0,"",F24/E24)</f>
        <v/>
      </c>
      <c r="J24" s="113" t="str">
        <f aca="false">IF(E24=0,"",SUMIFS(Journal!$AK$6:$AK$505,Journal!$B$6:$B$505,"&gt;="&amp;$C24,Journal!$B$6:$B$505,"&lt;"&amp;($C24+7),Journal!$BP$6:$BP$505,1))</f>
        <v/>
      </c>
      <c r="K24" s="114" t="str">
        <f aca="false">IF(E24=0,"",SUMIFS(Journal!$AM$6:$AM$505,Journal!$B$6:$B$505,"&gt;="&amp;$C24,Journal!$B$6:$B$505,"&lt;"&amp;($C24+7),Journal!$BP$6:$BP$505,1))</f>
        <v/>
      </c>
      <c r="L24" s="111" t="n">
        <f aca="false">COUNTIFS(Journal!$B$6:$B$505,"&gt;="&amp;$C24,Journal!$B$6:$B$505,"&lt;"&amp;($C24+7),Journal!$BP$6:$BP$505,1,Journal!$BB$6:$BB$505,"Oversized")+COUNTIFS(Journal!$B$6:$B$505,"&gt;="&amp;$C24,Journal!$B$6:$B$505,"&lt;"&amp;($C24+7),Journal!$BP$6:$BP$505,1,Journal!$BB$6:$BB$505,"Overtraded")+COUNTIFS(Journal!$B$6:$B$505,"&gt;="&amp;$C24,Journal!$B$6:$B$505,"&lt;"&amp;($C24+7),Journal!$BP$6:$BP$505,1,Journal!$BB$6:$BB$505,"Daily loss hit")+COUNTIFS(Journal!$B$6:$B$505,"&gt;="&amp;$C24,Journal!$B$6:$B$505,"&lt;"&amp;($C24+7),Journal!$BP$6:$BP$505,1,Journal!$BB$6:$BB$505,"Weekly loss hit")</f>
        <v>0</v>
      </c>
      <c r="M24" s="112" t="str">
        <f aca="false">IFERROR(COUNTIFS(Journal!$B$6:$B$505,"&gt;="&amp;$C24,Journal!$B$6:$B$505,"&lt;"&amp;($C24+7),Journal!$BP$6:$BP$505,1,Journal!$BD$6:$BD$505,"Yes")/(COUNTIFS(Journal!$B$6:$B$505,"&gt;="&amp;$C24,Journal!$B$6:$B$505,"&lt;"&amp;($C24+7),Journal!$BP$6:$BP$505,1,Journal!$BD$6:$BD$505,"Yes")+COUNTIFS(Journal!$B$6:$B$505,"&gt;="&amp;$C24,Journal!$B$6:$B$505,"&lt;"&amp;($C24+7),Journal!$BP$6:$BP$505,1,Journal!$BD$6:$BD$505,"No")),"")</f>
        <v/>
      </c>
      <c r="N24" s="90"/>
      <c r="O24" s="90"/>
      <c r="P24" s="90"/>
    </row>
    <row r="25" customFormat="false" ht="21.75" hidden="false" customHeight="true" outlineLevel="0" collapsed="false">
      <c r="B25" s="109" t="n">
        <v>20</v>
      </c>
      <c r="C25" s="110" t="n">
        <f aca="false">Settings!$C$7-WEEKDAY(Settings!$C$7,2)+1+7*(B25-1)</f>
        <v>46426</v>
      </c>
      <c r="D25" s="110" t="n">
        <f aca="false">C25+6</f>
        <v>46432</v>
      </c>
      <c r="E25" s="109" t="n">
        <f aca="false">F25+G25+H25</f>
        <v>0</v>
      </c>
      <c r="F25" s="111" t="n">
        <f aca="false">COUNTIFS(Journal!$B$6:$B$505,"&gt;="&amp;$C25,Journal!$B$6:$B$505,"&lt;"&amp;($C25+7),Journal!$BP$6:$BP$505,1,Journal!$AL$6:$AL$505,"Win")</f>
        <v>0</v>
      </c>
      <c r="G25" s="111" t="n">
        <f aca="false">COUNTIFS(Journal!$B$6:$B$505,"&gt;="&amp;$C25,Journal!$B$6:$B$505,"&lt;"&amp;($C25+7),Journal!$BP$6:$BP$505,1,Journal!$AL$6:$AL$505,"Loss")</f>
        <v>0</v>
      </c>
      <c r="H25" s="111" t="n">
        <f aca="false">COUNTIFS(Journal!$B$6:$B$505,"&gt;="&amp;$C25,Journal!$B$6:$B$505,"&lt;"&amp;($C25+7),Journal!$BP$6:$BP$505,1,Journal!$AL$6:$AL$505,"BE")</f>
        <v>0</v>
      </c>
      <c r="I25" s="112" t="str">
        <f aca="false">IF(E25=0,"",F25/E25)</f>
        <v/>
      </c>
      <c r="J25" s="113" t="str">
        <f aca="false">IF(E25=0,"",SUMIFS(Journal!$AK$6:$AK$505,Journal!$B$6:$B$505,"&gt;="&amp;$C25,Journal!$B$6:$B$505,"&lt;"&amp;($C25+7),Journal!$BP$6:$BP$505,1))</f>
        <v/>
      </c>
      <c r="K25" s="114" t="str">
        <f aca="false">IF(E25=0,"",SUMIFS(Journal!$AM$6:$AM$505,Journal!$B$6:$B$505,"&gt;="&amp;$C25,Journal!$B$6:$B$505,"&lt;"&amp;($C25+7),Journal!$BP$6:$BP$505,1))</f>
        <v/>
      </c>
      <c r="L25" s="111" t="n">
        <f aca="false">COUNTIFS(Journal!$B$6:$B$505,"&gt;="&amp;$C25,Journal!$B$6:$B$505,"&lt;"&amp;($C25+7),Journal!$BP$6:$BP$505,1,Journal!$BB$6:$BB$505,"Oversized")+COUNTIFS(Journal!$B$6:$B$505,"&gt;="&amp;$C25,Journal!$B$6:$B$505,"&lt;"&amp;($C25+7),Journal!$BP$6:$BP$505,1,Journal!$BB$6:$BB$505,"Overtraded")+COUNTIFS(Journal!$B$6:$B$505,"&gt;="&amp;$C25,Journal!$B$6:$B$505,"&lt;"&amp;($C25+7),Journal!$BP$6:$BP$505,1,Journal!$BB$6:$BB$505,"Daily loss hit")+COUNTIFS(Journal!$B$6:$B$505,"&gt;="&amp;$C25,Journal!$B$6:$B$505,"&lt;"&amp;($C25+7),Journal!$BP$6:$BP$505,1,Journal!$BB$6:$BB$505,"Weekly loss hit")</f>
        <v>0</v>
      </c>
      <c r="M25" s="112" t="str">
        <f aca="false">IFERROR(COUNTIFS(Journal!$B$6:$B$505,"&gt;="&amp;$C25,Journal!$B$6:$B$505,"&lt;"&amp;($C25+7),Journal!$BP$6:$BP$505,1,Journal!$BD$6:$BD$505,"Yes")/(COUNTIFS(Journal!$B$6:$B$505,"&gt;="&amp;$C25,Journal!$B$6:$B$505,"&lt;"&amp;($C25+7),Journal!$BP$6:$BP$505,1,Journal!$BD$6:$BD$505,"Yes")+COUNTIFS(Journal!$B$6:$B$505,"&gt;="&amp;$C25,Journal!$B$6:$B$505,"&lt;"&amp;($C25+7),Journal!$BP$6:$BP$505,1,Journal!$BD$6:$BD$505,"No")),"")</f>
        <v/>
      </c>
      <c r="N25" s="90"/>
      <c r="O25" s="90"/>
      <c r="P25" s="90"/>
    </row>
    <row r="26" customFormat="false" ht="21.75" hidden="false" customHeight="true" outlineLevel="0" collapsed="false">
      <c r="B26" s="109" t="n">
        <v>21</v>
      </c>
      <c r="C26" s="110" t="n">
        <f aca="false">Settings!$C$7-WEEKDAY(Settings!$C$7,2)+1+7*(B26-1)</f>
        <v>46433</v>
      </c>
      <c r="D26" s="110" t="n">
        <f aca="false">C26+6</f>
        <v>46439</v>
      </c>
      <c r="E26" s="109" t="n">
        <f aca="false">F26+G26+H26</f>
        <v>0</v>
      </c>
      <c r="F26" s="111" t="n">
        <f aca="false">COUNTIFS(Journal!$B$6:$B$505,"&gt;="&amp;$C26,Journal!$B$6:$B$505,"&lt;"&amp;($C26+7),Journal!$BP$6:$BP$505,1,Journal!$AL$6:$AL$505,"Win")</f>
        <v>0</v>
      </c>
      <c r="G26" s="111" t="n">
        <f aca="false">COUNTIFS(Journal!$B$6:$B$505,"&gt;="&amp;$C26,Journal!$B$6:$B$505,"&lt;"&amp;($C26+7),Journal!$BP$6:$BP$505,1,Journal!$AL$6:$AL$505,"Loss")</f>
        <v>0</v>
      </c>
      <c r="H26" s="111" t="n">
        <f aca="false">COUNTIFS(Journal!$B$6:$B$505,"&gt;="&amp;$C26,Journal!$B$6:$B$505,"&lt;"&amp;($C26+7),Journal!$BP$6:$BP$505,1,Journal!$AL$6:$AL$505,"BE")</f>
        <v>0</v>
      </c>
      <c r="I26" s="112" t="str">
        <f aca="false">IF(E26=0,"",F26/E26)</f>
        <v/>
      </c>
      <c r="J26" s="113" t="str">
        <f aca="false">IF(E26=0,"",SUMIFS(Journal!$AK$6:$AK$505,Journal!$B$6:$B$505,"&gt;="&amp;$C26,Journal!$B$6:$B$505,"&lt;"&amp;($C26+7),Journal!$BP$6:$BP$505,1))</f>
        <v/>
      </c>
      <c r="K26" s="114" t="str">
        <f aca="false">IF(E26=0,"",SUMIFS(Journal!$AM$6:$AM$505,Journal!$B$6:$B$505,"&gt;="&amp;$C26,Journal!$B$6:$B$505,"&lt;"&amp;($C26+7),Journal!$BP$6:$BP$505,1))</f>
        <v/>
      </c>
      <c r="L26" s="111" t="n">
        <f aca="false">COUNTIFS(Journal!$B$6:$B$505,"&gt;="&amp;$C26,Journal!$B$6:$B$505,"&lt;"&amp;($C26+7),Journal!$BP$6:$BP$505,1,Journal!$BB$6:$BB$505,"Oversized")+COUNTIFS(Journal!$B$6:$B$505,"&gt;="&amp;$C26,Journal!$B$6:$B$505,"&lt;"&amp;($C26+7),Journal!$BP$6:$BP$505,1,Journal!$BB$6:$BB$505,"Overtraded")+COUNTIFS(Journal!$B$6:$B$505,"&gt;="&amp;$C26,Journal!$B$6:$B$505,"&lt;"&amp;($C26+7),Journal!$BP$6:$BP$505,1,Journal!$BB$6:$BB$505,"Daily loss hit")+COUNTIFS(Journal!$B$6:$B$505,"&gt;="&amp;$C26,Journal!$B$6:$B$505,"&lt;"&amp;($C26+7),Journal!$BP$6:$BP$505,1,Journal!$BB$6:$BB$505,"Weekly loss hit")</f>
        <v>0</v>
      </c>
      <c r="M26" s="112" t="str">
        <f aca="false">IFERROR(COUNTIFS(Journal!$B$6:$B$505,"&gt;="&amp;$C26,Journal!$B$6:$B$505,"&lt;"&amp;($C26+7),Journal!$BP$6:$BP$505,1,Journal!$BD$6:$BD$505,"Yes")/(COUNTIFS(Journal!$B$6:$B$505,"&gt;="&amp;$C26,Journal!$B$6:$B$505,"&lt;"&amp;($C26+7),Journal!$BP$6:$BP$505,1,Journal!$BD$6:$BD$505,"Yes")+COUNTIFS(Journal!$B$6:$B$505,"&gt;="&amp;$C26,Journal!$B$6:$B$505,"&lt;"&amp;($C26+7),Journal!$BP$6:$BP$505,1,Journal!$BD$6:$BD$505,"No")),"")</f>
        <v/>
      </c>
      <c r="N26" s="90"/>
      <c r="O26" s="90"/>
      <c r="P26" s="90"/>
    </row>
    <row r="27" customFormat="false" ht="21.75" hidden="false" customHeight="true" outlineLevel="0" collapsed="false">
      <c r="B27" s="109" t="n">
        <v>22</v>
      </c>
      <c r="C27" s="110" t="n">
        <f aca="false">Settings!$C$7-WEEKDAY(Settings!$C$7,2)+1+7*(B27-1)</f>
        <v>46440</v>
      </c>
      <c r="D27" s="110" t="n">
        <f aca="false">C27+6</f>
        <v>46446</v>
      </c>
      <c r="E27" s="109" t="n">
        <f aca="false">F27+G27+H27</f>
        <v>0</v>
      </c>
      <c r="F27" s="111" t="n">
        <f aca="false">COUNTIFS(Journal!$B$6:$B$505,"&gt;="&amp;$C27,Journal!$B$6:$B$505,"&lt;"&amp;($C27+7),Journal!$BP$6:$BP$505,1,Journal!$AL$6:$AL$505,"Win")</f>
        <v>0</v>
      </c>
      <c r="G27" s="111" t="n">
        <f aca="false">COUNTIFS(Journal!$B$6:$B$505,"&gt;="&amp;$C27,Journal!$B$6:$B$505,"&lt;"&amp;($C27+7),Journal!$BP$6:$BP$505,1,Journal!$AL$6:$AL$505,"Loss")</f>
        <v>0</v>
      </c>
      <c r="H27" s="111" t="n">
        <f aca="false">COUNTIFS(Journal!$B$6:$B$505,"&gt;="&amp;$C27,Journal!$B$6:$B$505,"&lt;"&amp;($C27+7),Journal!$BP$6:$BP$505,1,Journal!$AL$6:$AL$505,"BE")</f>
        <v>0</v>
      </c>
      <c r="I27" s="112" t="str">
        <f aca="false">IF(E27=0,"",F27/E27)</f>
        <v/>
      </c>
      <c r="J27" s="113" t="str">
        <f aca="false">IF(E27=0,"",SUMIFS(Journal!$AK$6:$AK$505,Journal!$B$6:$B$505,"&gt;="&amp;$C27,Journal!$B$6:$B$505,"&lt;"&amp;($C27+7),Journal!$BP$6:$BP$505,1))</f>
        <v/>
      </c>
      <c r="K27" s="114" t="str">
        <f aca="false">IF(E27=0,"",SUMIFS(Journal!$AM$6:$AM$505,Journal!$B$6:$B$505,"&gt;="&amp;$C27,Journal!$B$6:$B$505,"&lt;"&amp;($C27+7),Journal!$BP$6:$BP$505,1))</f>
        <v/>
      </c>
      <c r="L27" s="111" t="n">
        <f aca="false">COUNTIFS(Journal!$B$6:$B$505,"&gt;="&amp;$C27,Journal!$B$6:$B$505,"&lt;"&amp;($C27+7),Journal!$BP$6:$BP$505,1,Journal!$BB$6:$BB$505,"Oversized")+COUNTIFS(Journal!$B$6:$B$505,"&gt;="&amp;$C27,Journal!$B$6:$B$505,"&lt;"&amp;($C27+7),Journal!$BP$6:$BP$505,1,Journal!$BB$6:$BB$505,"Overtraded")+COUNTIFS(Journal!$B$6:$B$505,"&gt;="&amp;$C27,Journal!$B$6:$B$505,"&lt;"&amp;($C27+7),Journal!$BP$6:$BP$505,1,Journal!$BB$6:$BB$505,"Daily loss hit")+COUNTIFS(Journal!$B$6:$B$505,"&gt;="&amp;$C27,Journal!$B$6:$B$505,"&lt;"&amp;($C27+7),Journal!$BP$6:$BP$505,1,Journal!$BB$6:$BB$505,"Weekly loss hit")</f>
        <v>0</v>
      </c>
      <c r="M27" s="112" t="str">
        <f aca="false">IFERROR(COUNTIFS(Journal!$B$6:$B$505,"&gt;="&amp;$C27,Journal!$B$6:$B$505,"&lt;"&amp;($C27+7),Journal!$BP$6:$BP$505,1,Journal!$BD$6:$BD$505,"Yes")/(COUNTIFS(Journal!$B$6:$B$505,"&gt;="&amp;$C27,Journal!$B$6:$B$505,"&lt;"&amp;($C27+7),Journal!$BP$6:$BP$505,1,Journal!$BD$6:$BD$505,"Yes")+COUNTIFS(Journal!$B$6:$B$505,"&gt;="&amp;$C27,Journal!$B$6:$B$505,"&lt;"&amp;($C27+7),Journal!$BP$6:$BP$505,1,Journal!$BD$6:$BD$505,"No")),"")</f>
        <v/>
      </c>
      <c r="N27" s="90"/>
      <c r="O27" s="90"/>
      <c r="P27" s="90"/>
    </row>
    <row r="28" customFormat="false" ht="21.75" hidden="false" customHeight="true" outlineLevel="0" collapsed="false">
      <c r="B28" s="109" t="n">
        <v>23</v>
      </c>
      <c r="C28" s="110" t="n">
        <f aca="false">Settings!$C$7-WEEKDAY(Settings!$C$7,2)+1+7*(B28-1)</f>
        <v>46447</v>
      </c>
      <c r="D28" s="110" t="n">
        <f aca="false">C28+6</f>
        <v>46453</v>
      </c>
      <c r="E28" s="109" t="n">
        <f aca="false">F28+G28+H28</f>
        <v>0</v>
      </c>
      <c r="F28" s="111" t="n">
        <f aca="false">COUNTIFS(Journal!$B$6:$B$505,"&gt;="&amp;$C28,Journal!$B$6:$B$505,"&lt;"&amp;($C28+7),Journal!$BP$6:$BP$505,1,Journal!$AL$6:$AL$505,"Win")</f>
        <v>0</v>
      </c>
      <c r="G28" s="111" t="n">
        <f aca="false">COUNTIFS(Journal!$B$6:$B$505,"&gt;="&amp;$C28,Journal!$B$6:$B$505,"&lt;"&amp;($C28+7),Journal!$BP$6:$BP$505,1,Journal!$AL$6:$AL$505,"Loss")</f>
        <v>0</v>
      </c>
      <c r="H28" s="111" t="n">
        <f aca="false">COUNTIFS(Journal!$B$6:$B$505,"&gt;="&amp;$C28,Journal!$B$6:$B$505,"&lt;"&amp;($C28+7),Journal!$BP$6:$BP$505,1,Journal!$AL$6:$AL$505,"BE")</f>
        <v>0</v>
      </c>
      <c r="I28" s="112" t="str">
        <f aca="false">IF(E28=0,"",F28/E28)</f>
        <v/>
      </c>
      <c r="J28" s="113" t="str">
        <f aca="false">IF(E28=0,"",SUMIFS(Journal!$AK$6:$AK$505,Journal!$B$6:$B$505,"&gt;="&amp;$C28,Journal!$B$6:$B$505,"&lt;"&amp;($C28+7),Journal!$BP$6:$BP$505,1))</f>
        <v/>
      </c>
      <c r="K28" s="114" t="str">
        <f aca="false">IF(E28=0,"",SUMIFS(Journal!$AM$6:$AM$505,Journal!$B$6:$B$505,"&gt;="&amp;$C28,Journal!$B$6:$B$505,"&lt;"&amp;($C28+7),Journal!$BP$6:$BP$505,1))</f>
        <v/>
      </c>
      <c r="L28" s="111" t="n">
        <f aca="false">COUNTIFS(Journal!$B$6:$B$505,"&gt;="&amp;$C28,Journal!$B$6:$B$505,"&lt;"&amp;($C28+7),Journal!$BP$6:$BP$505,1,Journal!$BB$6:$BB$505,"Oversized")+COUNTIFS(Journal!$B$6:$B$505,"&gt;="&amp;$C28,Journal!$B$6:$B$505,"&lt;"&amp;($C28+7),Journal!$BP$6:$BP$505,1,Journal!$BB$6:$BB$505,"Overtraded")+COUNTIFS(Journal!$B$6:$B$505,"&gt;="&amp;$C28,Journal!$B$6:$B$505,"&lt;"&amp;($C28+7),Journal!$BP$6:$BP$505,1,Journal!$BB$6:$BB$505,"Daily loss hit")+COUNTIFS(Journal!$B$6:$B$505,"&gt;="&amp;$C28,Journal!$B$6:$B$505,"&lt;"&amp;($C28+7),Journal!$BP$6:$BP$505,1,Journal!$BB$6:$BB$505,"Weekly loss hit")</f>
        <v>0</v>
      </c>
      <c r="M28" s="112" t="str">
        <f aca="false">IFERROR(COUNTIFS(Journal!$B$6:$B$505,"&gt;="&amp;$C28,Journal!$B$6:$B$505,"&lt;"&amp;($C28+7),Journal!$BP$6:$BP$505,1,Journal!$BD$6:$BD$505,"Yes")/(COUNTIFS(Journal!$B$6:$B$505,"&gt;="&amp;$C28,Journal!$B$6:$B$505,"&lt;"&amp;($C28+7),Journal!$BP$6:$BP$505,1,Journal!$BD$6:$BD$505,"Yes")+COUNTIFS(Journal!$B$6:$B$505,"&gt;="&amp;$C28,Journal!$B$6:$B$505,"&lt;"&amp;($C28+7),Journal!$BP$6:$BP$505,1,Journal!$BD$6:$BD$505,"No")),"")</f>
        <v/>
      </c>
      <c r="N28" s="90"/>
      <c r="O28" s="90"/>
      <c r="P28" s="90"/>
    </row>
    <row r="29" customFormat="false" ht="21.75" hidden="false" customHeight="true" outlineLevel="0" collapsed="false">
      <c r="B29" s="109" t="n">
        <v>24</v>
      </c>
      <c r="C29" s="110" t="n">
        <f aca="false">Settings!$C$7-WEEKDAY(Settings!$C$7,2)+1+7*(B29-1)</f>
        <v>46454</v>
      </c>
      <c r="D29" s="110" t="n">
        <f aca="false">C29+6</f>
        <v>46460</v>
      </c>
      <c r="E29" s="109" t="n">
        <f aca="false">F29+G29+H29</f>
        <v>0</v>
      </c>
      <c r="F29" s="111" t="n">
        <f aca="false">COUNTIFS(Journal!$B$6:$B$505,"&gt;="&amp;$C29,Journal!$B$6:$B$505,"&lt;"&amp;($C29+7),Journal!$BP$6:$BP$505,1,Journal!$AL$6:$AL$505,"Win")</f>
        <v>0</v>
      </c>
      <c r="G29" s="111" t="n">
        <f aca="false">COUNTIFS(Journal!$B$6:$B$505,"&gt;="&amp;$C29,Journal!$B$6:$B$505,"&lt;"&amp;($C29+7),Journal!$BP$6:$BP$505,1,Journal!$AL$6:$AL$505,"Loss")</f>
        <v>0</v>
      </c>
      <c r="H29" s="111" t="n">
        <f aca="false">COUNTIFS(Journal!$B$6:$B$505,"&gt;="&amp;$C29,Journal!$B$6:$B$505,"&lt;"&amp;($C29+7),Journal!$BP$6:$BP$505,1,Journal!$AL$6:$AL$505,"BE")</f>
        <v>0</v>
      </c>
      <c r="I29" s="112" t="str">
        <f aca="false">IF(E29=0,"",F29/E29)</f>
        <v/>
      </c>
      <c r="J29" s="113" t="str">
        <f aca="false">IF(E29=0,"",SUMIFS(Journal!$AK$6:$AK$505,Journal!$B$6:$B$505,"&gt;="&amp;$C29,Journal!$B$6:$B$505,"&lt;"&amp;($C29+7),Journal!$BP$6:$BP$505,1))</f>
        <v/>
      </c>
      <c r="K29" s="114" t="str">
        <f aca="false">IF(E29=0,"",SUMIFS(Journal!$AM$6:$AM$505,Journal!$B$6:$B$505,"&gt;="&amp;$C29,Journal!$B$6:$B$505,"&lt;"&amp;($C29+7),Journal!$BP$6:$BP$505,1))</f>
        <v/>
      </c>
      <c r="L29" s="111" t="n">
        <f aca="false">COUNTIFS(Journal!$B$6:$B$505,"&gt;="&amp;$C29,Journal!$B$6:$B$505,"&lt;"&amp;($C29+7),Journal!$BP$6:$BP$505,1,Journal!$BB$6:$BB$505,"Oversized")+COUNTIFS(Journal!$B$6:$B$505,"&gt;="&amp;$C29,Journal!$B$6:$B$505,"&lt;"&amp;($C29+7),Journal!$BP$6:$BP$505,1,Journal!$BB$6:$BB$505,"Overtraded")+COUNTIFS(Journal!$B$6:$B$505,"&gt;="&amp;$C29,Journal!$B$6:$B$505,"&lt;"&amp;($C29+7),Journal!$BP$6:$BP$505,1,Journal!$BB$6:$BB$505,"Daily loss hit")+COUNTIFS(Journal!$B$6:$B$505,"&gt;="&amp;$C29,Journal!$B$6:$B$505,"&lt;"&amp;($C29+7),Journal!$BP$6:$BP$505,1,Journal!$BB$6:$BB$505,"Weekly loss hit")</f>
        <v>0</v>
      </c>
      <c r="M29" s="112" t="str">
        <f aca="false">IFERROR(COUNTIFS(Journal!$B$6:$B$505,"&gt;="&amp;$C29,Journal!$B$6:$B$505,"&lt;"&amp;($C29+7),Journal!$BP$6:$BP$505,1,Journal!$BD$6:$BD$505,"Yes")/(COUNTIFS(Journal!$B$6:$B$505,"&gt;="&amp;$C29,Journal!$B$6:$B$505,"&lt;"&amp;($C29+7),Journal!$BP$6:$BP$505,1,Journal!$BD$6:$BD$505,"Yes")+COUNTIFS(Journal!$B$6:$B$505,"&gt;="&amp;$C29,Journal!$B$6:$B$505,"&lt;"&amp;($C29+7),Journal!$BP$6:$BP$505,1,Journal!$BD$6:$BD$505,"No")),"")</f>
        <v/>
      </c>
      <c r="N29" s="90"/>
      <c r="O29" s="90"/>
      <c r="P29" s="90"/>
    </row>
    <row r="30" customFormat="false" ht="21.75" hidden="false" customHeight="true" outlineLevel="0" collapsed="false">
      <c r="B30" s="109" t="n">
        <v>25</v>
      </c>
      <c r="C30" s="110" t="n">
        <f aca="false">Settings!$C$7-WEEKDAY(Settings!$C$7,2)+1+7*(B30-1)</f>
        <v>46461</v>
      </c>
      <c r="D30" s="110" t="n">
        <f aca="false">C30+6</f>
        <v>46467</v>
      </c>
      <c r="E30" s="109" t="n">
        <f aca="false">F30+G30+H30</f>
        <v>0</v>
      </c>
      <c r="F30" s="111" t="n">
        <f aca="false">COUNTIFS(Journal!$B$6:$B$505,"&gt;="&amp;$C30,Journal!$B$6:$B$505,"&lt;"&amp;($C30+7),Journal!$BP$6:$BP$505,1,Journal!$AL$6:$AL$505,"Win")</f>
        <v>0</v>
      </c>
      <c r="G30" s="111" t="n">
        <f aca="false">COUNTIFS(Journal!$B$6:$B$505,"&gt;="&amp;$C30,Journal!$B$6:$B$505,"&lt;"&amp;($C30+7),Journal!$BP$6:$BP$505,1,Journal!$AL$6:$AL$505,"Loss")</f>
        <v>0</v>
      </c>
      <c r="H30" s="111" t="n">
        <f aca="false">COUNTIFS(Journal!$B$6:$B$505,"&gt;="&amp;$C30,Journal!$B$6:$B$505,"&lt;"&amp;($C30+7),Journal!$BP$6:$BP$505,1,Journal!$AL$6:$AL$505,"BE")</f>
        <v>0</v>
      </c>
      <c r="I30" s="112" t="str">
        <f aca="false">IF(E30=0,"",F30/E30)</f>
        <v/>
      </c>
      <c r="J30" s="113" t="str">
        <f aca="false">IF(E30=0,"",SUMIFS(Journal!$AK$6:$AK$505,Journal!$B$6:$B$505,"&gt;="&amp;$C30,Journal!$B$6:$B$505,"&lt;"&amp;($C30+7),Journal!$BP$6:$BP$505,1))</f>
        <v/>
      </c>
      <c r="K30" s="114" t="str">
        <f aca="false">IF(E30=0,"",SUMIFS(Journal!$AM$6:$AM$505,Journal!$B$6:$B$505,"&gt;="&amp;$C30,Journal!$B$6:$B$505,"&lt;"&amp;($C30+7),Journal!$BP$6:$BP$505,1))</f>
        <v/>
      </c>
      <c r="L30" s="111" t="n">
        <f aca="false">COUNTIFS(Journal!$B$6:$B$505,"&gt;="&amp;$C30,Journal!$B$6:$B$505,"&lt;"&amp;($C30+7),Journal!$BP$6:$BP$505,1,Journal!$BB$6:$BB$505,"Oversized")+COUNTIFS(Journal!$B$6:$B$505,"&gt;="&amp;$C30,Journal!$B$6:$B$505,"&lt;"&amp;($C30+7),Journal!$BP$6:$BP$505,1,Journal!$BB$6:$BB$505,"Overtraded")+COUNTIFS(Journal!$B$6:$B$505,"&gt;="&amp;$C30,Journal!$B$6:$B$505,"&lt;"&amp;($C30+7),Journal!$BP$6:$BP$505,1,Journal!$BB$6:$BB$505,"Daily loss hit")+COUNTIFS(Journal!$B$6:$B$505,"&gt;="&amp;$C30,Journal!$B$6:$B$505,"&lt;"&amp;($C30+7),Journal!$BP$6:$BP$505,1,Journal!$BB$6:$BB$505,"Weekly loss hit")</f>
        <v>0</v>
      </c>
      <c r="M30" s="112" t="str">
        <f aca="false">IFERROR(COUNTIFS(Journal!$B$6:$B$505,"&gt;="&amp;$C30,Journal!$B$6:$B$505,"&lt;"&amp;($C30+7),Journal!$BP$6:$BP$505,1,Journal!$BD$6:$BD$505,"Yes")/(COUNTIFS(Journal!$B$6:$B$505,"&gt;="&amp;$C30,Journal!$B$6:$B$505,"&lt;"&amp;($C30+7),Journal!$BP$6:$BP$505,1,Journal!$BD$6:$BD$505,"Yes")+COUNTIFS(Journal!$B$6:$B$505,"&gt;="&amp;$C30,Journal!$B$6:$B$505,"&lt;"&amp;($C30+7),Journal!$BP$6:$BP$505,1,Journal!$BD$6:$BD$505,"No")),"")</f>
        <v/>
      </c>
      <c r="N30" s="90"/>
      <c r="O30" s="90"/>
      <c r="P30" s="90"/>
    </row>
    <row r="31" customFormat="false" ht="21.75" hidden="false" customHeight="true" outlineLevel="0" collapsed="false">
      <c r="B31" s="109" t="n">
        <v>26</v>
      </c>
      <c r="C31" s="110" t="n">
        <f aca="false">Settings!$C$7-WEEKDAY(Settings!$C$7,2)+1+7*(B31-1)</f>
        <v>46468</v>
      </c>
      <c r="D31" s="110" t="n">
        <f aca="false">C31+6</f>
        <v>46474</v>
      </c>
      <c r="E31" s="109" t="n">
        <f aca="false">F31+G31+H31</f>
        <v>0</v>
      </c>
      <c r="F31" s="111" t="n">
        <f aca="false">COUNTIFS(Journal!$B$6:$B$505,"&gt;="&amp;$C31,Journal!$B$6:$B$505,"&lt;"&amp;($C31+7),Journal!$BP$6:$BP$505,1,Journal!$AL$6:$AL$505,"Win")</f>
        <v>0</v>
      </c>
      <c r="G31" s="111" t="n">
        <f aca="false">COUNTIFS(Journal!$B$6:$B$505,"&gt;="&amp;$C31,Journal!$B$6:$B$505,"&lt;"&amp;($C31+7),Journal!$BP$6:$BP$505,1,Journal!$AL$6:$AL$505,"Loss")</f>
        <v>0</v>
      </c>
      <c r="H31" s="111" t="n">
        <f aca="false">COUNTIFS(Journal!$B$6:$B$505,"&gt;="&amp;$C31,Journal!$B$6:$B$505,"&lt;"&amp;($C31+7),Journal!$BP$6:$BP$505,1,Journal!$AL$6:$AL$505,"BE")</f>
        <v>0</v>
      </c>
      <c r="I31" s="112" t="str">
        <f aca="false">IF(E31=0,"",F31/E31)</f>
        <v/>
      </c>
      <c r="J31" s="113" t="str">
        <f aca="false">IF(E31=0,"",SUMIFS(Journal!$AK$6:$AK$505,Journal!$B$6:$B$505,"&gt;="&amp;$C31,Journal!$B$6:$B$505,"&lt;"&amp;($C31+7),Journal!$BP$6:$BP$505,1))</f>
        <v/>
      </c>
      <c r="K31" s="114" t="str">
        <f aca="false">IF(E31=0,"",SUMIFS(Journal!$AM$6:$AM$505,Journal!$B$6:$B$505,"&gt;="&amp;$C31,Journal!$B$6:$B$505,"&lt;"&amp;($C31+7),Journal!$BP$6:$BP$505,1))</f>
        <v/>
      </c>
      <c r="L31" s="111" t="n">
        <f aca="false">COUNTIFS(Journal!$B$6:$B$505,"&gt;="&amp;$C31,Journal!$B$6:$B$505,"&lt;"&amp;($C31+7),Journal!$BP$6:$BP$505,1,Journal!$BB$6:$BB$505,"Oversized")+COUNTIFS(Journal!$B$6:$B$505,"&gt;="&amp;$C31,Journal!$B$6:$B$505,"&lt;"&amp;($C31+7),Journal!$BP$6:$BP$505,1,Journal!$BB$6:$BB$505,"Overtraded")+COUNTIFS(Journal!$B$6:$B$505,"&gt;="&amp;$C31,Journal!$B$6:$B$505,"&lt;"&amp;($C31+7),Journal!$BP$6:$BP$505,1,Journal!$BB$6:$BB$505,"Daily loss hit")+COUNTIFS(Journal!$B$6:$B$505,"&gt;="&amp;$C31,Journal!$B$6:$B$505,"&lt;"&amp;($C31+7),Journal!$BP$6:$BP$505,1,Journal!$BB$6:$BB$505,"Weekly loss hit")</f>
        <v>0</v>
      </c>
      <c r="M31" s="112" t="str">
        <f aca="false">IFERROR(COUNTIFS(Journal!$B$6:$B$505,"&gt;="&amp;$C31,Journal!$B$6:$B$505,"&lt;"&amp;($C31+7),Journal!$BP$6:$BP$505,1,Journal!$BD$6:$BD$505,"Yes")/(COUNTIFS(Journal!$B$6:$B$505,"&gt;="&amp;$C31,Journal!$B$6:$B$505,"&lt;"&amp;($C31+7),Journal!$BP$6:$BP$505,1,Journal!$BD$6:$BD$505,"Yes")+COUNTIFS(Journal!$B$6:$B$505,"&gt;="&amp;$C31,Journal!$B$6:$B$505,"&lt;"&amp;($C31+7),Journal!$BP$6:$BP$505,1,Journal!$BD$6:$BD$505,"No")),"")</f>
        <v/>
      </c>
      <c r="N31" s="90"/>
      <c r="O31" s="90"/>
      <c r="P31" s="90"/>
    </row>
  </sheetData>
  <conditionalFormatting sqref="I6:I31">
    <cfRule type="dataBar" priority="2">
      <dataBar showValue="1" minLength="10" maxLength="90">
        <cfvo type="num" val="0"/>
        <cfvo type="num" val="1"/>
        <color rgb="FF9B8AD6"/>
      </dataBar>
      <extLst>
        <ext xmlns:x14="http://schemas.microsoft.com/office/spreadsheetml/2009/9/main" uri="{B025F937-C7B1-47D3-B67F-A62EFF666E3E}">
          <x14:id>{A6906470-D191-4A2B-BC46-7AB27D9EDA3D}</x14:id>
        </ext>
      </extLst>
    </cfRule>
  </conditionalFormatting>
  <conditionalFormatting sqref="L6:L31">
    <cfRule type="cellIs" priority="3" operator="greaterThan" aboveAverage="0" equalAverage="0" bottom="0" percent="0" rank="0" text="" dxfId="22">
      <formula>0</formula>
    </cfRule>
  </conditionalFormatting>
  <conditionalFormatting sqref="K6:K31">
    <cfRule type="colorScale" priority="4">
      <colorScale>
        <cfvo type="min" val="0"/>
        <cfvo type="num" val="0"/>
        <cfvo type="max" val="0"/>
        <color rgb="FFF6C6C6"/>
        <color rgb="FFFFFFFF"/>
        <color rgb="FFBFE8D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906470-D191-4A2B-BC46-7AB27D9EDA3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9B8AD6"/>
              <x14:axisColor rgb="FF000000"/>
            </x14:dataBar>
          </x14:cfRule>
          <xm:sqref>I6:I31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B429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4"/>
  </cols>
  <sheetData>
    <row r="1" customFormat="false" ht="33.75" hidden="false" customHeight="true" outlineLevel="0" collapsed="false">
      <c r="A1" s="115"/>
      <c r="B1" s="116" t="s">
        <v>291</v>
      </c>
      <c r="C1" s="115"/>
      <c r="D1" s="115"/>
      <c r="E1" s="115"/>
      <c r="F1" s="115"/>
      <c r="G1" s="115"/>
      <c r="H1" s="115"/>
      <c r="I1" s="115"/>
    </row>
    <row r="2" customFormat="false" ht="18" hidden="false" customHeight="true" outlineLevel="0" collapsed="false">
      <c r="A2" s="115"/>
      <c r="B2" s="117" t="s">
        <v>292</v>
      </c>
      <c r="C2" s="115"/>
      <c r="D2" s="115"/>
      <c r="E2" s="115"/>
      <c r="F2" s="115"/>
      <c r="G2" s="115"/>
      <c r="H2" s="115"/>
      <c r="I2" s="115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5" customFormat="false" ht="21.75" hidden="false" customHeight="true" outlineLevel="0" collapsed="false">
      <c r="B5" s="118" t="s">
        <v>293</v>
      </c>
      <c r="C5" s="6"/>
      <c r="D5" s="6"/>
      <c r="E5" s="6"/>
    </row>
    <row r="6" customFormat="false" ht="15" hidden="false" customHeight="false" outlineLevel="0" collapsed="false">
      <c r="B6" s="13" t="s">
        <v>294</v>
      </c>
      <c r="C6" s="119" t="str">
        <f aca="false">Settings!$C$21</f>
        <v>Prop Challenge</v>
      </c>
    </row>
    <row r="7" customFormat="false" ht="15" hidden="false" customHeight="false" outlineLevel="0" collapsed="false">
      <c r="B7" s="13" t="s">
        <v>295</v>
      </c>
      <c r="C7" s="120" t="n">
        <f aca="false">IFERROR(INDEX(Settings!$G$5:$G$10,MATCH(Settings!$C$21,Settings!$F$5:$F$10,0)),0)</f>
        <v>50000</v>
      </c>
      <c r="D7" s="121" t="s">
        <v>296</v>
      </c>
    </row>
    <row r="8" customFormat="false" ht="15" hidden="false" customHeight="false" outlineLevel="0" collapsed="false">
      <c r="B8" s="13" t="s">
        <v>297</v>
      </c>
      <c r="C8" s="120" t="n">
        <f aca="false">C7+SUMIFS(Journal!$AM$6:$AM$505,Journal!$BJ$6:$BJ$505,Settings!$C$21)</f>
        <v>50000</v>
      </c>
    </row>
    <row r="9" customFormat="false" ht="15" hidden="false" customHeight="false" outlineLevel="0" collapsed="false">
      <c r="B9" s="13" t="s">
        <v>165</v>
      </c>
      <c r="C9" s="122" t="n">
        <f aca="false">SUMIFS(Journal!$AM$6:$AM$505,Journal!$BJ$6:$BJ$505,Settings!$C$21)</f>
        <v>0</v>
      </c>
    </row>
    <row r="10" customFormat="false" ht="15" hidden="false" customHeight="false" outlineLevel="0" collapsed="false">
      <c r="B10" s="13" t="s">
        <v>298</v>
      </c>
      <c r="C10" s="123" t="n">
        <f aca="false">IFERROR(C9/C7,0)</f>
        <v>0</v>
      </c>
    </row>
    <row r="11" customFormat="false" ht="15" hidden="false" customHeight="false" outlineLevel="0" collapsed="false">
      <c r="B11" s="13" t="s">
        <v>299</v>
      </c>
      <c r="C11" s="124" t="n">
        <f aca="false">Settings!$C$22</f>
        <v>0.08</v>
      </c>
      <c r="D11" s="121" t="s">
        <v>300</v>
      </c>
    </row>
    <row r="12" customFormat="false" ht="15" hidden="false" customHeight="false" outlineLevel="0" collapsed="false">
      <c r="B12" s="13" t="s">
        <v>301</v>
      </c>
      <c r="C12" s="125" t="n">
        <f aca="false">MAX(0,MIN(1,IFERROR(C10/C11,0)))</f>
        <v>0</v>
      </c>
      <c r="D12" s="126" t="str">
        <f aca="false">REPT("█",ROUND(C12*25,0))&amp;REPT("░",25-ROUND(C12*25,0))</f>
        <v>░░░░░░░░░░░░░░░░░░░░░░░░░</v>
      </c>
    </row>
    <row r="13" customFormat="false" ht="15" hidden="false" customHeight="false" outlineLevel="0" collapsed="false">
      <c r="B13" s="13" t="s">
        <v>302</v>
      </c>
      <c r="C13" s="122" t="n">
        <f aca="false">MIN(0,_xlfn.MINIFS(Journal!$AZ$6:$AZ$505,Journal!$BJ$6:$BJ$505,Settings!$C$21))</f>
        <v>0</v>
      </c>
      <c r="D13" s="121" t="s">
        <v>303</v>
      </c>
    </row>
    <row r="14" customFormat="false" ht="15" hidden="false" customHeight="false" outlineLevel="0" collapsed="false">
      <c r="B14" s="13" t="s">
        <v>304</v>
      </c>
      <c r="C14" s="127" t="n">
        <f aca="false">IFERROR(-C13/C7,0)</f>
        <v>-0</v>
      </c>
    </row>
    <row r="15" customFormat="false" ht="15" hidden="false" customHeight="false" outlineLevel="0" collapsed="false">
      <c r="B15" s="13" t="s">
        <v>305</v>
      </c>
      <c r="C15" s="124" t="n">
        <f aca="false">Settings!$C$23</f>
        <v>0.05</v>
      </c>
      <c r="D15" s="121" t="s">
        <v>300</v>
      </c>
    </row>
    <row r="16" customFormat="false" ht="15" hidden="false" customHeight="false" outlineLevel="0" collapsed="false">
      <c r="B16" s="13" t="s">
        <v>306</v>
      </c>
      <c r="C16" s="125" t="n">
        <f aca="false">MAX(0,MIN(1,IFERROR(C14/C15,0)))</f>
        <v>-0</v>
      </c>
      <c r="D16" s="126" t="str">
        <f aca="false">REPT("█",ROUND(C16*25,0))&amp;REPT("░",25-ROUND(C16*25,0))</f>
        <v>░░░░░░░░░░░░░░░░░░░░░░░░░</v>
      </c>
    </row>
    <row r="17" customFormat="false" ht="15" hidden="false" customHeight="false" outlineLevel="0" collapsed="false">
      <c r="B17" s="13" t="s">
        <v>307</v>
      </c>
      <c r="C17" s="127" t="n">
        <f aca="false">-MIN(0,_xlfn.MINIFS(Journal!$BO$6:$BO$505,Journal!$BJ$6:$BJ$505,Settings!$C$21))</f>
        <v>-0</v>
      </c>
      <c r="D17" s="121" t="s">
        <v>308</v>
      </c>
    </row>
    <row r="18" customFormat="false" ht="15" hidden="false" customHeight="false" outlineLevel="0" collapsed="false">
      <c r="B18" s="13" t="s">
        <v>309</v>
      </c>
      <c r="C18" s="124" t="n">
        <f aca="false">Settings!$C$24</f>
        <v>0.1</v>
      </c>
      <c r="D18" s="121" t="s">
        <v>300</v>
      </c>
    </row>
    <row r="19" customFormat="false" ht="15" hidden="false" customHeight="false" outlineLevel="0" collapsed="false">
      <c r="B19" s="13" t="s">
        <v>310</v>
      </c>
      <c r="C19" s="125" t="n">
        <f aca="false">MAX(0,MIN(1,IFERROR(C17/C18,0)))</f>
        <v>-0</v>
      </c>
      <c r="D19" s="126" t="str">
        <f aca="false">REPT("█",ROUND(C19*25,0))&amp;REPT("░",25-ROUND(C19*25,0))</f>
        <v>░░░░░░░░░░░░░░░░░░░░░░░░░</v>
      </c>
    </row>
    <row r="20" customFormat="false" ht="15" hidden="false" customHeight="false" outlineLevel="0" collapsed="false">
      <c r="B20" s="13" t="s">
        <v>311</v>
      </c>
      <c r="C20" s="128" t="n">
        <f aca="false">SUMPRODUCT((Journal!$BJ$6:$BJ$505=Settings!$C$21)*(Journal!$AL$6:$AL$505&lt;&gt;""))</f>
        <v>0</v>
      </c>
    </row>
    <row r="21" customFormat="false" ht="15" hidden="false" customHeight="false" outlineLevel="0" collapsed="false">
      <c r="B21" s="13" t="s">
        <v>312</v>
      </c>
      <c r="C21" s="128" t="n">
        <f aca="true">MAX(0,Settings!$C$25-TODAY())</f>
        <v>92</v>
      </c>
      <c r="D21" s="121" t="s">
        <v>313</v>
      </c>
    </row>
    <row r="22" customFormat="false" ht="25.5" hidden="false" customHeight="true" outlineLevel="0" collapsed="false">
      <c r="B22" s="13" t="s">
        <v>314</v>
      </c>
      <c r="C22" s="129" t="str">
        <f aca="false">IF(C17&gt;=C18,"BREACHED - max drawdown",IF(C14&gt;=C15,"BREACHED - daily loss",IF(C12&gt;=1,"TARGET HIT",IF(OR(C16&gt;=0.8,C19&gt;=0.8),"CAUTION - near a limit","ON TRACK"))))</f>
        <v>ON TRACK</v>
      </c>
      <c r="D22" s="129"/>
    </row>
    <row r="25" customFormat="false" ht="21.75" hidden="false" customHeight="true" outlineLevel="0" collapsed="false">
      <c r="B25" s="118" t="s">
        <v>315</v>
      </c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B26" s="59" t="s">
        <v>272</v>
      </c>
      <c r="C26" s="59" t="s">
        <v>316</v>
      </c>
      <c r="D26" s="59" t="s">
        <v>317</v>
      </c>
      <c r="E26" s="59" t="s">
        <v>318</v>
      </c>
      <c r="F26" s="59" t="s">
        <v>319</v>
      </c>
      <c r="G26" s="59" t="s">
        <v>320</v>
      </c>
      <c r="H26" s="59" t="s">
        <v>321</v>
      </c>
    </row>
    <row r="27" customFormat="false" ht="15" hidden="false" customHeight="false" outlineLevel="0" collapsed="false">
      <c r="B27" s="106" t="n">
        <f aca="false">Analytics!B193</f>
        <v>46266</v>
      </c>
      <c r="C27" s="130" t="n">
        <v>300</v>
      </c>
      <c r="D27" s="114" t="n">
        <f aca="false">Analytics!J193</f>
        <v>229.5</v>
      </c>
      <c r="E27" s="131" t="str">
        <f aca="false">REPT("█",ROUND(MAX(0,MIN(1,IFERROR(D27/C27,0)))*15,0))&amp;REPT("░",15-ROUND(MAX(0,MIN(1,IFERROR(D27/C27,0)))*15,0))&amp;" "&amp;TEXT(IFERROR(D27/C27,0),"0%")</f>
        <v>███████████░░░░ 77%</v>
      </c>
      <c r="F27" s="132" t="n">
        <v>0.5</v>
      </c>
      <c r="G27" s="112" t="n">
        <f aca="false">IF(Analytics!C193=0,0,Analytics!G193)</f>
        <v>1</v>
      </c>
      <c r="H27" s="133" t="str">
        <f aca="true">IF(Analytics!C193=0,IF(B27&gt;TODAY(),"Upcoming","No trades"),IF(D27&gt;=C27,"Goal met",IF(D27&gt;=0,"In progress","Behind")))</f>
        <v>In progress</v>
      </c>
    </row>
    <row r="28" customFormat="false" ht="15" hidden="false" customHeight="false" outlineLevel="0" collapsed="false">
      <c r="B28" s="106" t="n">
        <f aca="false">Analytics!B194</f>
        <v>46296</v>
      </c>
      <c r="C28" s="130" t="n">
        <v>300</v>
      </c>
      <c r="D28" s="114" t="n">
        <f aca="false">Analytics!J194</f>
        <v>0</v>
      </c>
      <c r="E28" s="131" t="str">
        <f aca="false">REPT("█",ROUND(MAX(0,MIN(1,IFERROR(D28/C28,0)))*15,0))&amp;REPT("░",15-ROUND(MAX(0,MIN(1,IFERROR(D28/C28,0)))*15,0))&amp;" "&amp;TEXT(IFERROR(D28/C28,0),"0%")</f>
        <v>░░░░░░░░░░░░░░░ 0%</v>
      </c>
      <c r="F28" s="132" t="n">
        <v>0.5</v>
      </c>
      <c r="G28" s="112" t="n">
        <f aca="false">IF(Analytics!C194=0,0,Analytics!G194)</f>
        <v>0</v>
      </c>
      <c r="H28" s="133" t="str">
        <f aca="true">IF(Analytics!C194=0,IF(B28&gt;TODAY(),"Upcoming","No trades"),IF(D28&gt;=C28,"Goal met",IF(D28&gt;=0,"In progress","Behind")))</f>
        <v>Upcoming</v>
      </c>
    </row>
    <row r="29" customFormat="false" ht="15" hidden="false" customHeight="false" outlineLevel="0" collapsed="false">
      <c r="B29" s="106" t="n">
        <f aca="false">Analytics!B195</f>
        <v>46327</v>
      </c>
      <c r="C29" s="130" t="n">
        <v>300</v>
      </c>
      <c r="D29" s="114" t="n">
        <f aca="false">Analytics!J195</f>
        <v>0</v>
      </c>
      <c r="E29" s="131" t="str">
        <f aca="false">REPT("█",ROUND(MAX(0,MIN(1,IFERROR(D29/C29,0)))*15,0))&amp;REPT("░",15-ROUND(MAX(0,MIN(1,IFERROR(D29/C29,0)))*15,0))&amp;" "&amp;TEXT(IFERROR(D29/C29,0),"0%")</f>
        <v>░░░░░░░░░░░░░░░ 0%</v>
      </c>
      <c r="F29" s="132" t="n">
        <v>0.5</v>
      </c>
      <c r="G29" s="112" t="n">
        <f aca="false">IF(Analytics!C195=0,0,Analytics!G195)</f>
        <v>0</v>
      </c>
      <c r="H29" s="133" t="str">
        <f aca="true">IF(Analytics!C195=0,IF(B29&gt;TODAY(),"Upcoming","No trades"),IF(D29&gt;=C29,"Goal met",IF(D29&gt;=0,"In progress","Behind")))</f>
        <v>Upcoming</v>
      </c>
    </row>
    <row r="30" customFormat="false" ht="15" hidden="false" customHeight="false" outlineLevel="0" collapsed="false">
      <c r="B30" s="106" t="n">
        <f aca="false">Analytics!B196</f>
        <v>46357</v>
      </c>
      <c r="C30" s="130" t="n">
        <v>300</v>
      </c>
      <c r="D30" s="114" t="n">
        <f aca="false">Analytics!J196</f>
        <v>0</v>
      </c>
      <c r="E30" s="131" t="str">
        <f aca="false">REPT("█",ROUND(MAX(0,MIN(1,IFERROR(D30/C30,0)))*15,0))&amp;REPT("░",15-ROUND(MAX(0,MIN(1,IFERROR(D30/C30,0)))*15,0))&amp;" "&amp;TEXT(IFERROR(D30/C30,0),"0%")</f>
        <v>░░░░░░░░░░░░░░░ 0%</v>
      </c>
      <c r="F30" s="132" t="n">
        <v>0.5</v>
      </c>
      <c r="G30" s="112" t="n">
        <f aca="false">IF(Analytics!C196=0,0,Analytics!G196)</f>
        <v>0</v>
      </c>
      <c r="H30" s="133" t="str">
        <f aca="true">IF(Analytics!C196=0,IF(B30&gt;TODAY(),"Upcoming","No trades"),IF(D30&gt;=C30,"Goal met",IF(D30&gt;=0,"In progress","Behind")))</f>
        <v>Upcoming</v>
      </c>
    </row>
    <row r="31" customFormat="false" ht="15" hidden="false" customHeight="false" outlineLevel="0" collapsed="false">
      <c r="B31" s="106" t="n">
        <f aca="false">Analytics!B197</f>
        <v>46388</v>
      </c>
      <c r="C31" s="130" t="n">
        <v>300</v>
      </c>
      <c r="D31" s="114" t="n">
        <f aca="false">Analytics!J197</f>
        <v>0</v>
      </c>
      <c r="E31" s="131" t="str">
        <f aca="false">REPT("█",ROUND(MAX(0,MIN(1,IFERROR(D31/C31,0)))*15,0))&amp;REPT("░",15-ROUND(MAX(0,MIN(1,IFERROR(D31/C31,0)))*15,0))&amp;" "&amp;TEXT(IFERROR(D31/C31,0),"0%")</f>
        <v>░░░░░░░░░░░░░░░ 0%</v>
      </c>
      <c r="F31" s="132" t="n">
        <v>0.5</v>
      </c>
      <c r="G31" s="112" t="n">
        <f aca="false">IF(Analytics!C197=0,0,Analytics!G197)</f>
        <v>0</v>
      </c>
      <c r="H31" s="133" t="str">
        <f aca="true">IF(Analytics!C197=0,IF(B31&gt;TODAY(),"Upcoming","No trades"),IF(D31&gt;=C31,"Goal met",IF(D31&gt;=0,"In progress","Behind")))</f>
        <v>Upcoming</v>
      </c>
    </row>
    <row r="32" customFormat="false" ht="15" hidden="false" customHeight="false" outlineLevel="0" collapsed="false">
      <c r="B32" s="106" t="n">
        <f aca="false">Analytics!B198</f>
        <v>46419</v>
      </c>
      <c r="C32" s="130" t="n">
        <v>300</v>
      </c>
      <c r="D32" s="114" t="n">
        <f aca="false">Analytics!J198</f>
        <v>0</v>
      </c>
      <c r="E32" s="131" t="str">
        <f aca="false">REPT("█",ROUND(MAX(0,MIN(1,IFERROR(D32/C32,0)))*15,0))&amp;REPT("░",15-ROUND(MAX(0,MIN(1,IFERROR(D32/C32,0)))*15,0))&amp;" "&amp;TEXT(IFERROR(D32/C32,0),"0%")</f>
        <v>░░░░░░░░░░░░░░░ 0%</v>
      </c>
      <c r="F32" s="132" t="n">
        <v>0.5</v>
      </c>
      <c r="G32" s="112" t="n">
        <f aca="false">IF(Analytics!C198=0,0,Analytics!G198)</f>
        <v>0</v>
      </c>
      <c r="H32" s="133" t="str">
        <f aca="true">IF(Analytics!C198=0,IF(B32&gt;TODAY(),"Upcoming","No trades"),IF(D32&gt;=C32,"Goal met",IF(D32&gt;=0,"In progress","Behind")))</f>
        <v>Upcoming</v>
      </c>
    </row>
    <row r="33" customFormat="false" ht="15" hidden="false" customHeight="false" outlineLevel="0" collapsed="false">
      <c r="B33" s="106" t="n">
        <f aca="false">Analytics!B199</f>
        <v>46447</v>
      </c>
      <c r="C33" s="130" t="n">
        <v>300</v>
      </c>
      <c r="D33" s="114" t="n">
        <f aca="false">Analytics!J199</f>
        <v>0</v>
      </c>
      <c r="E33" s="131" t="str">
        <f aca="false">REPT("█",ROUND(MAX(0,MIN(1,IFERROR(D33/C33,0)))*15,0))&amp;REPT("░",15-ROUND(MAX(0,MIN(1,IFERROR(D33/C33,0)))*15,0))&amp;" "&amp;TEXT(IFERROR(D33/C33,0),"0%")</f>
        <v>░░░░░░░░░░░░░░░ 0%</v>
      </c>
      <c r="F33" s="132" t="n">
        <v>0.5</v>
      </c>
      <c r="G33" s="112" t="n">
        <f aca="false">IF(Analytics!C199=0,0,Analytics!G199)</f>
        <v>0</v>
      </c>
      <c r="H33" s="133" t="str">
        <f aca="true">IF(Analytics!C199=0,IF(B33&gt;TODAY(),"Upcoming","No trades"),IF(D33&gt;=C33,"Goal met",IF(D33&gt;=0,"In progress","Behind")))</f>
        <v>Upcoming</v>
      </c>
    </row>
    <row r="34" customFormat="false" ht="15" hidden="false" customHeight="false" outlineLevel="0" collapsed="false">
      <c r="B34" s="106" t="n">
        <f aca="false">Analytics!B200</f>
        <v>46478</v>
      </c>
      <c r="C34" s="130" t="n">
        <v>300</v>
      </c>
      <c r="D34" s="114" t="n">
        <f aca="false">Analytics!J200</f>
        <v>0</v>
      </c>
      <c r="E34" s="131" t="str">
        <f aca="false">REPT("█",ROUND(MAX(0,MIN(1,IFERROR(D34/C34,0)))*15,0))&amp;REPT("░",15-ROUND(MAX(0,MIN(1,IFERROR(D34/C34,0)))*15,0))&amp;" "&amp;TEXT(IFERROR(D34/C34,0),"0%")</f>
        <v>░░░░░░░░░░░░░░░ 0%</v>
      </c>
      <c r="F34" s="132" t="n">
        <v>0.5</v>
      </c>
      <c r="G34" s="112" t="n">
        <f aca="false">IF(Analytics!C200=0,0,Analytics!G200)</f>
        <v>0</v>
      </c>
      <c r="H34" s="133" t="str">
        <f aca="true">IF(Analytics!C200=0,IF(B34&gt;TODAY(),"Upcoming","No trades"),IF(D34&gt;=C34,"Goal met",IF(D34&gt;=0,"In progress","Behind")))</f>
        <v>Upcoming</v>
      </c>
    </row>
    <row r="35" customFormat="false" ht="15" hidden="false" customHeight="false" outlineLevel="0" collapsed="false">
      <c r="B35" s="106" t="n">
        <f aca="false">Analytics!B201</f>
        <v>46508</v>
      </c>
      <c r="C35" s="130" t="n">
        <v>300</v>
      </c>
      <c r="D35" s="114" t="n">
        <f aca="false">Analytics!J201</f>
        <v>0</v>
      </c>
      <c r="E35" s="131" t="str">
        <f aca="false">REPT("█",ROUND(MAX(0,MIN(1,IFERROR(D35/C35,0)))*15,0))&amp;REPT("░",15-ROUND(MAX(0,MIN(1,IFERROR(D35/C35,0)))*15,0))&amp;" "&amp;TEXT(IFERROR(D35/C35,0),"0%")</f>
        <v>░░░░░░░░░░░░░░░ 0%</v>
      </c>
      <c r="F35" s="132" t="n">
        <v>0.5</v>
      </c>
      <c r="G35" s="112" t="n">
        <f aca="false">IF(Analytics!C201=0,0,Analytics!G201)</f>
        <v>0</v>
      </c>
      <c r="H35" s="133" t="str">
        <f aca="true">IF(Analytics!C201=0,IF(B35&gt;TODAY(),"Upcoming","No trades"),IF(D35&gt;=C35,"Goal met",IF(D35&gt;=0,"In progress","Behind")))</f>
        <v>Upcoming</v>
      </c>
    </row>
    <row r="36" customFormat="false" ht="15" hidden="false" customHeight="false" outlineLevel="0" collapsed="false">
      <c r="B36" s="106" t="n">
        <f aca="false">Analytics!B202</f>
        <v>46539</v>
      </c>
      <c r="C36" s="130" t="n">
        <v>300</v>
      </c>
      <c r="D36" s="114" t="n">
        <f aca="false">Analytics!J202</f>
        <v>0</v>
      </c>
      <c r="E36" s="131" t="str">
        <f aca="false">REPT("█",ROUND(MAX(0,MIN(1,IFERROR(D36/C36,0)))*15,0))&amp;REPT("░",15-ROUND(MAX(0,MIN(1,IFERROR(D36/C36,0)))*15,0))&amp;" "&amp;TEXT(IFERROR(D36/C36,0),"0%")</f>
        <v>░░░░░░░░░░░░░░░ 0%</v>
      </c>
      <c r="F36" s="132" t="n">
        <v>0.5</v>
      </c>
      <c r="G36" s="112" t="n">
        <f aca="false">IF(Analytics!C202=0,0,Analytics!G202)</f>
        <v>0</v>
      </c>
      <c r="H36" s="133" t="str">
        <f aca="true">IF(Analytics!C202=0,IF(B36&gt;TODAY(),"Upcoming","No trades"),IF(D36&gt;=C36,"Goal met",IF(D36&gt;=0,"In progress","Behind")))</f>
        <v>Upcoming</v>
      </c>
    </row>
    <row r="37" customFormat="false" ht="15" hidden="false" customHeight="false" outlineLevel="0" collapsed="false">
      <c r="B37" s="106" t="n">
        <f aca="false">Analytics!B203</f>
        <v>46569</v>
      </c>
      <c r="C37" s="130" t="n">
        <v>300</v>
      </c>
      <c r="D37" s="114" t="n">
        <f aca="false">Analytics!J203</f>
        <v>0</v>
      </c>
      <c r="E37" s="131" t="str">
        <f aca="false">REPT("█",ROUND(MAX(0,MIN(1,IFERROR(D37/C37,0)))*15,0))&amp;REPT("░",15-ROUND(MAX(0,MIN(1,IFERROR(D37/C37,0)))*15,0))&amp;" "&amp;TEXT(IFERROR(D37/C37,0),"0%")</f>
        <v>░░░░░░░░░░░░░░░ 0%</v>
      </c>
      <c r="F37" s="132" t="n">
        <v>0.5</v>
      </c>
      <c r="G37" s="112" t="n">
        <f aca="false">IF(Analytics!C203=0,0,Analytics!G203)</f>
        <v>0</v>
      </c>
      <c r="H37" s="133" t="str">
        <f aca="true">IF(Analytics!C203=0,IF(B37&gt;TODAY(),"Upcoming","No trades"),IF(D37&gt;=C37,"Goal met",IF(D37&gt;=0,"In progress","Behind")))</f>
        <v>Upcoming</v>
      </c>
    </row>
    <row r="38" customFormat="false" ht="15" hidden="false" customHeight="false" outlineLevel="0" collapsed="false">
      <c r="B38" s="106" t="n">
        <f aca="false">Analytics!B204</f>
        <v>46600</v>
      </c>
      <c r="C38" s="130" t="n">
        <v>300</v>
      </c>
      <c r="D38" s="114" t="n">
        <f aca="false">Analytics!J204</f>
        <v>0</v>
      </c>
      <c r="E38" s="131" t="str">
        <f aca="false">REPT("█",ROUND(MAX(0,MIN(1,IFERROR(D38/C38,0)))*15,0))&amp;REPT("░",15-ROUND(MAX(0,MIN(1,IFERROR(D38/C38,0)))*15,0))&amp;" "&amp;TEXT(IFERROR(D38/C38,0),"0%")</f>
        <v>░░░░░░░░░░░░░░░ 0%</v>
      </c>
      <c r="F38" s="132" t="n">
        <v>0.5</v>
      </c>
      <c r="G38" s="112" t="n">
        <f aca="false">IF(Analytics!C204=0,0,Analytics!G204)</f>
        <v>0</v>
      </c>
      <c r="H38" s="133" t="str">
        <f aca="true">IF(Analytics!C204=0,IF(B38&gt;TODAY(),"Upcoming","No trades"),IF(D38&gt;=C38,"Goal met",IF(D38&gt;=0,"In progress","Behind")))</f>
        <v>Upcoming</v>
      </c>
    </row>
    <row r="40" customFormat="false" ht="15" hidden="false" customHeight="false" outlineLevel="0" collapsed="false">
      <c r="B40" s="121" t="s">
        <v>322</v>
      </c>
    </row>
  </sheetData>
  <mergeCells count="1">
    <mergeCell ref="C22:D22"/>
  </mergeCells>
  <conditionalFormatting sqref="D12">
    <cfRule type="expression" priority="2" aboveAverage="0" equalAverage="0" bottom="0" percent="0" rank="0" text="" dxfId="30">
      <formula>$C$12&gt;=1</formula>
    </cfRule>
  </conditionalFormatting>
  <conditionalFormatting sqref="D16">
    <cfRule type="expression" priority="3" aboveAverage="0" equalAverage="0" bottom="0" percent="0" rank="0" text="" dxfId="0">
      <formula>$C$16&gt;=0.85</formula>
    </cfRule>
    <cfRule type="expression" priority="4" aboveAverage="0" equalAverage="0" bottom="0" percent="0" rank="0" text="" dxfId="1">
      <formula>$C$16&gt;=0.6</formula>
    </cfRule>
  </conditionalFormatting>
  <conditionalFormatting sqref="D19">
    <cfRule type="expression" priority="5" aboveAverage="0" equalAverage="0" bottom="0" percent="0" rank="0" text="" dxfId="0">
      <formula>$C$19&gt;=0.85</formula>
    </cfRule>
    <cfRule type="expression" priority="6" aboveAverage="0" equalAverage="0" bottom="0" percent="0" rank="0" text="" dxfId="1">
      <formula>$C$19&gt;=0.6</formula>
    </cfRule>
  </conditionalFormatting>
  <conditionalFormatting sqref="C22:D22">
    <cfRule type="expression" priority="7" aboveAverage="0" equalAverage="0" bottom="0" percent="0" rank="0" text="" dxfId="22">
      <formula>LEFT($C$22,8)="BREACHED"</formula>
    </cfRule>
    <cfRule type="expression" priority="8" aboveAverage="0" equalAverage="0" bottom="0" percent="0" rank="0" text="" dxfId="24">
      <formula>$C$22="TARGET HIT"</formula>
    </cfRule>
    <cfRule type="expression" priority="9" aboveAverage="0" equalAverage="0" bottom="0" percent="0" rank="0" text="" dxfId="23">
      <formula>LEFT($C$22,7)="CAUTION"</formula>
    </cfRule>
    <cfRule type="expression" priority="10" aboveAverage="0" equalAverage="0" bottom="0" percent="0" rank="0" text="" dxfId="25">
      <formula>$C$22="ON TRACK"</formula>
    </cfRule>
  </conditionalFormatting>
  <conditionalFormatting sqref="H27:H38">
    <cfRule type="cellIs" priority="11" operator="equal" aboveAverage="0" equalAverage="0" bottom="0" percent="0" rank="0" text="" dxfId="24">
      <formula>"Goal met"</formula>
    </cfRule>
    <cfRule type="cellIs" priority="12" operator="equal" aboveAverage="0" equalAverage="0" bottom="0" percent="0" rank="0" text="" dxfId="22">
      <formula>"Behind"</formula>
    </cfRule>
    <cfRule type="cellIs" priority="13" operator="equal" aboveAverage="0" equalAverage="0" bottom="0" percent="0" rank="0" text="" dxfId="23">
      <formula>"In progress"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44"/>
      <c r="B1" s="134" t="s">
        <v>323</v>
      </c>
      <c r="C1" s="44"/>
      <c r="D1" s="44"/>
      <c r="E1" s="44"/>
      <c r="F1" s="44"/>
      <c r="G1" s="44"/>
      <c r="H1" s="44"/>
      <c r="I1" s="44"/>
      <c r="J1" s="44"/>
      <c r="K1" s="44"/>
    </row>
    <row r="2" customFormat="false" ht="18" hidden="false" customHeight="true" outlineLevel="0" collapsed="false">
      <c r="A2" s="44"/>
      <c r="B2" s="135" t="s">
        <v>324</v>
      </c>
      <c r="C2" s="44"/>
      <c r="D2" s="44"/>
      <c r="E2" s="44"/>
      <c r="F2" s="44"/>
      <c r="G2" s="44"/>
      <c r="H2" s="44"/>
      <c r="I2" s="44"/>
      <c r="J2" s="44"/>
      <c r="K2" s="44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5" customFormat="false" ht="30" hidden="false" customHeight="true" outlineLevel="0" collapsed="false">
      <c r="B5" s="136" t="s">
        <v>138</v>
      </c>
      <c r="C5" s="136" t="s">
        <v>325</v>
      </c>
      <c r="D5" s="136" t="s">
        <v>326</v>
      </c>
      <c r="E5" s="136" t="s">
        <v>327</v>
      </c>
      <c r="F5" s="136" t="s">
        <v>218</v>
      </c>
      <c r="G5" s="136" t="s">
        <v>230</v>
      </c>
      <c r="H5" s="136" t="s">
        <v>232</v>
      </c>
      <c r="I5" s="136" t="s">
        <v>165</v>
      </c>
      <c r="J5" s="136" t="s">
        <v>328</v>
      </c>
    </row>
    <row r="6" customFormat="false" ht="45.75" hidden="false" customHeight="true" outlineLevel="0" collapsed="false">
      <c r="B6" s="13" t="str">
        <f aca="false">Analytics!B33</f>
        <v>Liquidity Sweep Reversal</v>
      </c>
      <c r="C6" s="137" t="s">
        <v>329</v>
      </c>
      <c r="D6" s="137" t="s">
        <v>330</v>
      </c>
      <c r="E6" s="137" t="s">
        <v>331</v>
      </c>
      <c r="F6" s="111" t="n">
        <f aca="false">Analytics!C33</f>
        <v>1</v>
      </c>
      <c r="G6" s="112" t="n">
        <f aca="false">IF(N(Analytics!C33)=0,"",Analytics!G33)</f>
        <v>1</v>
      </c>
      <c r="H6" s="113" t="n">
        <f aca="false">IF(N(Analytics!C33)=0,"",Analytics!I33)</f>
        <v>2.33</v>
      </c>
      <c r="I6" s="114" t="n">
        <f aca="false">IF(N(Analytics!C33)=0,"",Analytics!J33)</f>
        <v>229.5</v>
      </c>
      <c r="J6" s="133" t="str">
        <f aca="false">IF(B6="","",IF(N(F6)&lt;10,"Need 10+ trades",IF(H6&gt;=0.3,"Keep - proven edge",IF(H6&gt;0,"Refine","Review / pause"))))</f>
        <v>Need 10+ trades</v>
      </c>
    </row>
    <row r="7" customFormat="false" ht="45.75" hidden="false" customHeight="true" outlineLevel="0" collapsed="false">
      <c r="B7" s="13" t="str">
        <f aca="false">Analytics!B34</f>
        <v>Order Block Retest</v>
      </c>
      <c r="C7" s="137" t="s">
        <v>332</v>
      </c>
      <c r="D7" s="137" t="s">
        <v>333</v>
      </c>
      <c r="E7" s="137" t="s">
        <v>334</v>
      </c>
      <c r="F7" s="111" t="n">
        <f aca="false">Analytics!C34</f>
        <v>0</v>
      </c>
      <c r="G7" s="112" t="str">
        <f aca="false">IF(N(Analytics!C34)=0,"",Analytics!G34)</f>
        <v/>
      </c>
      <c r="H7" s="113" t="str">
        <f aca="false">IF(N(Analytics!C34)=0,"",Analytics!I34)</f>
        <v/>
      </c>
      <c r="I7" s="114" t="str">
        <f aca="false">IF(N(Analytics!C34)=0,"",Analytics!J34)</f>
        <v/>
      </c>
      <c r="J7" s="133" t="str">
        <f aca="false">IF(B7="","",IF(N(F7)&lt;10,"Need 10+ trades",IF(H7&gt;=0.3,"Keep - proven edge",IF(H7&gt;0,"Refine","Review / pause"))))</f>
        <v>Need 10+ trades</v>
      </c>
    </row>
    <row r="8" customFormat="false" ht="45.75" hidden="false" customHeight="true" outlineLevel="0" collapsed="false">
      <c r="B8" s="13" t="str">
        <f aca="false">Analytics!B35</f>
        <v>Break &amp; Retest</v>
      </c>
      <c r="C8" s="137" t="s">
        <v>335</v>
      </c>
      <c r="D8" s="137" t="s">
        <v>336</v>
      </c>
      <c r="E8" s="137" t="s">
        <v>337</v>
      </c>
      <c r="F8" s="111" t="n">
        <f aca="false">Analytics!C35</f>
        <v>0</v>
      </c>
      <c r="G8" s="112" t="str">
        <f aca="false">IF(N(Analytics!C35)=0,"",Analytics!G35)</f>
        <v/>
      </c>
      <c r="H8" s="113" t="str">
        <f aca="false">IF(N(Analytics!C35)=0,"",Analytics!I35)</f>
        <v/>
      </c>
      <c r="I8" s="114" t="str">
        <f aca="false">IF(N(Analytics!C35)=0,"",Analytics!J35)</f>
        <v/>
      </c>
      <c r="J8" s="133" t="str">
        <f aca="false">IF(B8="","",IF(N(F8)&lt;10,"Need 10+ trades",IF(H8&gt;=0.3,"Keep - proven edge",IF(H8&gt;0,"Refine","Review / pause"))))</f>
        <v>Need 10+ trades</v>
      </c>
    </row>
    <row r="9" customFormat="false" ht="45.75" hidden="false" customHeight="true" outlineLevel="0" collapsed="false">
      <c r="B9" s="13" t="str">
        <f aca="false">Analytics!B36</f>
        <v>FVG Entry</v>
      </c>
      <c r="C9" s="137" t="s">
        <v>338</v>
      </c>
      <c r="D9" s="137" t="s">
        <v>339</v>
      </c>
      <c r="E9" s="137" t="s">
        <v>340</v>
      </c>
      <c r="F9" s="111" t="n">
        <f aca="false">Analytics!C36</f>
        <v>0</v>
      </c>
      <c r="G9" s="112" t="str">
        <f aca="false">IF(N(Analytics!C36)=0,"",Analytics!G36)</f>
        <v/>
      </c>
      <c r="H9" s="113" t="str">
        <f aca="false">IF(N(Analytics!C36)=0,"",Analytics!I36)</f>
        <v/>
      </c>
      <c r="I9" s="114" t="str">
        <f aca="false">IF(N(Analytics!C36)=0,"",Analytics!J36)</f>
        <v/>
      </c>
      <c r="J9" s="133" t="str">
        <f aca="false">IF(B9="","",IF(N(F9)&lt;10,"Need 10+ trades",IF(H9&gt;=0.3,"Keep - proven edge",IF(H9&gt;0,"Refine","Review / pause"))))</f>
        <v>Need 10+ trades</v>
      </c>
    </row>
    <row r="10" customFormat="false" ht="45.75" hidden="false" customHeight="true" outlineLevel="0" collapsed="false">
      <c r="B10" s="13" t="str">
        <f aca="false">Analytics!B37</f>
        <v>Breaker Block</v>
      </c>
      <c r="C10" s="137" t="s">
        <v>341</v>
      </c>
      <c r="D10" s="137" t="s">
        <v>342</v>
      </c>
      <c r="E10" s="137" t="s">
        <v>343</v>
      </c>
      <c r="F10" s="111" t="n">
        <f aca="false">Analytics!C37</f>
        <v>0</v>
      </c>
      <c r="G10" s="112" t="str">
        <f aca="false">IF(N(Analytics!C37)=0,"",Analytics!G37)</f>
        <v/>
      </c>
      <c r="H10" s="113" t="str">
        <f aca="false">IF(N(Analytics!C37)=0,"",Analytics!I37)</f>
        <v/>
      </c>
      <c r="I10" s="114" t="str">
        <f aca="false">IF(N(Analytics!C37)=0,"",Analytics!J37)</f>
        <v/>
      </c>
      <c r="J10" s="133" t="str">
        <f aca="false">IF(B10="","",IF(N(F10)&lt;10,"Need 10+ trades",IF(H10&gt;=0.3,"Keep - proven edge",IF(H10&gt;0,"Refine","Review / pause"))))</f>
        <v>Need 10+ trades</v>
      </c>
    </row>
    <row r="11" customFormat="false" ht="45.75" hidden="false" customHeight="true" outlineLevel="0" collapsed="false">
      <c r="B11" s="13" t="str">
        <f aca="false">Analytics!B38</f>
        <v>Supply/Demand Zone Reaction</v>
      </c>
      <c r="C11" s="137" t="s">
        <v>344</v>
      </c>
      <c r="D11" s="137" t="s">
        <v>345</v>
      </c>
      <c r="E11" s="137" t="s">
        <v>346</v>
      </c>
      <c r="F11" s="111" t="n">
        <f aca="false">Analytics!C38</f>
        <v>0</v>
      </c>
      <c r="G11" s="112" t="str">
        <f aca="false">IF(N(Analytics!C38)=0,"",Analytics!G38)</f>
        <v/>
      </c>
      <c r="H11" s="113" t="str">
        <f aca="false">IF(N(Analytics!C38)=0,"",Analytics!I38)</f>
        <v/>
      </c>
      <c r="I11" s="114" t="str">
        <f aca="false">IF(N(Analytics!C38)=0,"",Analytics!J38)</f>
        <v/>
      </c>
      <c r="J11" s="133" t="str">
        <f aca="false">IF(B11="","",IF(N(F11)&lt;10,"Need 10+ trades",IF(H11&gt;=0.3,"Keep - proven edge",IF(H11&gt;0,"Refine","Review / pause"))))</f>
        <v>Need 10+ trades</v>
      </c>
    </row>
    <row r="12" customFormat="false" ht="45.75" hidden="false" customHeight="true" outlineLevel="0" collapsed="false">
      <c r="B12" s="13" t="str">
        <f aca="false">Analytics!B39</f>
        <v>Trend Pullback</v>
      </c>
      <c r="C12" s="137" t="s">
        <v>347</v>
      </c>
      <c r="D12" s="137" t="s">
        <v>348</v>
      </c>
      <c r="E12" s="137" t="s">
        <v>349</v>
      </c>
      <c r="F12" s="111" t="n">
        <f aca="false">Analytics!C39</f>
        <v>0</v>
      </c>
      <c r="G12" s="112" t="str">
        <f aca="false">IF(N(Analytics!C39)=0,"",Analytics!G39)</f>
        <v/>
      </c>
      <c r="H12" s="113" t="str">
        <f aca="false">IF(N(Analytics!C39)=0,"",Analytics!I39)</f>
        <v/>
      </c>
      <c r="I12" s="114" t="str">
        <f aca="false">IF(N(Analytics!C39)=0,"",Analytics!J39)</f>
        <v/>
      </c>
      <c r="J12" s="133" t="str">
        <f aca="false">IF(B12="","",IF(N(F12)&lt;10,"Need 10+ trades",IF(H12&gt;=0.3,"Keep - proven edge",IF(H12&gt;0,"Refine","Review / pause"))))</f>
        <v>Need 10+ trades</v>
      </c>
    </row>
    <row r="13" customFormat="false" ht="45.75" hidden="false" customHeight="true" outlineLevel="0" collapsed="false">
      <c r="B13" s="13" t="str">
        <f aca="false">Analytics!B40</f>
        <v>Range Edge Fade</v>
      </c>
      <c r="C13" s="137" t="s">
        <v>350</v>
      </c>
      <c r="D13" s="137" t="s">
        <v>351</v>
      </c>
      <c r="E13" s="137" t="s">
        <v>352</v>
      </c>
      <c r="F13" s="111" t="n">
        <f aca="false">Analytics!C40</f>
        <v>0</v>
      </c>
      <c r="G13" s="112" t="str">
        <f aca="false">IF(N(Analytics!C40)=0,"",Analytics!G40)</f>
        <v/>
      </c>
      <c r="H13" s="113" t="str">
        <f aca="false">IF(N(Analytics!C40)=0,"",Analytics!I40)</f>
        <v/>
      </c>
      <c r="I13" s="114" t="str">
        <f aca="false">IF(N(Analytics!C40)=0,"",Analytics!J40)</f>
        <v/>
      </c>
      <c r="J13" s="133" t="str">
        <f aca="false">IF(B13="","",IF(N(F13)&lt;10,"Need 10+ trades",IF(H13&gt;=0.3,"Keep - proven edge",IF(H13&gt;0,"Refine","Review / pause"))))</f>
        <v>Need 10+ trades</v>
      </c>
    </row>
    <row r="14" customFormat="false" ht="45.75" hidden="false" customHeight="true" outlineLevel="0" collapsed="false">
      <c r="B14" s="13" t="str">
        <f aca="false">Analytics!B41</f>
        <v>Asia Range Sweep</v>
      </c>
      <c r="C14" s="137" t="s">
        <v>353</v>
      </c>
      <c r="D14" s="137" t="s">
        <v>354</v>
      </c>
      <c r="E14" s="137" t="s">
        <v>355</v>
      </c>
      <c r="F14" s="111" t="n">
        <f aca="false">Analytics!C41</f>
        <v>0</v>
      </c>
      <c r="G14" s="112" t="str">
        <f aca="false">IF(N(Analytics!C41)=0,"",Analytics!G41)</f>
        <v/>
      </c>
      <c r="H14" s="113" t="str">
        <f aca="false">IF(N(Analytics!C41)=0,"",Analytics!I41)</f>
        <v/>
      </c>
      <c r="I14" s="114" t="str">
        <f aca="false">IF(N(Analytics!C41)=0,"",Analytics!J41)</f>
        <v/>
      </c>
      <c r="J14" s="133" t="str">
        <f aca="false">IF(B14="","",IF(N(F14)&lt;10,"Need 10+ trades",IF(H14&gt;=0.3,"Keep - proven edge",IF(H14&gt;0,"Refine","Review / pause"))))</f>
        <v>Need 10+ trades</v>
      </c>
    </row>
    <row r="15" customFormat="false" ht="45.75" hidden="false" customHeight="true" outlineLevel="0" collapsed="false">
      <c r="B15" s="13" t="str">
        <f aca="false">Analytics!B42</f>
        <v>Other</v>
      </c>
      <c r="C15" s="137" t="s">
        <v>356</v>
      </c>
      <c r="D15" s="137"/>
      <c r="E15" s="137"/>
      <c r="F15" s="111" t="n">
        <f aca="false">Analytics!C42</f>
        <v>0</v>
      </c>
      <c r="G15" s="112" t="str">
        <f aca="false">IF(N(Analytics!C42)=0,"",Analytics!G42)</f>
        <v/>
      </c>
      <c r="H15" s="113" t="str">
        <f aca="false">IF(N(Analytics!C42)=0,"",Analytics!I42)</f>
        <v/>
      </c>
      <c r="I15" s="114" t="str">
        <f aca="false">IF(N(Analytics!C42)=0,"",Analytics!J42)</f>
        <v/>
      </c>
      <c r="J15" s="133" t="str">
        <f aca="false">IF(B15="","",IF(N(F15)&lt;10,"Need 10+ trades",IF(H15&gt;=0.3,"Keep - proven edge",IF(H15&gt;0,"Refine","Review / pause"))))</f>
        <v>Need 10+ trades</v>
      </c>
    </row>
    <row r="16" customFormat="false" ht="45.75" hidden="false" customHeight="true" outlineLevel="0" collapsed="false">
      <c r="B16" s="13" t="str">
        <f aca="false">Analytics!B43</f>
        <v/>
      </c>
      <c r="C16" s="137"/>
      <c r="D16" s="137"/>
      <c r="E16" s="137"/>
      <c r="F16" s="111" t="str">
        <f aca="false">Analytics!C43</f>
        <v/>
      </c>
      <c r="G16" s="112" t="str">
        <f aca="false">IF(N(Analytics!C43)=0,"",Analytics!G43)</f>
        <v/>
      </c>
      <c r="H16" s="113" t="str">
        <f aca="false">IF(N(Analytics!C43)=0,"",Analytics!I43)</f>
        <v/>
      </c>
      <c r="I16" s="114" t="str">
        <f aca="false">IF(N(Analytics!C43)=0,"",Analytics!J43)</f>
        <v/>
      </c>
      <c r="J16" s="133" t="str">
        <f aca="false">IF(B16="","",IF(N(F16)&lt;10,"Need 10+ trades",IF(H16&gt;=0.3,"Keep - proven edge",IF(H16&gt;0,"Refine","Review / pause"))))</f>
        <v/>
      </c>
    </row>
    <row r="17" customFormat="false" ht="45.75" hidden="false" customHeight="true" outlineLevel="0" collapsed="false">
      <c r="B17" s="13" t="str">
        <f aca="false">Analytics!B44</f>
        <v/>
      </c>
      <c r="C17" s="137"/>
      <c r="D17" s="137"/>
      <c r="E17" s="137"/>
      <c r="F17" s="111" t="str">
        <f aca="false">Analytics!C44</f>
        <v/>
      </c>
      <c r="G17" s="112" t="str">
        <f aca="false">IF(N(Analytics!C44)=0,"",Analytics!G44)</f>
        <v/>
      </c>
      <c r="H17" s="113" t="str">
        <f aca="false">IF(N(Analytics!C44)=0,"",Analytics!I44)</f>
        <v/>
      </c>
      <c r="I17" s="114" t="str">
        <f aca="false">IF(N(Analytics!C44)=0,"",Analytics!J44)</f>
        <v/>
      </c>
      <c r="J17" s="133" t="str">
        <f aca="false">IF(B17="","",IF(N(F17)&lt;10,"Need 10+ trades",IF(H17&gt;=0.3,"Keep - proven edge",IF(H17&gt;0,"Refine","Review / pause"))))</f>
        <v/>
      </c>
    </row>
    <row r="19" customFormat="false" ht="15" hidden="false" customHeight="false" outlineLevel="0" collapsed="false">
      <c r="B19" s="121" t="s">
        <v>357</v>
      </c>
    </row>
  </sheetData>
  <conditionalFormatting sqref="J6:J17">
    <cfRule type="cellIs" priority="2" operator="equal" aboveAverage="0" equalAverage="0" bottom="0" percent="0" rank="0" text="" dxfId="24">
      <formula>"Keep - proven edge"</formula>
    </cfRule>
    <cfRule type="cellIs" priority="3" operator="equal" aboveAverage="0" equalAverage="0" bottom="0" percent="0" rank="0" text="" dxfId="23">
      <formula>"Refine"</formula>
    </cfRule>
    <cfRule type="cellIs" priority="4" operator="equal" aboveAverage="0" equalAverage="0" bottom="0" percent="0" rank="0" text="" dxfId="22">
      <formula>"Review / pause"</formula>
    </cfRule>
    <cfRule type="cellIs" priority="5" operator="equal" aboveAverage="0" equalAverage="0" bottom="0" percent="0" rank="0" text="" dxfId="31">
      <formula>"Need 10+ trades"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FA6"/>
    <pageSetUpPr fitToPage="false"/>
  </sheetPr>
  <dimension ref="A1:T3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38"/>
    <col collapsed="false" customWidth="true" hidden="false" outlineLevel="0" max="15" min="15" style="0" width="26"/>
    <col collapsed="false" customWidth="true" hidden="false" outlineLevel="0" max="17" min="16" style="0" width="8"/>
    <col collapsed="false" customWidth="true" hidden="false" outlineLevel="0" max="19" min="18" style="0" width="10"/>
  </cols>
  <sheetData>
    <row r="1" customFormat="false" ht="33.75" hidden="false" customHeight="true" outlineLevel="0" collapsed="false">
      <c r="A1" s="1"/>
      <c r="B1" s="2" t="s">
        <v>358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1"/>
      <c r="B2" s="3" t="s">
        <v>359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customFormat="false" ht="19.5" hidden="false" customHeight="true" outlineLevel="0" collapsed="false">
      <c r="B5" s="5" t="s">
        <v>360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true" outlineLevel="0" collapsed="false">
      <c r="C6" s="138" t="s">
        <v>361</v>
      </c>
      <c r="D6" s="138"/>
      <c r="E6" s="138" t="s">
        <v>362</v>
      </c>
      <c r="F6" s="138"/>
      <c r="G6" s="138" t="s">
        <v>363</v>
      </c>
      <c r="H6" s="138"/>
      <c r="I6" s="138" t="s">
        <v>81</v>
      </c>
      <c r="J6" s="138"/>
      <c r="K6" s="138" t="s">
        <v>80</v>
      </c>
      <c r="L6" s="138"/>
    </row>
    <row r="7" customFormat="false" ht="30" hidden="false" customHeight="true" outlineLevel="0" collapsed="false">
      <c r="C7" s="139" t="n">
        <f aca="false">COUNT($J$14:$J$313)</f>
        <v>0</v>
      </c>
      <c r="D7" s="139"/>
      <c r="E7" s="140" t="n">
        <f aca="false">IFERROR(COUNTIF($K$14:$K$313,"Win")/$C$7,0)</f>
        <v>0</v>
      </c>
      <c r="F7" s="140"/>
      <c r="G7" s="141" t="n">
        <f aca="false">SUM($J$14:$J$313)</f>
        <v>0</v>
      </c>
      <c r="H7" s="141"/>
      <c r="I7" s="141" t="n">
        <f aca="false">IFERROR(SUM($J$14:$J$313)/$C$7,0)</f>
        <v>0</v>
      </c>
      <c r="J7" s="141"/>
      <c r="K7" s="142" t="str">
        <f aca="false">IFERROR(SUMIF($J$14:$J$313,"&gt;0")/ABS(SUMIF($J$14:$J$313,"&lt;0")),"-")</f>
        <v>-</v>
      </c>
      <c r="L7" s="142"/>
    </row>
    <row r="13" customFormat="false" ht="27.75" hidden="false" customHeight="true" outlineLevel="0" collapsed="false">
      <c r="B13" s="65" t="s">
        <v>364</v>
      </c>
      <c r="C13" s="65" t="s">
        <v>128</v>
      </c>
      <c r="D13" s="65" t="s">
        <v>135</v>
      </c>
      <c r="E13" s="65" t="s">
        <v>138</v>
      </c>
      <c r="F13" s="65" t="s">
        <v>136</v>
      </c>
      <c r="G13" s="65" t="s">
        <v>365</v>
      </c>
      <c r="H13" s="65" t="s">
        <v>366</v>
      </c>
      <c r="I13" s="65" t="s">
        <v>367</v>
      </c>
      <c r="J13" s="65" t="s">
        <v>163</v>
      </c>
      <c r="K13" s="65" t="s">
        <v>164</v>
      </c>
      <c r="L13" s="65" t="s">
        <v>167</v>
      </c>
      <c r="M13" s="65" t="s">
        <v>368</v>
      </c>
      <c r="O13" s="5" t="s">
        <v>369</v>
      </c>
      <c r="P13" s="6"/>
      <c r="Q13" s="6"/>
      <c r="R13" s="6"/>
      <c r="S13" s="6"/>
    </row>
    <row r="14" customFormat="false" ht="15" hidden="false" customHeight="false" outlineLevel="0" collapsed="false">
      <c r="B14" s="68" t="str">
        <f aca="false">IF(C14="","",ROW()-13)</f>
        <v/>
      </c>
      <c r="C14" s="143"/>
      <c r="D14" s="89"/>
      <c r="E14" s="90"/>
      <c r="F14" s="89"/>
      <c r="G14" s="144"/>
      <c r="H14" s="144"/>
      <c r="I14" s="144"/>
      <c r="J14" s="78" t="str">
        <f aca="false">IF(OR(G14="",H14="",I14=""),"",IFERROR(ROUND(IF(F14="Short",G14-I14,I14-G14)/ABS(G14-H14),2),""))</f>
        <v/>
      </c>
      <c r="K14" s="68" t="str">
        <f aca="false">IF(J14="","",IF(ABS(J14)&lt;=Settings!$C$6,"BE",IF(J14&gt;0,"Win","Loss")))</f>
        <v/>
      </c>
      <c r="L14" s="78" t="str">
        <f aca="false">IF(J14="","",ROUND(SUM(J$14:J14),2))</f>
        <v/>
      </c>
      <c r="M14" s="90"/>
      <c r="O14" s="59" t="s">
        <v>370</v>
      </c>
      <c r="P14" s="59" t="s">
        <v>218</v>
      </c>
      <c r="Q14" s="59" t="s">
        <v>230</v>
      </c>
      <c r="R14" s="59" t="s">
        <v>231</v>
      </c>
      <c r="S14" s="59" t="s">
        <v>232</v>
      </c>
    </row>
    <row r="15" customFormat="false" ht="15" hidden="false" customHeight="false" outlineLevel="0" collapsed="false">
      <c r="B15" s="68" t="str">
        <f aca="false">IF(C15="","",ROW()-13)</f>
        <v/>
      </c>
      <c r="C15" s="143"/>
      <c r="D15" s="89"/>
      <c r="E15" s="90"/>
      <c r="F15" s="89"/>
      <c r="G15" s="144"/>
      <c r="H15" s="144"/>
      <c r="I15" s="144"/>
      <c r="J15" s="78" t="str">
        <f aca="false">IF(OR(G15="",H15="",I15=""),"",IFERROR(ROUND(IF(F15="Short",G15-I15,I15-G15)/ABS(G15-H15),2),""))</f>
        <v/>
      </c>
      <c r="K15" s="68" t="str">
        <f aca="false">IF(J15="","",IF(ABS(J15)&lt;=Settings!$C$6,"BE",IF(J15&gt;0,"Win","Loss")))</f>
        <v/>
      </c>
      <c r="L15" s="78" t="str">
        <f aca="false">IF(J15="","",ROUND(SUM(J$14:J15),2))</f>
        <v/>
      </c>
      <c r="M15" s="90"/>
      <c r="O15" s="13" t="str">
        <f aca="false">IF(Lists!$G$6="","",Lists!$G$6)</f>
        <v>Liquidity Sweep Reversal</v>
      </c>
      <c r="P15" s="111" t="n">
        <f aca="false">IF($O15="","",COUNTIFS($E$14:$E$313,$O15,$K$14:$K$313,"?*"))</f>
        <v>0</v>
      </c>
      <c r="Q15" s="112" t="n">
        <f aca="false">IF($O15="","",IFERROR(COUNTIFS($E$14:$E$313,$O15,$K$14:$K$313,"Win")/P15,0))</f>
        <v>0</v>
      </c>
      <c r="R15" s="113" t="n">
        <f aca="false">IF($O15="","",SUMIFS($J$14:$J$313,$E$14:$E$313,$O15))</f>
        <v>0</v>
      </c>
      <c r="S15" s="113" t="n">
        <f aca="false">IF($O15="","",IFERROR(R15/P15,0))</f>
        <v>0</v>
      </c>
    </row>
    <row r="16" customFormat="false" ht="15" hidden="false" customHeight="false" outlineLevel="0" collapsed="false">
      <c r="B16" s="68" t="str">
        <f aca="false">IF(C16="","",ROW()-13)</f>
        <v/>
      </c>
      <c r="C16" s="143"/>
      <c r="D16" s="89"/>
      <c r="E16" s="90"/>
      <c r="F16" s="89"/>
      <c r="G16" s="144"/>
      <c r="H16" s="144"/>
      <c r="I16" s="144"/>
      <c r="J16" s="78" t="str">
        <f aca="false">IF(OR(G16="",H16="",I16=""),"",IFERROR(ROUND(IF(F16="Short",G16-I16,I16-G16)/ABS(G16-H16),2),""))</f>
        <v/>
      </c>
      <c r="K16" s="68" t="str">
        <f aca="false">IF(J16="","",IF(ABS(J16)&lt;=Settings!$C$6,"BE",IF(J16&gt;0,"Win","Loss")))</f>
        <v/>
      </c>
      <c r="L16" s="78" t="str">
        <f aca="false">IF(J16="","",ROUND(SUM(J$14:J16),2))</f>
        <v/>
      </c>
      <c r="M16" s="90"/>
      <c r="O16" s="13" t="str">
        <f aca="false">IF(Lists!$G$7="","",Lists!$G$7)</f>
        <v>Order Block Retest</v>
      </c>
      <c r="P16" s="111" t="n">
        <f aca="false">IF($O16="","",COUNTIFS($E$14:$E$313,$O16,$K$14:$K$313,"?*"))</f>
        <v>0</v>
      </c>
      <c r="Q16" s="112" t="n">
        <f aca="false">IF($O16="","",IFERROR(COUNTIFS($E$14:$E$313,$O16,$K$14:$K$313,"Win")/P16,0))</f>
        <v>0</v>
      </c>
      <c r="R16" s="113" t="n">
        <f aca="false">IF($O16="","",SUMIFS($J$14:$J$313,$E$14:$E$313,$O16))</f>
        <v>0</v>
      </c>
      <c r="S16" s="113" t="n">
        <f aca="false">IF($O16="","",IFERROR(R16/P16,0))</f>
        <v>0</v>
      </c>
    </row>
    <row r="17" customFormat="false" ht="15" hidden="false" customHeight="false" outlineLevel="0" collapsed="false">
      <c r="B17" s="68" t="str">
        <f aca="false">IF(C17="","",ROW()-13)</f>
        <v/>
      </c>
      <c r="C17" s="143"/>
      <c r="D17" s="89"/>
      <c r="E17" s="90"/>
      <c r="F17" s="89"/>
      <c r="G17" s="144"/>
      <c r="H17" s="144"/>
      <c r="I17" s="144"/>
      <c r="J17" s="78" t="str">
        <f aca="false">IF(OR(G17="",H17="",I17=""),"",IFERROR(ROUND(IF(F17="Short",G17-I17,I17-G17)/ABS(G17-H17),2),""))</f>
        <v/>
      </c>
      <c r="K17" s="68" t="str">
        <f aca="false">IF(J17="","",IF(ABS(J17)&lt;=Settings!$C$6,"BE",IF(J17&gt;0,"Win","Loss")))</f>
        <v/>
      </c>
      <c r="L17" s="78" t="str">
        <f aca="false">IF(J17="","",ROUND(SUM(J$14:J17),2))</f>
        <v/>
      </c>
      <c r="M17" s="90"/>
      <c r="O17" s="13" t="str">
        <f aca="false">IF(Lists!$G$8="","",Lists!$G$8)</f>
        <v>Break &amp; Retest</v>
      </c>
      <c r="P17" s="111" t="n">
        <f aca="false">IF($O17="","",COUNTIFS($E$14:$E$313,$O17,$K$14:$K$313,"?*"))</f>
        <v>0</v>
      </c>
      <c r="Q17" s="112" t="n">
        <f aca="false">IF($O17="","",IFERROR(COUNTIFS($E$14:$E$313,$O17,$K$14:$K$313,"Win")/P17,0))</f>
        <v>0</v>
      </c>
      <c r="R17" s="113" t="n">
        <f aca="false">IF($O17="","",SUMIFS($J$14:$J$313,$E$14:$E$313,$O17))</f>
        <v>0</v>
      </c>
      <c r="S17" s="113" t="n">
        <f aca="false">IF($O17="","",IFERROR(R17/P17,0))</f>
        <v>0</v>
      </c>
    </row>
    <row r="18" customFormat="false" ht="15" hidden="false" customHeight="false" outlineLevel="0" collapsed="false">
      <c r="B18" s="68" t="str">
        <f aca="false">IF(C18="","",ROW()-13)</f>
        <v/>
      </c>
      <c r="C18" s="143"/>
      <c r="D18" s="89"/>
      <c r="E18" s="90"/>
      <c r="F18" s="89"/>
      <c r="G18" s="144"/>
      <c r="H18" s="144"/>
      <c r="I18" s="144"/>
      <c r="J18" s="78" t="str">
        <f aca="false">IF(OR(G18="",H18="",I18=""),"",IFERROR(ROUND(IF(F18="Short",G18-I18,I18-G18)/ABS(G18-H18),2),""))</f>
        <v/>
      </c>
      <c r="K18" s="68" t="str">
        <f aca="false">IF(J18="","",IF(ABS(J18)&lt;=Settings!$C$6,"BE",IF(J18&gt;0,"Win","Loss")))</f>
        <v/>
      </c>
      <c r="L18" s="78" t="str">
        <f aca="false">IF(J18="","",ROUND(SUM(J$14:J18),2))</f>
        <v/>
      </c>
      <c r="M18" s="90"/>
      <c r="O18" s="13" t="str">
        <f aca="false">IF(Lists!$G$9="","",Lists!$G$9)</f>
        <v>FVG Entry</v>
      </c>
      <c r="P18" s="111" t="n">
        <f aca="false">IF($O18="","",COUNTIFS($E$14:$E$313,$O18,$K$14:$K$313,"?*"))</f>
        <v>0</v>
      </c>
      <c r="Q18" s="112" t="n">
        <f aca="false">IF($O18="","",IFERROR(COUNTIFS($E$14:$E$313,$O18,$K$14:$K$313,"Win")/P18,0))</f>
        <v>0</v>
      </c>
      <c r="R18" s="113" t="n">
        <f aca="false">IF($O18="","",SUMIFS($J$14:$J$313,$E$14:$E$313,$O18))</f>
        <v>0</v>
      </c>
      <c r="S18" s="113" t="n">
        <f aca="false">IF($O18="","",IFERROR(R18/P18,0))</f>
        <v>0</v>
      </c>
    </row>
    <row r="19" customFormat="false" ht="15" hidden="false" customHeight="false" outlineLevel="0" collapsed="false">
      <c r="B19" s="68" t="str">
        <f aca="false">IF(C19="","",ROW()-13)</f>
        <v/>
      </c>
      <c r="C19" s="143"/>
      <c r="D19" s="89"/>
      <c r="E19" s="90"/>
      <c r="F19" s="89"/>
      <c r="G19" s="144"/>
      <c r="H19" s="144"/>
      <c r="I19" s="144"/>
      <c r="J19" s="78" t="str">
        <f aca="false">IF(OR(G19="",H19="",I19=""),"",IFERROR(ROUND(IF(F19="Short",G19-I19,I19-G19)/ABS(G19-H19),2),""))</f>
        <v/>
      </c>
      <c r="K19" s="68" t="str">
        <f aca="false">IF(J19="","",IF(ABS(J19)&lt;=Settings!$C$6,"BE",IF(J19&gt;0,"Win","Loss")))</f>
        <v/>
      </c>
      <c r="L19" s="78" t="str">
        <f aca="false">IF(J19="","",ROUND(SUM(J$14:J19),2))</f>
        <v/>
      </c>
      <c r="M19" s="90"/>
      <c r="O19" s="13" t="str">
        <f aca="false">IF(Lists!$G$10="","",Lists!$G$10)</f>
        <v>Breaker Block</v>
      </c>
      <c r="P19" s="111" t="n">
        <f aca="false">IF($O19="","",COUNTIFS($E$14:$E$313,$O19,$K$14:$K$313,"?*"))</f>
        <v>0</v>
      </c>
      <c r="Q19" s="112" t="n">
        <f aca="false">IF($O19="","",IFERROR(COUNTIFS($E$14:$E$313,$O19,$K$14:$K$313,"Win")/P19,0))</f>
        <v>0</v>
      </c>
      <c r="R19" s="113" t="n">
        <f aca="false">IF($O19="","",SUMIFS($J$14:$J$313,$E$14:$E$313,$O19))</f>
        <v>0</v>
      </c>
      <c r="S19" s="113" t="n">
        <f aca="false">IF($O19="","",IFERROR(R19/P19,0))</f>
        <v>0</v>
      </c>
    </row>
    <row r="20" customFormat="false" ht="23.85" hidden="false" customHeight="false" outlineLevel="0" collapsed="false">
      <c r="B20" s="68" t="str">
        <f aca="false">IF(C20="","",ROW()-13)</f>
        <v/>
      </c>
      <c r="C20" s="143"/>
      <c r="D20" s="89"/>
      <c r="E20" s="90"/>
      <c r="F20" s="89"/>
      <c r="G20" s="144"/>
      <c r="H20" s="144"/>
      <c r="I20" s="144"/>
      <c r="J20" s="78" t="str">
        <f aca="false">IF(OR(G20="",H20="",I20=""),"",IFERROR(ROUND(IF(F20="Short",G20-I20,I20-G20)/ABS(G20-H20),2),""))</f>
        <v/>
      </c>
      <c r="K20" s="68" t="str">
        <f aca="false">IF(J20="","",IF(ABS(J20)&lt;=Settings!$C$6,"BE",IF(J20&gt;0,"Win","Loss")))</f>
        <v/>
      </c>
      <c r="L20" s="78" t="str">
        <f aca="false">IF(J20="","",ROUND(SUM(J$14:J20),2))</f>
        <v/>
      </c>
      <c r="M20" s="90"/>
      <c r="O20" s="13" t="str">
        <f aca="false">IF(Lists!$G$11="","",Lists!$G$11)</f>
        <v>Supply/Demand Zone Reaction</v>
      </c>
      <c r="P20" s="111" t="n">
        <f aca="false">IF($O20="","",COUNTIFS($E$14:$E$313,$O20,$K$14:$K$313,"?*"))</f>
        <v>0</v>
      </c>
      <c r="Q20" s="112" t="n">
        <f aca="false">IF($O20="","",IFERROR(COUNTIFS($E$14:$E$313,$O20,$K$14:$K$313,"Win")/P20,0))</f>
        <v>0</v>
      </c>
      <c r="R20" s="113" t="n">
        <f aca="false">IF($O20="","",SUMIFS($J$14:$J$313,$E$14:$E$313,$O20))</f>
        <v>0</v>
      </c>
      <c r="S20" s="113" t="n">
        <f aca="false">IF($O20="","",IFERROR(R20/P20,0))</f>
        <v>0</v>
      </c>
    </row>
    <row r="21" customFormat="false" ht="15" hidden="false" customHeight="false" outlineLevel="0" collapsed="false">
      <c r="B21" s="68" t="str">
        <f aca="false">IF(C21="","",ROW()-13)</f>
        <v/>
      </c>
      <c r="C21" s="143"/>
      <c r="D21" s="89"/>
      <c r="E21" s="90"/>
      <c r="F21" s="89"/>
      <c r="G21" s="144"/>
      <c r="H21" s="144"/>
      <c r="I21" s="144"/>
      <c r="J21" s="78" t="str">
        <f aca="false">IF(OR(G21="",H21="",I21=""),"",IFERROR(ROUND(IF(F21="Short",G21-I21,I21-G21)/ABS(G21-H21),2),""))</f>
        <v/>
      </c>
      <c r="K21" s="68" t="str">
        <f aca="false">IF(J21="","",IF(ABS(J21)&lt;=Settings!$C$6,"BE",IF(J21&gt;0,"Win","Loss")))</f>
        <v/>
      </c>
      <c r="L21" s="78" t="str">
        <f aca="false">IF(J21="","",ROUND(SUM(J$14:J21),2))</f>
        <v/>
      </c>
      <c r="M21" s="90"/>
      <c r="O21" s="13" t="str">
        <f aca="false">IF(Lists!$G$12="","",Lists!$G$12)</f>
        <v>Trend Pullback</v>
      </c>
      <c r="P21" s="111" t="n">
        <f aca="false">IF($O21="","",COUNTIFS($E$14:$E$313,$O21,$K$14:$K$313,"?*"))</f>
        <v>0</v>
      </c>
      <c r="Q21" s="112" t="n">
        <f aca="false">IF($O21="","",IFERROR(COUNTIFS($E$14:$E$313,$O21,$K$14:$K$313,"Win")/P21,0))</f>
        <v>0</v>
      </c>
      <c r="R21" s="113" t="n">
        <f aca="false">IF($O21="","",SUMIFS($J$14:$J$313,$E$14:$E$313,$O21))</f>
        <v>0</v>
      </c>
      <c r="S21" s="113" t="n">
        <f aca="false">IF($O21="","",IFERROR(R21/P21,0))</f>
        <v>0</v>
      </c>
    </row>
    <row r="22" customFormat="false" ht="15" hidden="false" customHeight="false" outlineLevel="0" collapsed="false">
      <c r="B22" s="68" t="str">
        <f aca="false">IF(C22="","",ROW()-13)</f>
        <v/>
      </c>
      <c r="C22" s="143"/>
      <c r="D22" s="89"/>
      <c r="E22" s="90"/>
      <c r="F22" s="89"/>
      <c r="G22" s="144"/>
      <c r="H22" s="144"/>
      <c r="I22" s="144"/>
      <c r="J22" s="78" t="str">
        <f aca="false">IF(OR(G22="",H22="",I22=""),"",IFERROR(ROUND(IF(F22="Short",G22-I22,I22-G22)/ABS(G22-H22),2),""))</f>
        <v/>
      </c>
      <c r="K22" s="68" t="str">
        <f aca="false">IF(J22="","",IF(ABS(J22)&lt;=Settings!$C$6,"BE",IF(J22&gt;0,"Win","Loss")))</f>
        <v/>
      </c>
      <c r="L22" s="78" t="str">
        <f aca="false">IF(J22="","",ROUND(SUM(J$14:J22),2))</f>
        <v/>
      </c>
      <c r="M22" s="90"/>
      <c r="O22" s="13" t="str">
        <f aca="false">IF(Lists!$G$13="","",Lists!$G$13)</f>
        <v>Range Edge Fade</v>
      </c>
      <c r="P22" s="111" t="n">
        <f aca="false">IF($O22="","",COUNTIFS($E$14:$E$313,$O22,$K$14:$K$313,"?*"))</f>
        <v>0</v>
      </c>
      <c r="Q22" s="112" t="n">
        <f aca="false">IF($O22="","",IFERROR(COUNTIFS($E$14:$E$313,$O22,$K$14:$K$313,"Win")/P22,0))</f>
        <v>0</v>
      </c>
      <c r="R22" s="113" t="n">
        <f aca="false">IF($O22="","",SUMIFS($J$14:$J$313,$E$14:$E$313,$O22))</f>
        <v>0</v>
      </c>
      <c r="S22" s="113" t="n">
        <f aca="false">IF($O22="","",IFERROR(R22/P22,0))</f>
        <v>0</v>
      </c>
    </row>
    <row r="23" customFormat="false" ht="15" hidden="false" customHeight="false" outlineLevel="0" collapsed="false">
      <c r="B23" s="68" t="str">
        <f aca="false">IF(C23="","",ROW()-13)</f>
        <v/>
      </c>
      <c r="C23" s="143"/>
      <c r="D23" s="89"/>
      <c r="E23" s="90"/>
      <c r="F23" s="89"/>
      <c r="G23" s="144"/>
      <c r="H23" s="144"/>
      <c r="I23" s="144"/>
      <c r="J23" s="78" t="str">
        <f aca="false">IF(OR(G23="",H23="",I23=""),"",IFERROR(ROUND(IF(F23="Short",G23-I23,I23-G23)/ABS(G23-H23),2),""))</f>
        <v/>
      </c>
      <c r="K23" s="68" t="str">
        <f aca="false">IF(J23="","",IF(ABS(J23)&lt;=Settings!$C$6,"BE",IF(J23&gt;0,"Win","Loss")))</f>
        <v/>
      </c>
      <c r="L23" s="78" t="str">
        <f aca="false">IF(J23="","",ROUND(SUM(J$14:J23),2))</f>
        <v/>
      </c>
      <c r="M23" s="90"/>
      <c r="O23" s="13" t="str">
        <f aca="false">IF(Lists!$G$14="","",Lists!$G$14)</f>
        <v>Asia Range Sweep</v>
      </c>
      <c r="P23" s="111" t="n">
        <f aca="false">IF($O23="","",COUNTIFS($E$14:$E$313,$O23,$K$14:$K$313,"?*"))</f>
        <v>0</v>
      </c>
      <c r="Q23" s="112" t="n">
        <f aca="false">IF($O23="","",IFERROR(COUNTIFS($E$14:$E$313,$O23,$K$14:$K$313,"Win")/P23,0))</f>
        <v>0</v>
      </c>
      <c r="R23" s="113" t="n">
        <f aca="false">IF($O23="","",SUMIFS($J$14:$J$313,$E$14:$E$313,$O23))</f>
        <v>0</v>
      </c>
      <c r="S23" s="113" t="n">
        <f aca="false">IF($O23="","",IFERROR(R23/P23,0))</f>
        <v>0</v>
      </c>
    </row>
    <row r="24" customFormat="false" ht="15" hidden="false" customHeight="false" outlineLevel="0" collapsed="false">
      <c r="B24" s="68" t="str">
        <f aca="false">IF(C24="","",ROW()-13)</f>
        <v/>
      </c>
      <c r="C24" s="143"/>
      <c r="D24" s="89"/>
      <c r="E24" s="90"/>
      <c r="F24" s="89"/>
      <c r="G24" s="144"/>
      <c r="H24" s="144"/>
      <c r="I24" s="144"/>
      <c r="J24" s="78" t="str">
        <f aca="false">IF(OR(G24="",H24="",I24=""),"",IFERROR(ROUND(IF(F24="Short",G24-I24,I24-G24)/ABS(G24-H24),2),""))</f>
        <v/>
      </c>
      <c r="K24" s="68" t="str">
        <f aca="false">IF(J24="","",IF(ABS(J24)&lt;=Settings!$C$6,"BE",IF(J24&gt;0,"Win","Loss")))</f>
        <v/>
      </c>
      <c r="L24" s="78" t="str">
        <f aca="false">IF(J24="","",ROUND(SUM(J$14:J24),2))</f>
        <v/>
      </c>
      <c r="M24" s="90"/>
      <c r="O24" s="13" t="str">
        <f aca="false">IF(Lists!$G$15="","",Lists!$G$15)</f>
        <v>Other</v>
      </c>
      <c r="P24" s="111" t="n">
        <f aca="false">IF($O24="","",COUNTIFS($E$14:$E$313,$O24,$K$14:$K$313,"?*"))</f>
        <v>0</v>
      </c>
      <c r="Q24" s="112" t="n">
        <f aca="false">IF($O24="","",IFERROR(COUNTIFS($E$14:$E$313,$O24,$K$14:$K$313,"Win")/P24,0))</f>
        <v>0</v>
      </c>
      <c r="R24" s="113" t="n">
        <f aca="false">IF($O24="","",SUMIFS($J$14:$J$313,$E$14:$E$313,$O24))</f>
        <v>0</v>
      </c>
      <c r="S24" s="113" t="n">
        <f aca="false">IF($O24="","",IFERROR(R24/P24,0))</f>
        <v>0</v>
      </c>
    </row>
    <row r="25" customFormat="false" ht="15" hidden="false" customHeight="false" outlineLevel="0" collapsed="false">
      <c r="B25" s="68" t="str">
        <f aca="false">IF(C25="","",ROW()-13)</f>
        <v/>
      </c>
      <c r="C25" s="143"/>
      <c r="D25" s="89"/>
      <c r="E25" s="90"/>
      <c r="F25" s="89"/>
      <c r="G25" s="144"/>
      <c r="H25" s="144"/>
      <c r="I25" s="144"/>
      <c r="J25" s="78" t="str">
        <f aca="false">IF(OR(G25="",H25="",I25=""),"",IFERROR(ROUND(IF(F25="Short",G25-I25,I25-G25)/ABS(G25-H25),2),""))</f>
        <v/>
      </c>
      <c r="K25" s="68" t="str">
        <f aca="false">IF(J25="","",IF(ABS(J25)&lt;=Settings!$C$6,"BE",IF(J25&gt;0,"Win","Loss")))</f>
        <v/>
      </c>
      <c r="L25" s="78" t="str">
        <f aca="false">IF(J25="","",ROUND(SUM(J$14:J25),2))</f>
        <v/>
      </c>
      <c r="M25" s="90"/>
      <c r="O25" s="13" t="str">
        <f aca="false">IF(Lists!$G$16="","",Lists!$G$16)</f>
        <v/>
      </c>
      <c r="P25" s="111" t="str">
        <f aca="false">IF($O25="","",COUNTIFS($E$14:$E$313,$O25,$K$14:$K$313,"?*"))</f>
        <v/>
      </c>
      <c r="Q25" s="112" t="str">
        <f aca="false">IF($O25="","",IFERROR(COUNTIFS($E$14:$E$313,$O25,$K$14:$K$313,"Win")/P25,0))</f>
        <v/>
      </c>
      <c r="R25" s="113" t="str">
        <f aca="false">IF($O25="","",SUMIFS($J$14:$J$313,$E$14:$E$313,$O25))</f>
        <v/>
      </c>
      <c r="S25" s="113" t="str">
        <f aca="false">IF($O25="","",IFERROR(R25/P25,0))</f>
        <v/>
      </c>
    </row>
    <row r="26" customFormat="false" ht="15" hidden="false" customHeight="false" outlineLevel="0" collapsed="false">
      <c r="B26" s="68" t="str">
        <f aca="false">IF(C26="","",ROW()-13)</f>
        <v/>
      </c>
      <c r="C26" s="143"/>
      <c r="D26" s="89"/>
      <c r="E26" s="90"/>
      <c r="F26" s="89"/>
      <c r="G26" s="144"/>
      <c r="H26" s="144"/>
      <c r="I26" s="144"/>
      <c r="J26" s="78" t="str">
        <f aca="false">IF(OR(G26="",H26="",I26=""),"",IFERROR(ROUND(IF(F26="Short",G26-I26,I26-G26)/ABS(G26-H26),2),""))</f>
        <v/>
      </c>
      <c r="K26" s="68" t="str">
        <f aca="false">IF(J26="","",IF(ABS(J26)&lt;=Settings!$C$6,"BE",IF(J26&gt;0,"Win","Loss")))</f>
        <v/>
      </c>
      <c r="L26" s="78" t="str">
        <f aca="false">IF(J26="","",ROUND(SUM(J$14:J26),2))</f>
        <v/>
      </c>
      <c r="M26" s="90"/>
      <c r="O26" s="13" t="str">
        <f aca="false">IF(Lists!$G$17="","",Lists!$G$17)</f>
        <v/>
      </c>
      <c r="P26" s="111" t="str">
        <f aca="false">IF($O26="","",COUNTIFS($E$14:$E$313,$O26,$K$14:$K$313,"?*"))</f>
        <v/>
      </c>
      <c r="Q26" s="112" t="str">
        <f aca="false">IF($O26="","",IFERROR(COUNTIFS($E$14:$E$313,$O26,$K$14:$K$313,"Win")/P26,0))</f>
        <v/>
      </c>
      <c r="R26" s="113" t="str">
        <f aca="false">IF($O26="","",SUMIFS($J$14:$J$313,$E$14:$E$313,$O26))</f>
        <v/>
      </c>
      <c r="S26" s="113" t="str">
        <f aca="false">IF($O26="","",IFERROR(R26/P26,0))</f>
        <v/>
      </c>
    </row>
    <row r="27" customFormat="false" ht="15" hidden="false" customHeight="false" outlineLevel="0" collapsed="false">
      <c r="B27" s="68" t="str">
        <f aca="false">IF(C27="","",ROW()-13)</f>
        <v/>
      </c>
      <c r="C27" s="143"/>
      <c r="D27" s="89"/>
      <c r="E27" s="90"/>
      <c r="F27" s="89"/>
      <c r="G27" s="144"/>
      <c r="H27" s="144"/>
      <c r="I27" s="144"/>
      <c r="J27" s="78" t="str">
        <f aca="false">IF(OR(G27="",H27="",I27=""),"",IFERROR(ROUND(IF(F27="Short",G27-I27,I27-G27)/ABS(G27-H27),2),""))</f>
        <v/>
      </c>
      <c r="K27" s="68" t="str">
        <f aca="false">IF(J27="","",IF(ABS(J27)&lt;=Settings!$C$6,"BE",IF(J27&gt;0,"Win","Loss")))</f>
        <v/>
      </c>
      <c r="L27" s="78" t="str">
        <f aca="false">IF(J27="","",ROUND(SUM(J$14:J27),2))</f>
        <v/>
      </c>
      <c r="M27" s="90"/>
    </row>
    <row r="28" customFormat="false" ht="15" hidden="false" customHeight="false" outlineLevel="0" collapsed="false">
      <c r="B28" s="68" t="str">
        <f aca="false">IF(C28="","",ROW()-13)</f>
        <v/>
      </c>
      <c r="C28" s="143"/>
      <c r="D28" s="89"/>
      <c r="E28" s="90"/>
      <c r="F28" s="89"/>
      <c r="G28" s="144"/>
      <c r="H28" s="144"/>
      <c r="I28" s="144"/>
      <c r="J28" s="78" t="str">
        <f aca="false">IF(OR(G28="",H28="",I28=""),"",IFERROR(ROUND(IF(F28="Short",G28-I28,I28-G28)/ABS(G28-H28),2),""))</f>
        <v/>
      </c>
      <c r="K28" s="68" t="str">
        <f aca="false">IF(J28="","",IF(ABS(J28)&lt;=Settings!$C$6,"BE",IF(J28&gt;0,"Win","Loss")))</f>
        <v/>
      </c>
      <c r="L28" s="78" t="str">
        <f aca="false">IF(J28="","",ROUND(SUM(J$14:J28),2))</f>
        <v/>
      </c>
      <c r="M28" s="90"/>
    </row>
    <row r="29" customFormat="false" ht="15" hidden="false" customHeight="false" outlineLevel="0" collapsed="false">
      <c r="B29" s="68" t="str">
        <f aca="false">IF(C29="","",ROW()-13)</f>
        <v/>
      </c>
      <c r="C29" s="143"/>
      <c r="D29" s="89"/>
      <c r="E29" s="90"/>
      <c r="F29" s="89"/>
      <c r="G29" s="144"/>
      <c r="H29" s="144"/>
      <c r="I29" s="144"/>
      <c r="J29" s="78" t="str">
        <f aca="false">IF(OR(G29="",H29="",I29=""),"",IFERROR(ROUND(IF(F29="Short",G29-I29,I29-G29)/ABS(G29-H29),2),""))</f>
        <v/>
      </c>
      <c r="K29" s="68" t="str">
        <f aca="false">IF(J29="","",IF(ABS(J29)&lt;=Settings!$C$6,"BE",IF(J29&gt;0,"Win","Loss")))</f>
        <v/>
      </c>
      <c r="L29" s="78" t="str">
        <f aca="false">IF(J29="","",ROUND(SUM(J$14:J29),2))</f>
        <v/>
      </c>
      <c r="M29" s="90"/>
    </row>
    <row r="30" customFormat="false" ht="15" hidden="false" customHeight="false" outlineLevel="0" collapsed="false">
      <c r="B30" s="68" t="str">
        <f aca="false">IF(C30="","",ROW()-13)</f>
        <v/>
      </c>
      <c r="C30" s="143"/>
      <c r="D30" s="89"/>
      <c r="E30" s="90"/>
      <c r="F30" s="89"/>
      <c r="G30" s="144"/>
      <c r="H30" s="144"/>
      <c r="I30" s="144"/>
      <c r="J30" s="78" t="str">
        <f aca="false">IF(OR(G30="",H30="",I30=""),"",IFERROR(ROUND(IF(F30="Short",G30-I30,I30-G30)/ABS(G30-H30),2),""))</f>
        <v/>
      </c>
      <c r="K30" s="68" t="str">
        <f aca="false">IF(J30="","",IF(ABS(J30)&lt;=Settings!$C$6,"BE",IF(J30&gt;0,"Win","Loss")))</f>
        <v/>
      </c>
      <c r="L30" s="78" t="str">
        <f aca="false">IF(J30="","",ROUND(SUM(J$14:J30),2))</f>
        <v/>
      </c>
      <c r="M30" s="90"/>
    </row>
    <row r="31" customFormat="false" ht="15" hidden="false" customHeight="false" outlineLevel="0" collapsed="false">
      <c r="B31" s="68" t="str">
        <f aca="false">IF(C31="","",ROW()-13)</f>
        <v/>
      </c>
      <c r="C31" s="143"/>
      <c r="D31" s="89"/>
      <c r="E31" s="90"/>
      <c r="F31" s="89"/>
      <c r="G31" s="144"/>
      <c r="H31" s="144"/>
      <c r="I31" s="144"/>
      <c r="J31" s="78" t="str">
        <f aca="false">IF(OR(G31="",H31="",I31=""),"",IFERROR(ROUND(IF(F31="Short",G31-I31,I31-G31)/ABS(G31-H31),2),""))</f>
        <v/>
      </c>
      <c r="K31" s="68" t="str">
        <f aca="false">IF(J31="","",IF(ABS(J31)&lt;=Settings!$C$6,"BE",IF(J31&gt;0,"Win","Loss")))</f>
        <v/>
      </c>
      <c r="L31" s="78" t="str">
        <f aca="false">IF(J31="","",ROUND(SUM(J$14:J31),2))</f>
        <v/>
      </c>
      <c r="M31" s="90"/>
    </row>
    <row r="32" customFormat="false" ht="15" hidden="false" customHeight="false" outlineLevel="0" collapsed="false">
      <c r="B32" s="68" t="str">
        <f aca="false">IF(C32="","",ROW()-13)</f>
        <v/>
      </c>
      <c r="C32" s="143"/>
      <c r="D32" s="89"/>
      <c r="E32" s="90"/>
      <c r="F32" s="89"/>
      <c r="G32" s="144"/>
      <c r="H32" s="144"/>
      <c r="I32" s="144"/>
      <c r="J32" s="78" t="str">
        <f aca="false">IF(OR(G32="",H32="",I32=""),"",IFERROR(ROUND(IF(F32="Short",G32-I32,I32-G32)/ABS(G32-H32),2),""))</f>
        <v/>
      </c>
      <c r="K32" s="68" t="str">
        <f aca="false">IF(J32="","",IF(ABS(J32)&lt;=Settings!$C$6,"BE",IF(J32&gt;0,"Win","Loss")))</f>
        <v/>
      </c>
      <c r="L32" s="78" t="str">
        <f aca="false">IF(J32="","",ROUND(SUM(J$14:J32),2))</f>
        <v/>
      </c>
      <c r="M32" s="90"/>
    </row>
    <row r="33" customFormat="false" ht="15" hidden="false" customHeight="false" outlineLevel="0" collapsed="false">
      <c r="B33" s="68" t="str">
        <f aca="false">IF(C33="","",ROW()-13)</f>
        <v/>
      </c>
      <c r="C33" s="143"/>
      <c r="D33" s="89"/>
      <c r="E33" s="90"/>
      <c r="F33" s="89"/>
      <c r="G33" s="144"/>
      <c r="H33" s="144"/>
      <c r="I33" s="144"/>
      <c r="J33" s="78" t="str">
        <f aca="false">IF(OR(G33="",H33="",I33=""),"",IFERROR(ROUND(IF(F33="Short",G33-I33,I33-G33)/ABS(G33-H33),2),""))</f>
        <v/>
      </c>
      <c r="K33" s="68" t="str">
        <f aca="false">IF(J33="","",IF(ABS(J33)&lt;=Settings!$C$6,"BE",IF(J33&gt;0,"Win","Loss")))</f>
        <v/>
      </c>
      <c r="L33" s="78" t="str">
        <f aca="false">IF(J33="","",ROUND(SUM(J$14:J33),2))</f>
        <v/>
      </c>
      <c r="M33" s="90"/>
    </row>
    <row r="34" customFormat="false" ht="15" hidden="false" customHeight="false" outlineLevel="0" collapsed="false">
      <c r="B34" s="68" t="str">
        <f aca="false">IF(C34="","",ROW()-13)</f>
        <v/>
      </c>
      <c r="C34" s="143"/>
      <c r="D34" s="89"/>
      <c r="E34" s="90"/>
      <c r="F34" s="89"/>
      <c r="G34" s="144"/>
      <c r="H34" s="144"/>
      <c r="I34" s="144"/>
      <c r="J34" s="78" t="str">
        <f aca="false">IF(OR(G34="",H34="",I34=""),"",IFERROR(ROUND(IF(F34="Short",G34-I34,I34-G34)/ABS(G34-H34),2),""))</f>
        <v/>
      </c>
      <c r="K34" s="68" t="str">
        <f aca="false">IF(J34="","",IF(ABS(J34)&lt;=Settings!$C$6,"BE",IF(J34&gt;0,"Win","Loss")))</f>
        <v/>
      </c>
      <c r="L34" s="78" t="str">
        <f aca="false">IF(J34="","",ROUND(SUM(J$14:J34),2))</f>
        <v/>
      </c>
      <c r="M34" s="90"/>
    </row>
    <row r="35" customFormat="false" ht="15" hidden="false" customHeight="false" outlineLevel="0" collapsed="false">
      <c r="B35" s="68" t="str">
        <f aca="false">IF(C35="","",ROW()-13)</f>
        <v/>
      </c>
      <c r="C35" s="143"/>
      <c r="D35" s="89"/>
      <c r="E35" s="90"/>
      <c r="F35" s="89"/>
      <c r="G35" s="144"/>
      <c r="H35" s="144"/>
      <c r="I35" s="144"/>
      <c r="J35" s="78" t="str">
        <f aca="false">IF(OR(G35="",H35="",I35=""),"",IFERROR(ROUND(IF(F35="Short",G35-I35,I35-G35)/ABS(G35-H35),2),""))</f>
        <v/>
      </c>
      <c r="K35" s="68" t="str">
        <f aca="false">IF(J35="","",IF(ABS(J35)&lt;=Settings!$C$6,"BE",IF(J35&gt;0,"Win","Loss")))</f>
        <v/>
      </c>
      <c r="L35" s="78" t="str">
        <f aca="false">IF(J35="","",ROUND(SUM(J$14:J35),2))</f>
        <v/>
      </c>
      <c r="M35" s="90"/>
    </row>
    <row r="36" customFormat="false" ht="15" hidden="false" customHeight="false" outlineLevel="0" collapsed="false">
      <c r="B36" s="68" t="str">
        <f aca="false">IF(C36="","",ROW()-13)</f>
        <v/>
      </c>
      <c r="C36" s="143"/>
      <c r="D36" s="89"/>
      <c r="E36" s="90"/>
      <c r="F36" s="89"/>
      <c r="G36" s="144"/>
      <c r="H36" s="144"/>
      <c r="I36" s="144"/>
      <c r="J36" s="78" t="str">
        <f aca="false">IF(OR(G36="",H36="",I36=""),"",IFERROR(ROUND(IF(F36="Short",G36-I36,I36-G36)/ABS(G36-H36),2),""))</f>
        <v/>
      </c>
      <c r="K36" s="68" t="str">
        <f aca="false">IF(J36="","",IF(ABS(J36)&lt;=Settings!$C$6,"BE",IF(J36&gt;0,"Win","Loss")))</f>
        <v/>
      </c>
      <c r="L36" s="78" t="str">
        <f aca="false">IF(J36="","",ROUND(SUM(J$14:J36),2))</f>
        <v/>
      </c>
      <c r="M36" s="90"/>
    </row>
    <row r="37" customFormat="false" ht="15" hidden="false" customHeight="false" outlineLevel="0" collapsed="false">
      <c r="B37" s="68" t="str">
        <f aca="false">IF(C37="","",ROW()-13)</f>
        <v/>
      </c>
      <c r="C37" s="143"/>
      <c r="D37" s="89"/>
      <c r="E37" s="90"/>
      <c r="F37" s="89"/>
      <c r="G37" s="144"/>
      <c r="H37" s="144"/>
      <c r="I37" s="144"/>
      <c r="J37" s="78" t="str">
        <f aca="false">IF(OR(G37="",H37="",I37=""),"",IFERROR(ROUND(IF(F37="Short",G37-I37,I37-G37)/ABS(G37-H37),2),""))</f>
        <v/>
      </c>
      <c r="K37" s="68" t="str">
        <f aca="false">IF(J37="","",IF(ABS(J37)&lt;=Settings!$C$6,"BE",IF(J37&gt;0,"Win","Loss")))</f>
        <v/>
      </c>
      <c r="L37" s="78" t="str">
        <f aca="false">IF(J37="","",ROUND(SUM(J$14:J37),2))</f>
        <v/>
      </c>
      <c r="M37" s="90"/>
    </row>
    <row r="38" customFormat="false" ht="15" hidden="false" customHeight="false" outlineLevel="0" collapsed="false">
      <c r="B38" s="68" t="str">
        <f aca="false">IF(C38="","",ROW()-13)</f>
        <v/>
      </c>
      <c r="C38" s="143"/>
      <c r="D38" s="89"/>
      <c r="E38" s="90"/>
      <c r="F38" s="89"/>
      <c r="G38" s="144"/>
      <c r="H38" s="144"/>
      <c r="I38" s="144"/>
      <c r="J38" s="78" t="str">
        <f aca="false">IF(OR(G38="",H38="",I38=""),"",IFERROR(ROUND(IF(F38="Short",G38-I38,I38-G38)/ABS(G38-H38),2),""))</f>
        <v/>
      </c>
      <c r="K38" s="68" t="str">
        <f aca="false">IF(J38="","",IF(ABS(J38)&lt;=Settings!$C$6,"BE",IF(J38&gt;0,"Win","Loss")))</f>
        <v/>
      </c>
      <c r="L38" s="78" t="str">
        <f aca="false">IF(J38="","",ROUND(SUM(J$14:J38),2))</f>
        <v/>
      </c>
      <c r="M38" s="90"/>
    </row>
    <row r="39" customFormat="false" ht="15" hidden="false" customHeight="false" outlineLevel="0" collapsed="false">
      <c r="B39" s="68" t="str">
        <f aca="false">IF(C39="","",ROW()-13)</f>
        <v/>
      </c>
      <c r="C39" s="143"/>
      <c r="D39" s="89"/>
      <c r="E39" s="90"/>
      <c r="F39" s="89"/>
      <c r="G39" s="144"/>
      <c r="H39" s="144"/>
      <c r="I39" s="144"/>
      <c r="J39" s="78" t="str">
        <f aca="false">IF(OR(G39="",H39="",I39=""),"",IFERROR(ROUND(IF(F39="Short",G39-I39,I39-G39)/ABS(G39-H39),2),""))</f>
        <v/>
      </c>
      <c r="K39" s="68" t="str">
        <f aca="false">IF(J39="","",IF(ABS(J39)&lt;=Settings!$C$6,"BE",IF(J39&gt;0,"Win","Loss")))</f>
        <v/>
      </c>
      <c r="L39" s="78" t="str">
        <f aca="false">IF(J39="","",ROUND(SUM(J$14:J39),2))</f>
        <v/>
      </c>
      <c r="M39" s="90"/>
    </row>
    <row r="40" customFormat="false" ht="15" hidden="false" customHeight="false" outlineLevel="0" collapsed="false">
      <c r="B40" s="68" t="str">
        <f aca="false">IF(C40="","",ROW()-13)</f>
        <v/>
      </c>
      <c r="C40" s="143"/>
      <c r="D40" s="89"/>
      <c r="E40" s="90"/>
      <c r="F40" s="89"/>
      <c r="G40" s="144"/>
      <c r="H40" s="144"/>
      <c r="I40" s="144"/>
      <c r="J40" s="78" t="str">
        <f aca="false">IF(OR(G40="",H40="",I40=""),"",IFERROR(ROUND(IF(F40="Short",G40-I40,I40-G40)/ABS(G40-H40),2),""))</f>
        <v/>
      </c>
      <c r="K40" s="68" t="str">
        <f aca="false">IF(J40="","",IF(ABS(J40)&lt;=Settings!$C$6,"BE",IF(J40&gt;0,"Win","Loss")))</f>
        <v/>
      </c>
      <c r="L40" s="78" t="str">
        <f aca="false">IF(J40="","",ROUND(SUM(J$14:J40),2))</f>
        <v/>
      </c>
      <c r="M40" s="90"/>
    </row>
    <row r="41" customFormat="false" ht="15" hidden="false" customHeight="false" outlineLevel="0" collapsed="false">
      <c r="B41" s="68" t="str">
        <f aca="false">IF(C41="","",ROW()-13)</f>
        <v/>
      </c>
      <c r="C41" s="143"/>
      <c r="D41" s="89"/>
      <c r="E41" s="90"/>
      <c r="F41" s="89"/>
      <c r="G41" s="144"/>
      <c r="H41" s="144"/>
      <c r="I41" s="144"/>
      <c r="J41" s="78" t="str">
        <f aca="false">IF(OR(G41="",H41="",I41=""),"",IFERROR(ROUND(IF(F41="Short",G41-I41,I41-G41)/ABS(G41-H41),2),""))</f>
        <v/>
      </c>
      <c r="K41" s="68" t="str">
        <f aca="false">IF(J41="","",IF(ABS(J41)&lt;=Settings!$C$6,"BE",IF(J41&gt;0,"Win","Loss")))</f>
        <v/>
      </c>
      <c r="L41" s="78" t="str">
        <f aca="false">IF(J41="","",ROUND(SUM(J$14:J41),2))</f>
        <v/>
      </c>
      <c r="M41" s="90"/>
    </row>
    <row r="42" customFormat="false" ht="15" hidden="false" customHeight="false" outlineLevel="0" collapsed="false">
      <c r="B42" s="68" t="str">
        <f aca="false">IF(C42="","",ROW()-13)</f>
        <v/>
      </c>
      <c r="C42" s="143"/>
      <c r="D42" s="89"/>
      <c r="E42" s="90"/>
      <c r="F42" s="89"/>
      <c r="G42" s="144"/>
      <c r="H42" s="144"/>
      <c r="I42" s="144"/>
      <c r="J42" s="78" t="str">
        <f aca="false">IF(OR(G42="",H42="",I42=""),"",IFERROR(ROUND(IF(F42="Short",G42-I42,I42-G42)/ABS(G42-H42),2),""))</f>
        <v/>
      </c>
      <c r="K42" s="68" t="str">
        <f aca="false">IF(J42="","",IF(ABS(J42)&lt;=Settings!$C$6,"BE",IF(J42&gt;0,"Win","Loss")))</f>
        <v/>
      </c>
      <c r="L42" s="78" t="str">
        <f aca="false">IF(J42="","",ROUND(SUM(J$14:J42),2))</f>
        <v/>
      </c>
      <c r="M42" s="90"/>
    </row>
    <row r="43" customFormat="false" ht="15" hidden="false" customHeight="false" outlineLevel="0" collapsed="false">
      <c r="B43" s="68" t="str">
        <f aca="false">IF(C43="","",ROW()-13)</f>
        <v/>
      </c>
      <c r="C43" s="143"/>
      <c r="D43" s="89"/>
      <c r="E43" s="90"/>
      <c r="F43" s="89"/>
      <c r="G43" s="144"/>
      <c r="H43" s="144"/>
      <c r="I43" s="144"/>
      <c r="J43" s="78" t="str">
        <f aca="false">IF(OR(G43="",H43="",I43=""),"",IFERROR(ROUND(IF(F43="Short",G43-I43,I43-G43)/ABS(G43-H43),2),""))</f>
        <v/>
      </c>
      <c r="K43" s="68" t="str">
        <f aca="false">IF(J43="","",IF(ABS(J43)&lt;=Settings!$C$6,"BE",IF(J43&gt;0,"Win","Loss")))</f>
        <v/>
      </c>
      <c r="L43" s="78" t="str">
        <f aca="false">IF(J43="","",ROUND(SUM(J$14:J43),2))</f>
        <v/>
      </c>
      <c r="M43" s="90"/>
    </row>
    <row r="44" customFormat="false" ht="15" hidden="false" customHeight="false" outlineLevel="0" collapsed="false">
      <c r="B44" s="68" t="str">
        <f aca="false">IF(C44="","",ROW()-13)</f>
        <v/>
      </c>
      <c r="C44" s="143"/>
      <c r="D44" s="89"/>
      <c r="E44" s="90"/>
      <c r="F44" s="89"/>
      <c r="G44" s="144"/>
      <c r="H44" s="144"/>
      <c r="I44" s="144"/>
      <c r="J44" s="78" t="str">
        <f aca="false">IF(OR(G44="",H44="",I44=""),"",IFERROR(ROUND(IF(F44="Short",G44-I44,I44-G44)/ABS(G44-H44),2),""))</f>
        <v/>
      </c>
      <c r="K44" s="68" t="str">
        <f aca="false">IF(J44="","",IF(ABS(J44)&lt;=Settings!$C$6,"BE",IF(J44&gt;0,"Win","Loss")))</f>
        <v/>
      </c>
      <c r="L44" s="78" t="str">
        <f aca="false">IF(J44="","",ROUND(SUM(J$14:J44),2))</f>
        <v/>
      </c>
      <c r="M44" s="90"/>
    </row>
    <row r="45" customFormat="false" ht="15" hidden="false" customHeight="false" outlineLevel="0" collapsed="false">
      <c r="B45" s="68" t="str">
        <f aca="false">IF(C45="","",ROW()-13)</f>
        <v/>
      </c>
      <c r="C45" s="143"/>
      <c r="D45" s="89"/>
      <c r="E45" s="90"/>
      <c r="F45" s="89"/>
      <c r="G45" s="144"/>
      <c r="H45" s="144"/>
      <c r="I45" s="144"/>
      <c r="J45" s="78" t="str">
        <f aca="false">IF(OR(G45="",H45="",I45=""),"",IFERROR(ROUND(IF(F45="Short",G45-I45,I45-G45)/ABS(G45-H45),2),""))</f>
        <v/>
      </c>
      <c r="K45" s="68" t="str">
        <f aca="false">IF(J45="","",IF(ABS(J45)&lt;=Settings!$C$6,"BE",IF(J45&gt;0,"Win","Loss")))</f>
        <v/>
      </c>
      <c r="L45" s="78" t="str">
        <f aca="false">IF(J45="","",ROUND(SUM(J$14:J45),2))</f>
        <v/>
      </c>
      <c r="M45" s="90"/>
    </row>
    <row r="46" customFormat="false" ht="15" hidden="false" customHeight="false" outlineLevel="0" collapsed="false">
      <c r="B46" s="68" t="str">
        <f aca="false">IF(C46="","",ROW()-13)</f>
        <v/>
      </c>
      <c r="C46" s="143"/>
      <c r="D46" s="89"/>
      <c r="E46" s="90"/>
      <c r="F46" s="89"/>
      <c r="G46" s="144"/>
      <c r="H46" s="144"/>
      <c r="I46" s="144"/>
      <c r="J46" s="78" t="str">
        <f aca="false">IF(OR(G46="",H46="",I46=""),"",IFERROR(ROUND(IF(F46="Short",G46-I46,I46-G46)/ABS(G46-H46),2),""))</f>
        <v/>
      </c>
      <c r="K46" s="68" t="str">
        <f aca="false">IF(J46="","",IF(ABS(J46)&lt;=Settings!$C$6,"BE",IF(J46&gt;0,"Win","Loss")))</f>
        <v/>
      </c>
      <c r="L46" s="78" t="str">
        <f aca="false">IF(J46="","",ROUND(SUM(J$14:J46),2))</f>
        <v/>
      </c>
      <c r="M46" s="90"/>
    </row>
    <row r="47" customFormat="false" ht="15" hidden="false" customHeight="false" outlineLevel="0" collapsed="false">
      <c r="B47" s="68" t="str">
        <f aca="false">IF(C47="","",ROW()-13)</f>
        <v/>
      </c>
      <c r="C47" s="143"/>
      <c r="D47" s="89"/>
      <c r="E47" s="90"/>
      <c r="F47" s="89"/>
      <c r="G47" s="144"/>
      <c r="H47" s="144"/>
      <c r="I47" s="144"/>
      <c r="J47" s="78" t="str">
        <f aca="false">IF(OR(G47="",H47="",I47=""),"",IFERROR(ROUND(IF(F47="Short",G47-I47,I47-G47)/ABS(G47-H47),2),""))</f>
        <v/>
      </c>
      <c r="K47" s="68" t="str">
        <f aca="false">IF(J47="","",IF(ABS(J47)&lt;=Settings!$C$6,"BE",IF(J47&gt;0,"Win","Loss")))</f>
        <v/>
      </c>
      <c r="L47" s="78" t="str">
        <f aca="false">IF(J47="","",ROUND(SUM(J$14:J47),2))</f>
        <v/>
      </c>
      <c r="M47" s="90"/>
    </row>
    <row r="48" customFormat="false" ht="15" hidden="false" customHeight="false" outlineLevel="0" collapsed="false">
      <c r="B48" s="68" t="str">
        <f aca="false">IF(C48="","",ROW()-13)</f>
        <v/>
      </c>
      <c r="C48" s="143"/>
      <c r="D48" s="89"/>
      <c r="E48" s="90"/>
      <c r="F48" s="89"/>
      <c r="G48" s="144"/>
      <c r="H48" s="144"/>
      <c r="I48" s="144"/>
      <c r="J48" s="78" t="str">
        <f aca="false">IF(OR(G48="",H48="",I48=""),"",IFERROR(ROUND(IF(F48="Short",G48-I48,I48-G48)/ABS(G48-H48),2),""))</f>
        <v/>
      </c>
      <c r="K48" s="68" t="str">
        <f aca="false">IF(J48="","",IF(ABS(J48)&lt;=Settings!$C$6,"BE",IF(J48&gt;0,"Win","Loss")))</f>
        <v/>
      </c>
      <c r="L48" s="78" t="str">
        <f aca="false">IF(J48="","",ROUND(SUM(J$14:J48),2))</f>
        <v/>
      </c>
      <c r="M48" s="90"/>
    </row>
    <row r="49" customFormat="false" ht="15" hidden="false" customHeight="false" outlineLevel="0" collapsed="false">
      <c r="B49" s="68" t="str">
        <f aca="false">IF(C49="","",ROW()-13)</f>
        <v/>
      </c>
      <c r="C49" s="143"/>
      <c r="D49" s="89"/>
      <c r="E49" s="90"/>
      <c r="F49" s="89"/>
      <c r="G49" s="144"/>
      <c r="H49" s="144"/>
      <c r="I49" s="144"/>
      <c r="J49" s="78" t="str">
        <f aca="false">IF(OR(G49="",H49="",I49=""),"",IFERROR(ROUND(IF(F49="Short",G49-I49,I49-G49)/ABS(G49-H49),2),""))</f>
        <v/>
      </c>
      <c r="K49" s="68" t="str">
        <f aca="false">IF(J49="","",IF(ABS(J49)&lt;=Settings!$C$6,"BE",IF(J49&gt;0,"Win","Loss")))</f>
        <v/>
      </c>
      <c r="L49" s="78" t="str">
        <f aca="false">IF(J49="","",ROUND(SUM(J$14:J49),2))</f>
        <v/>
      </c>
      <c r="M49" s="90"/>
    </row>
    <row r="50" customFormat="false" ht="15" hidden="false" customHeight="false" outlineLevel="0" collapsed="false">
      <c r="B50" s="68" t="str">
        <f aca="false">IF(C50="","",ROW()-13)</f>
        <v/>
      </c>
      <c r="C50" s="143"/>
      <c r="D50" s="89"/>
      <c r="E50" s="90"/>
      <c r="F50" s="89"/>
      <c r="G50" s="144"/>
      <c r="H50" s="144"/>
      <c r="I50" s="144"/>
      <c r="J50" s="78" t="str">
        <f aca="false">IF(OR(G50="",H50="",I50=""),"",IFERROR(ROUND(IF(F50="Short",G50-I50,I50-G50)/ABS(G50-H50),2),""))</f>
        <v/>
      </c>
      <c r="K50" s="68" t="str">
        <f aca="false">IF(J50="","",IF(ABS(J50)&lt;=Settings!$C$6,"BE",IF(J50&gt;0,"Win","Loss")))</f>
        <v/>
      </c>
      <c r="L50" s="78" t="str">
        <f aca="false">IF(J50="","",ROUND(SUM(J$14:J50),2))</f>
        <v/>
      </c>
      <c r="M50" s="90"/>
    </row>
    <row r="51" customFormat="false" ht="15" hidden="false" customHeight="false" outlineLevel="0" collapsed="false">
      <c r="B51" s="68" t="str">
        <f aca="false">IF(C51="","",ROW()-13)</f>
        <v/>
      </c>
      <c r="C51" s="143"/>
      <c r="D51" s="89"/>
      <c r="E51" s="90"/>
      <c r="F51" s="89"/>
      <c r="G51" s="144"/>
      <c r="H51" s="144"/>
      <c r="I51" s="144"/>
      <c r="J51" s="78" t="str">
        <f aca="false">IF(OR(G51="",H51="",I51=""),"",IFERROR(ROUND(IF(F51="Short",G51-I51,I51-G51)/ABS(G51-H51),2),""))</f>
        <v/>
      </c>
      <c r="K51" s="68" t="str">
        <f aca="false">IF(J51="","",IF(ABS(J51)&lt;=Settings!$C$6,"BE",IF(J51&gt;0,"Win","Loss")))</f>
        <v/>
      </c>
      <c r="L51" s="78" t="str">
        <f aca="false">IF(J51="","",ROUND(SUM(J$14:J51),2))</f>
        <v/>
      </c>
      <c r="M51" s="90"/>
    </row>
    <row r="52" customFormat="false" ht="15" hidden="false" customHeight="false" outlineLevel="0" collapsed="false">
      <c r="B52" s="68" t="str">
        <f aca="false">IF(C52="","",ROW()-13)</f>
        <v/>
      </c>
      <c r="C52" s="143"/>
      <c r="D52" s="89"/>
      <c r="E52" s="90"/>
      <c r="F52" s="89"/>
      <c r="G52" s="144"/>
      <c r="H52" s="144"/>
      <c r="I52" s="144"/>
      <c r="J52" s="78" t="str">
        <f aca="false">IF(OR(G52="",H52="",I52=""),"",IFERROR(ROUND(IF(F52="Short",G52-I52,I52-G52)/ABS(G52-H52),2),""))</f>
        <v/>
      </c>
      <c r="K52" s="68" t="str">
        <f aca="false">IF(J52="","",IF(ABS(J52)&lt;=Settings!$C$6,"BE",IF(J52&gt;0,"Win","Loss")))</f>
        <v/>
      </c>
      <c r="L52" s="78" t="str">
        <f aca="false">IF(J52="","",ROUND(SUM(J$14:J52),2))</f>
        <v/>
      </c>
      <c r="M52" s="90"/>
    </row>
    <row r="53" customFormat="false" ht="15" hidden="false" customHeight="false" outlineLevel="0" collapsed="false">
      <c r="B53" s="68" t="str">
        <f aca="false">IF(C53="","",ROW()-13)</f>
        <v/>
      </c>
      <c r="C53" s="143"/>
      <c r="D53" s="89"/>
      <c r="E53" s="90"/>
      <c r="F53" s="89"/>
      <c r="G53" s="144"/>
      <c r="H53" s="144"/>
      <c r="I53" s="144"/>
      <c r="J53" s="78" t="str">
        <f aca="false">IF(OR(G53="",H53="",I53=""),"",IFERROR(ROUND(IF(F53="Short",G53-I53,I53-G53)/ABS(G53-H53),2),""))</f>
        <v/>
      </c>
      <c r="K53" s="68" t="str">
        <f aca="false">IF(J53="","",IF(ABS(J53)&lt;=Settings!$C$6,"BE",IF(J53&gt;0,"Win","Loss")))</f>
        <v/>
      </c>
      <c r="L53" s="78" t="str">
        <f aca="false">IF(J53="","",ROUND(SUM(J$14:J53),2))</f>
        <v/>
      </c>
      <c r="M53" s="90"/>
    </row>
    <row r="54" customFormat="false" ht="15" hidden="false" customHeight="false" outlineLevel="0" collapsed="false">
      <c r="B54" s="68" t="str">
        <f aca="false">IF(C54="","",ROW()-13)</f>
        <v/>
      </c>
      <c r="C54" s="143"/>
      <c r="D54" s="89"/>
      <c r="E54" s="90"/>
      <c r="F54" s="89"/>
      <c r="G54" s="144"/>
      <c r="H54" s="144"/>
      <c r="I54" s="144"/>
      <c r="J54" s="78" t="str">
        <f aca="false">IF(OR(G54="",H54="",I54=""),"",IFERROR(ROUND(IF(F54="Short",G54-I54,I54-G54)/ABS(G54-H54),2),""))</f>
        <v/>
      </c>
      <c r="K54" s="68" t="str">
        <f aca="false">IF(J54="","",IF(ABS(J54)&lt;=Settings!$C$6,"BE",IF(J54&gt;0,"Win","Loss")))</f>
        <v/>
      </c>
      <c r="L54" s="78" t="str">
        <f aca="false">IF(J54="","",ROUND(SUM(J$14:J54),2))</f>
        <v/>
      </c>
      <c r="M54" s="90"/>
    </row>
    <row r="55" customFormat="false" ht="15" hidden="false" customHeight="false" outlineLevel="0" collapsed="false">
      <c r="B55" s="68" t="str">
        <f aca="false">IF(C55="","",ROW()-13)</f>
        <v/>
      </c>
      <c r="C55" s="143"/>
      <c r="D55" s="89"/>
      <c r="E55" s="90"/>
      <c r="F55" s="89"/>
      <c r="G55" s="144"/>
      <c r="H55" s="144"/>
      <c r="I55" s="144"/>
      <c r="J55" s="78" t="str">
        <f aca="false">IF(OR(G55="",H55="",I55=""),"",IFERROR(ROUND(IF(F55="Short",G55-I55,I55-G55)/ABS(G55-H55),2),""))</f>
        <v/>
      </c>
      <c r="K55" s="68" t="str">
        <f aca="false">IF(J55="","",IF(ABS(J55)&lt;=Settings!$C$6,"BE",IF(J55&gt;0,"Win","Loss")))</f>
        <v/>
      </c>
      <c r="L55" s="78" t="str">
        <f aca="false">IF(J55="","",ROUND(SUM(J$14:J55),2))</f>
        <v/>
      </c>
      <c r="M55" s="90"/>
    </row>
    <row r="56" customFormat="false" ht="15" hidden="false" customHeight="false" outlineLevel="0" collapsed="false">
      <c r="B56" s="68" t="str">
        <f aca="false">IF(C56="","",ROW()-13)</f>
        <v/>
      </c>
      <c r="C56" s="143"/>
      <c r="D56" s="89"/>
      <c r="E56" s="90"/>
      <c r="F56" s="89"/>
      <c r="G56" s="144"/>
      <c r="H56" s="144"/>
      <c r="I56" s="144"/>
      <c r="J56" s="78" t="str">
        <f aca="false">IF(OR(G56="",H56="",I56=""),"",IFERROR(ROUND(IF(F56="Short",G56-I56,I56-G56)/ABS(G56-H56),2),""))</f>
        <v/>
      </c>
      <c r="K56" s="68" t="str">
        <f aca="false">IF(J56="","",IF(ABS(J56)&lt;=Settings!$C$6,"BE",IF(J56&gt;0,"Win","Loss")))</f>
        <v/>
      </c>
      <c r="L56" s="78" t="str">
        <f aca="false">IF(J56="","",ROUND(SUM(J$14:J56),2))</f>
        <v/>
      </c>
      <c r="M56" s="90"/>
    </row>
    <row r="57" customFormat="false" ht="15" hidden="false" customHeight="false" outlineLevel="0" collapsed="false">
      <c r="B57" s="68" t="str">
        <f aca="false">IF(C57="","",ROW()-13)</f>
        <v/>
      </c>
      <c r="C57" s="143"/>
      <c r="D57" s="89"/>
      <c r="E57" s="90"/>
      <c r="F57" s="89"/>
      <c r="G57" s="144"/>
      <c r="H57" s="144"/>
      <c r="I57" s="144"/>
      <c r="J57" s="78" t="str">
        <f aca="false">IF(OR(G57="",H57="",I57=""),"",IFERROR(ROUND(IF(F57="Short",G57-I57,I57-G57)/ABS(G57-H57),2),""))</f>
        <v/>
      </c>
      <c r="K57" s="68" t="str">
        <f aca="false">IF(J57="","",IF(ABS(J57)&lt;=Settings!$C$6,"BE",IF(J57&gt;0,"Win","Loss")))</f>
        <v/>
      </c>
      <c r="L57" s="78" t="str">
        <f aca="false">IF(J57="","",ROUND(SUM(J$14:J57),2))</f>
        <v/>
      </c>
      <c r="M57" s="90"/>
    </row>
    <row r="58" customFormat="false" ht="15" hidden="false" customHeight="false" outlineLevel="0" collapsed="false">
      <c r="B58" s="68" t="str">
        <f aca="false">IF(C58="","",ROW()-13)</f>
        <v/>
      </c>
      <c r="C58" s="143"/>
      <c r="D58" s="89"/>
      <c r="E58" s="90"/>
      <c r="F58" s="89"/>
      <c r="G58" s="144"/>
      <c r="H58" s="144"/>
      <c r="I58" s="144"/>
      <c r="J58" s="78" t="str">
        <f aca="false">IF(OR(G58="",H58="",I58=""),"",IFERROR(ROUND(IF(F58="Short",G58-I58,I58-G58)/ABS(G58-H58),2),""))</f>
        <v/>
      </c>
      <c r="K58" s="68" t="str">
        <f aca="false">IF(J58="","",IF(ABS(J58)&lt;=Settings!$C$6,"BE",IF(J58&gt;0,"Win","Loss")))</f>
        <v/>
      </c>
      <c r="L58" s="78" t="str">
        <f aca="false">IF(J58="","",ROUND(SUM(J$14:J58),2))</f>
        <v/>
      </c>
      <c r="M58" s="90"/>
    </row>
    <row r="59" customFormat="false" ht="15" hidden="false" customHeight="false" outlineLevel="0" collapsed="false">
      <c r="B59" s="68" t="str">
        <f aca="false">IF(C59="","",ROW()-13)</f>
        <v/>
      </c>
      <c r="C59" s="143"/>
      <c r="D59" s="89"/>
      <c r="E59" s="90"/>
      <c r="F59" s="89"/>
      <c r="G59" s="144"/>
      <c r="H59" s="144"/>
      <c r="I59" s="144"/>
      <c r="J59" s="78" t="str">
        <f aca="false">IF(OR(G59="",H59="",I59=""),"",IFERROR(ROUND(IF(F59="Short",G59-I59,I59-G59)/ABS(G59-H59),2),""))</f>
        <v/>
      </c>
      <c r="K59" s="68" t="str">
        <f aca="false">IF(J59="","",IF(ABS(J59)&lt;=Settings!$C$6,"BE",IF(J59&gt;0,"Win","Loss")))</f>
        <v/>
      </c>
      <c r="L59" s="78" t="str">
        <f aca="false">IF(J59="","",ROUND(SUM(J$14:J59),2))</f>
        <v/>
      </c>
      <c r="M59" s="90"/>
    </row>
    <row r="60" customFormat="false" ht="15" hidden="false" customHeight="false" outlineLevel="0" collapsed="false">
      <c r="B60" s="68" t="str">
        <f aca="false">IF(C60="","",ROW()-13)</f>
        <v/>
      </c>
      <c r="C60" s="143"/>
      <c r="D60" s="89"/>
      <c r="E60" s="90"/>
      <c r="F60" s="89"/>
      <c r="G60" s="144"/>
      <c r="H60" s="144"/>
      <c r="I60" s="144"/>
      <c r="J60" s="78" t="str">
        <f aca="false">IF(OR(G60="",H60="",I60=""),"",IFERROR(ROUND(IF(F60="Short",G60-I60,I60-G60)/ABS(G60-H60),2),""))</f>
        <v/>
      </c>
      <c r="K60" s="68" t="str">
        <f aca="false">IF(J60="","",IF(ABS(J60)&lt;=Settings!$C$6,"BE",IF(J60&gt;0,"Win","Loss")))</f>
        <v/>
      </c>
      <c r="L60" s="78" t="str">
        <f aca="false">IF(J60="","",ROUND(SUM(J$14:J60),2))</f>
        <v/>
      </c>
      <c r="M60" s="90"/>
    </row>
    <row r="61" customFormat="false" ht="15" hidden="false" customHeight="false" outlineLevel="0" collapsed="false">
      <c r="B61" s="68" t="str">
        <f aca="false">IF(C61="","",ROW()-13)</f>
        <v/>
      </c>
      <c r="C61" s="143"/>
      <c r="D61" s="89"/>
      <c r="E61" s="90"/>
      <c r="F61" s="89"/>
      <c r="G61" s="144"/>
      <c r="H61" s="144"/>
      <c r="I61" s="144"/>
      <c r="J61" s="78" t="str">
        <f aca="false">IF(OR(G61="",H61="",I61=""),"",IFERROR(ROUND(IF(F61="Short",G61-I61,I61-G61)/ABS(G61-H61),2),""))</f>
        <v/>
      </c>
      <c r="K61" s="68" t="str">
        <f aca="false">IF(J61="","",IF(ABS(J61)&lt;=Settings!$C$6,"BE",IF(J61&gt;0,"Win","Loss")))</f>
        <v/>
      </c>
      <c r="L61" s="78" t="str">
        <f aca="false">IF(J61="","",ROUND(SUM(J$14:J61),2))</f>
        <v/>
      </c>
      <c r="M61" s="90"/>
    </row>
    <row r="62" customFormat="false" ht="15" hidden="false" customHeight="false" outlineLevel="0" collapsed="false">
      <c r="B62" s="68" t="str">
        <f aca="false">IF(C62="","",ROW()-13)</f>
        <v/>
      </c>
      <c r="C62" s="143"/>
      <c r="D62" s="89"/>
      <c r="E62" s="90"/>
      <c r="F62" s="89"/>
      <c r="G62" s="144"/>
      <c r="H62" s="144"/>
      <c r="I62" s="144"/>
      <c r="J62" s="78" t="str">
        <f aca="false">IF(OR(G62="",H62="",I62=""),"",IFERROR(ROUND(IF(F62="Short",G62-I62,I62-G62)/ABS(G62-H62),2),""))</f>
        <v/>
      </c>
      <c r="K62" s="68" t="str">
        <f aca="false">IF(J62="","",IF(ABS(J62)&lt;=Settings!$C$6,"BE",IF(J62&gt;0,"Win","Loss")))</f>
        <v/>
      </c>
      <c r="L62" s="78" t="str">
        <f aca="false">IF(J62="","",ROUND(SUM(J$14:J62),2))</f>
        <v/>
      </c>
      <c r="M62" s="90"/>
    </row>
    <row r="63" customFormat="false" ht="15" hidden="false" customHeight="false" outlineLevel="0" collapsed="false">
      <c r="B63" s="68" t="str">
        <f aca="false">IF(C63="","",ROW()-13)</f>
        <v/>
      </c>
      <c r="C63" s="143"/>
      <c r="D63" s="89"/>
      <c r="E63" s="90"/>
      <c r="F63" s="89"/>
      <c r="G63" s="144"/>
      <c r="H63" s="144"/>
      <c r="I63" s="144"/>
      <c r="J63" s="78" t="str">
        <f aca="false">IF(OR(G63="",H63="",I63=""),"",IFERROR(ROUND(IF(F63="Short",G63-I63,I63-G63)/ABS(G63-H63),2),""))</f>
        <v/>
      </c>
      <c r="K63" s="68" t="str">
        <f aca="false">IF(J63="","",IF(ABS(J63)&lt;=Settings!$C$6,"BE",IF(J63&gt;0,"Win","Loss")))</f>
        <v/>
      </c>
      <c r="L63" s="78" t="str">
        <f aca="false">IF(J63="","",ROUND(SUM(J$14:J63),2))</f>
        <v/>
      </c>
      <c r="M63" s="90"/>
    </row>
    <row r="64" customFormat="false" ht="15" hidden="false" customHeight="false" outlineLevel="0" collapsed="false">
      <c r="B64" s="68" t="str">
        <f aca="false">IF(C64="","",ROW()-13)</f>
        <v/>
      </c>
      <c r="C64" s="143"/>
      <c r="D64" s="89"/>
      <c r="E64" s="90"/>
      <c r="F64" s="89"/>
      <c r="G64" s="144"/>
      <c r="H64" s="144"/>
      <c r="I64" s="144"/>
      <c r="J64" s="78" t="str">
        <f aca="false">IF(OR(G64="",H64="",I64=""),"",IFERROR(ROUND(IF(F64="Short",G64-I64,I64-G64)/ABS(G64-H64),2),""))</f>
        <v/>
      </c>
      <c r="K64" s="68" t="str">
        <f aca="false">IF(J64="","",IF(ABS(J64)&lt;=Settings!$C$6,"BE",IF(J64&gt;0,"Win","Loss")))</f>
        <v/>
      </c>
      <c r="L64" s="78" t="str">
        <f aca="false">IF(J64="","",ROUND(SUM(J$14:J64),2))</f>
        <v/>
      </c>
      <c r="M64" s="90"/>
    </row>
    <row r="65" customFormat="false" ht="15" hidden="false" customHeight="false" outlineLevel="0" collapsed="false">
      <c r="B65" s="68" t="str">
        <f aca="false">IF(C65="","",ROW()-13)</f>
        <v/>
      </c>
      <c r="C65" s="143"/>
      <c r="D65" s="89"/>
      <c r="E65" s="90"/>
      <c r="F65" s="89"/>
      <c r="G65" s="144"/>
      <c r="H65" s="144"/>
      <c r="I65" s="144"/>
      <c r="J65" s="78" t="str">
        <f aca="false">IF(OR(G65="",H65="",I65=""),"",IFERROR(ROUND(IF(F65="Short",G65-I65,I65-G65)/ABS(G65-H65),2),""))</f>
        <v/>
      </c>
      <c r="K65" s="68" t="str">
        <f aca="false">IF(J65="","",IF(ABS(J65)&lt;=Settings!$C$6,"BE",IF(J65&gt;0,"Win","Loss")))</f>
        <v/>
      </c>
      <c r="L65" s="78" t="str">
        <f aca="false">IF(J65="","",ROUND(SUM(J$14:J65),2))</f>
        <v/>
      </c>
      <c r="M65" s="90"/>
    </row>
    <row r="66" customFormat="false" ht="15" hidden="false" customHeight="false" outlineLevel="0" collapsed="false">
      <c r="B66" s="68" t="str">
        <f aca="false">IF(C66="","",ROW()-13)</f>
        <v/>
      </c>
      <c r="C66" s="143"/>
      <c r="D66" s="89"/>
      <c r="E66" s="90"/>
      <c r="F66" s="89"/>
      <c r="G66" s="144"/>
      <c r="H66" s="144"/>
      <c r="I66" s="144"/>
      <c r="J66" s="78" t="str">
        <f aca="false">IF(OR(G66="",H66="",I66=""),"",IFERROR(ROUND(IF(F66="Short",G66-I66,I66-G66)/ABS(G66-H66),2),""))</f>
        <v/>
      </c>
      <c r="K66" s="68" t="str">
        <f aca="false">IF(J66="","",IF(ABS(J66)&lt;=Settings!$C$6,"BE",IF(J66&gt;0,"Win","Loss")))</f>
        <v/>
      </c>
      <c r="L66" s="78" t="str">
        <f aca="false">IF(J66="","",ROUND(SUM(J$14:J66),2))</f>
        <v/>
      </c>
      <c r="M66" s="90"/>
    </row>
    <row r="67" customFormat="false" ht="15" hidden="false" customHeight="false" outlineLevel="0" collapsed="false">
      <c r="B67" s="68" t="str">
        <f aca="false">IF(C67="","",ROW()-13)</f>
        <v/>
      </c>
      <c r="C67" s="143"/>
      <c r="D67" s="89"/>
      <c r="E67" s="90"/>
      <c r="F67" s="89"/>
      <c r="G67" s="144"/>
      <c r="H67" s="144"/>
      <c r="I67" s="144"/>
      <c r="J67" s="78" t="str">
        <f aca="false">IF(OR(G67="",H67="",I67=""),"",IFERROR(ROUND(IF(F67="Short",G67-I67,I67-G67)/ABS(G67-H67),2),""))</f>
        <v/>
      </c>
      <c r="K67" s="68" t="str">
        <f aca="false">IF(J67="","",IF(ABS(J67)&lt;=Settings!$C$6,"BE",IF(J67&gt;0,"Win","Loss")))</f>
        <v/>
      </c>
      <c r="L67" s="78" t="str">
        <f aca="false">IF(J67="","",ROUND(SUM(J$14:J67),2))</f>
        <v/>
      </c>
      <c r="M67" s="90"/>
    </row>
    <row r="68" customFormat="false" ht="15" hidden="false" customHeight="false" outlineLevel="0" collapsed="false">
      <c r="B68" s="68" t="str">
        <f aca="false">IF(C68="","",ROW()-13)</f>
        <v/>
      </c>
      <c r="C68" s="143"/>
      <c r="D68" s="89"/>
      <c r="E68" s="90"/>
      <c r="F68" s="89"/>
      <c r="G68" s="144"/>
      <c r="H68" s="144"/>
      <c r="I68" s="144"/>
      <c r="J68" s="78" t="str">
        <f aca="false">IF(OR(G68="",H68="",I68=""),"",IFERROR(ROUND(IF(F68="Short",G68-I68,I68-G68)/ABS(G68-H68),2),""))</f>
        <v/>
      </c>
      <c r="K68" s="68" t="str">
        <f aca="false">IF(J68="","",IF(ABS(J68)&lt;=Settings!$C$6,"BE",IF(J68&gt;0,"Win","Loss")))</f>
        <v/>
      </c>
      <c r="L68" s="78" t="str">
        <f aca="false">IF(J68="","",ROUND(SUM(J$14:J68),2))</f>
        <v/>
      </c>
      <c r="M68" s="90"/>
    </row>
    <row r="69" customFormat="false" ht="15" hidden="false" customHeight="false" outlineLevel="0" collapsed="false">
      <c r="B69" s="68" t="str">
        <f aca="false">IF(C69="","",ROW()-13)</f>
        <v/>
      </c>
      <c r="C69" s="143"/>
      <c r="D69" s="89"/>
      <c r="E69" s="90"/>
      <c r="F69" s="89"/>
      <c r="G69" s="144"/>
      <c r="H69" s="144"/>
      <c r="I69" s="144"/>
      <c r="J69" s="78" t="str">
        <f aca="false">IF(OR(G69="",H69="",I69=""),"",IFERROR(ROUND(IF(F69="Short",G69-I69,I69-G69)/ABS(G69-H69),2),""))</f>
        <v/>
      </c>
      <c r="K69" s="68" t="str">
        <f aca="false">IF(J69="","",IF(ABS(J69)&lt;=Settings!$C$6,"BE",IF(J69&gt;0,"Win","Loss")))</f>
        <v/>
      </c>
      <c r="L69" s="78" t="str">
        <f aca="false">IF(J69="","",ROUND(SUM(J$14:J69),2))</f>
        <v/>
      </c>
      <c r="M69" s="90"/>
    </row>
    <row r="70" customFormat="false" ht="15" hidden="false" customHeight="false" outlineLevel="0" collapsed="false">
      <c r="B70" s="68" t="str">
        <f aca="false">IF(C70="","",ROW()-13)</f>
        <v/>
      </c>
      <c r="C70" s="143"/>
      <c r="D70" s="89"/>
      <c r="E70" s="90"/>
      <c r="F70" s="89"/>
      <c r="G70" s="144"/>
      <c r="H70" s="144"/>
      <c r="I70" s="144"/>
      <c r="J70" s="78" t="str">
        <f aca="false">IF(OR(G70="",H70="",I70=""),"",IFERROR(ROUND(IF(F70="Short",G70-I70,I70-G70)/ABS(G70-H70),2),""))</f>
        <v/>
      </c>
      <c r="K70" s="68" t="str">
        <f aca="false">IF(J70="","",IF(ABS(J70)&lt;=Settings!$C$6,"BE",IF(J70&gt;0,"Win","Loss")))</f>
        <v/>
      </c>
      <c r="L70" s="78" t="str">
        <f aca="false">IF(J70="","",ROUND(SUM(J$14:J70),2))</f>
        <v/>
      </c>
      <c r="M70" s="90"/>
    </row>
    <row r="71" customFormat="false" ht="15" hidden="false" customHeight="false" outlineLevel="0" collapsed="false">
      <c r="B71" s="68" t="str">
        <f aca="false">IF(C71="","",ROW()-13)</f>
        <v/>
      </c>
      <c r="C71" s="143"/>
      <c r="D71" s="89"/>
      <c r="E71" s="90"/>
      <c r="F71" s="89"/>
      <c r="G71" s="144"/>
      <c r="H71" s="144"/>
      <c r="I71" s="144"/>
      <c r="J71" s="78" t="str">
        <f aca="false">IF(OR(G71="",H71="",I71=""),"",IFERROR(ROUND(IF(F71="Short",G71-I71,I71-G71)/ABS(G71-H71),2),""))</f>
        <v/>
      </c>
      <c r="K71" s="68" t="str">
        <f aca="false">IF(J71="","",IF(ABS(J71)&lt;=Settings!$C$6,"BE",IF(J71&gt;0,"Win","Loss")))</f>
        <v/>
      </c>
      <c r="L71" s="78" t="str">
        <f aca="false">IF(J71="","",ROUND(SUM(J$14:J71),2))</f>
        <v/>
      </c>
      <c r="M71" s="90"/>
    </row>
    <row r="72" customFormat="false" ht="15" hidden="false" customHeight="false" outlineLevel="0" collapsed="false">
      <c r="B72" s="68" t="str">
        <f aca="false">IF(C72="","",ROW()-13)</f>
        <v/>
      </c>
      <c r="C72" s="143"/>
      <c r="D72" s="89"/>
      <c r="E72" s="90"/>
      <c r="F72" s="89"/>
      <c r="G72" s="144"/>
      <c r="H72" s="144"/>
      <c r="I72" s="144"/>
      <c r="J72" s="78" t="str">
        <f aca="false">IF(OR(G72="",H72="",I72=""),"",IFERROR(ROUND(IF(F72="Short",G72-I72,I72-G72)/ABS(G72-H72),2),""))</f>
        <v/>
      </c>
      <c r="K72" s="68" t="str">
        <f aca="false">IF(J72="","",IF(ABS(J72)&lt;=Settings!$C$6,"BE",IF(J72&gt;0,"Win","Loss")))</f>
        <v/>
      </c>
      <c r="L72" s="78" t="str">
        <f aca="false">IF(J72="","",ROUND(SUM(J$14:J72),2))</f>
        <v/>
      </c>
      <c r="M72" s="90"/>
    </row>
    <row r="73" customFormat="false" ht="15" hidden="false" customHeight="false" outlineLevel="0" collapsed="false">
      <c r="B73" s="68" t="str">
        <f aca="false">IF(C73="","",ROW()-13)</f>
        <v/>
      </c>
      <c r="C73" s="143"/>
      <c r="D73" s="89"/>
      <c r="E73" s="90"/>
      <c r="F73" s="89"/>
      <c r="G73" s="144"/>
      <c r="H73" s="144"/>
      <c r="I73" s="144"/>
      <c r="J73" s="78" t="str">
        <f aca="false">IF(OR(G73="",H73="",I73=""),"",IFERROR(ROUND(IF(F73="Short",G73-I73,I73-G73)/ABS(G73-H73),2),""))</f>
        <v/>
      </c>
      <c r="K73" s="68" t="str">
        <f aca="false">IF(J73="","",IF(ABS(J73)&lt;=Settings!$C$6,"BE",IF(J73&gt;0,"Win","Loss")))</f>
        <v/>
      </c>
      <c r="L73" s="78" t="str">
        <f aca="false">IF(J73="","",ROUND(SUM(J$14:J73),2))</f>
        <v/>
      </c>
      <c r="M73" s="90"/>
    </row>
    <row r="74" customFormat="false" ht="15" hidden="false" customHeight="false" outlineLevel="0" collapsed="false">
      <c r="B74" s="68" t="str">
        <f aca="false">IF(C74="","",ROW()-13)</f>
        <v/>
      </c>
      <c r="C74" s="143"/>
      <c r="D74" s="89"/>
      <c r="E74" s="90"/>
      <c r="F74" s="89"/>
      <c r="G74" s="144"/>
      <c r="H74" s="144"/>
      <c r="I74" s="144"/>
      <c r="J74" s="78" t="str">
        <f aca="false">IF(OR(G74="",H74="",I74=""),"",IFERROR(ROUND(IF(F74="Short",G74-I74,I74-G74)/ABS(G74-H74),2),""))</f>
        <v/>
      </c>
      <c r="K74" s="68" t="str">
        <f aca="false">IF(J74="","",IF(ABS(J74)&lt;=Settings!$C$6,"BE",IF(J74&gt;0,"Win","Loss")))</f>
        <v/>
      </c>
      <c r="L74" s="78" t="str">
        <f aca="false">IF(J74="","",ROUND(SUM(J$14:J74),2))</f>
        <v/>
      </c>
      <c r="M74" s="90"/>
    </row>
    <row r="75" customFormat="false" ht="15" hidden="false" customHeight="false" outlineLevel="0" collapsed="false">
      <c r="B75" s="68" t="str">
        <f aca="false">IF(C75="","",ROW()-13)</f>
        <v/>
      </c>
      <c r="C75" s="143"/>
      <c r="D75" s="89"/>
      <c r="E75" s="90"/>
      <c r="F75" s="89"/>
      <c r="G75" s="144"/>
      <c r="H75" s="144"/>
      <c r="I75" s="144"/>
      <c r="J75" s="78" t="str">
        <f aca="false">IF(OR(G75="",H75="",I75=""),"",IFERROR(ROUND(IF(F75="Short",G75-I75,I75-G75)/ABS(G75-H75),2),""))</f>
        <v/>
      </c>
      <c r="K75" s="68" t="str">
        <f aca="false">IF(J75="","",IF(ABS(J75)&lt;=Settings!$C$6,"BE",IF(J75&gt;0,"Win","Loss")))</f>
        <v/>
      </c>
      <c r="L75" s="78" t="str">
        <f aca="false">IF(J75="","",ROUND(SUM(J$14:J75),2))</f>
        <v/>
      </c>
      <c r="M75" s="90"/>
    </row>
    <row r="76" customFormat="false" ht="15" hidden="false" customHeight="false" outlineLevel="0" collapsed="false">
      <c r="B76" s="68" t="str">
        <f aca="false">IF(C76="","",ROW()-13)</f>
        <v/>
      </c>
      <c r="C76" s="143"/>
      <c r="D76" s="89"/>
      <c r="E76" s="90"/>
      <c r="F76" s="89"/>
      <c r="G76" s="144"/>
      <c r="H76" s="144"/>
      <c r="I76" s="144"/>
      <c r="J76" s="78" t="str">
        <f aca="false">IF(OR(G76="",H76="",I76=""),"",IFERROR(ROUND(IF(F76="Short",G76-I76,I76-G76)/ABS(G76-H76),2),""))</f>
        <v/>
      </c>
      <c r="K76" s="68" t="str">
        <f aca="false">IF(J76="","",IF(ABS(J76)&lt;=Settings!$C$6,"BE",IF(J76&gt;0,"Win","Loss")))</f>
        <v/>
      </c>
      <c r="L76" s="78" t="str">
        <f aca="false">IF(J76="","",ROUND(SUM(J$14:J76),2))</f>
        <v/>
      </c>
      <c r="M76" s="90"/>
    </row>
    <row r="77" customFormat="false" ht="15" hidden="false" customHeight="false" outlineLevel="0" collapsed="false">
      <c r="B77" s="68" t="str">
        <f aca="false">IF(C77="","",ROW()-13)</f>
        <v/>
      </c>
      <c r="C77" s="143"/>
      <c r="D77" s="89"/>
      <c r="E77" s="90"/>
      <c r="F77" s="89"/>
      <c r="G77" s="144"/>
      <c r="H77" s="144"/>
      <c r="I77" s="144"/>
      <c r="J77" s="78" t="str">
        <f aca="false">IF(OR(G77="",H77="",I77=""),"",IFERROR(ROUND(IF(F77="Short",G77-I77,I77-G77)/ABS(G77-H77),2),""))</f>
        <v/>
      </c>
      <c r="K77" s="68" t="str">
        <f aca="false">IF(J77="","",IF(ABS(J77)&lt;=Settings!$C$6,"BE",IF(J77&gt;0,"Win","Loss")))</f>
        <v/>
      </c>
      <c r="L77" s="78" t="str">
        <f aca="false">IF(J77="","",ROUND(SUM(J$14:J77),2))</f>
        <v/>
      </c>
      <c r="M77" s="90"/>
    </row>
    <row r="78" customFormat="false" ht="15" hidden="false" customHeight="false" outlineLevel="0" collapsed="false">
      <c r="B78" s="68" t="str">
        <f aca="false">IF(C78="","",ROW()-13)</f>
        <v/>
      </c>
      <c r="C78" s="143"/>
      <c r="D78" s="89"/>
      <c r="E78" s="90"/>
      <c r="F78" s="89"/>
      <c r="G78" s="144"/>
      <c r="H78" s="144"/>
      <c r="I78" s="144"/>
      <c r="J78" s="78" t="str">
        <f aca="false">IF(OR(G78="",H78="",I78=""),"",IFERROR(ROUND(IF(F78="Short",G78-I78,I78-G78)/ABS(G78-H78),2),""))</f>
        <v/>
      </c>
      <c r="K78" s="68" t="str">
        <f aca="false">IF(J78="","",IF(ABS(J78)&lt;=Settings!$C$6,"BE",IF(J78&gt;0,"Win","Loss")))</f>
        <v/>
      </c>
      <c r="L78" s="78" t="str">
        <f aca="false">IF(J78="","",ROUND(SUM(J$14:J78),2))</f>
        <v/>
      </c>
      <c r="M78" s="90"/>
    </row>
    <row r="79" customFormat="false" ht="15" hidden="false" customHeight="false" outlineLevel="0" collapsed="false">
      <c r="B79" s="68" t="str">
        <f aca="false">IF(C79="","",ROW()-13)</f>
        <v/>
      </c>
      <c r="C79" s="143"/>
      <c r="D79" s="89"/>
      <c r="E79" s="90"/>
      <c r="F79" s="89"/>
      <c r="G79" s="144"/>
      <c r="H79" s="144"/>
      <c r="I79" s="144"/>
      <c r="J79" s="78" t="str">
        <f aca="false">IF(OR(G79="",H79="",I79=""),"",IFERROR(ROUND(IF(F79="Short",G79-I79,I79-G79)/ABS(G79-H79),2),""))</f>
        <v/>
      </c>
      <c r="K79" s="68" t="str">
        <f aca="false">IF(J79="","",IF(ABS(J79)&lt;=Settings!$C$6,"BE",IF(J79&gt;0,"Win","Loss")))</f>
        <v/>
      </c>
      <c r="L79" s="78" t="str">
        <f aca="false">IF(J79="","",ROUND(SUM(J$14:J79),2))</f>
        <v/>
      </c>
      <c r="M79" s="90"/>
    </row>
    <row r="80" customFormat="false" ht="15" hidden="false" customHeight="false" outlineLevel="0" collapsed="false">
      <c r="B80" s="68" t="str">
        <f aca="false">IF(C80="","",ROW()-13)</f>
        <v/>
      </c>
      <c r="C80" s="143"/>
      <c r="D80" s="89"/>
      <c r="E80" s="90"/>
      <c r="F80" s="89"/>
      <c r="G80" s="144"/>
      <c r="H80" s="144"/>
      <c r="I80" s="144"/>
      <c r="J80" s="78" t="str">
        <f aca="false">IF(OR(G80="",H80="",I80=""),"",IFERROR(ROUND(IF(F80="Short",G80-I80,I80-G80)/ABS(G80-H80),2),""))</f>
        <v/>
      </c>
      <c r="K80" s="68" t="str">
        <f aca="false">IF(J80="","",IF(ABS(J80)&lt;=Settings!$C$6,"BE",IF(J80&gt;0,"Win","Loss")))</f>
        <v/>
      </c>
      <c r="L80" s="78" t="str">
        <f aca="false">IF(J80="","",ROUND(SUM(J$14:J80),2))</f>
        <v/>
      </c>
      <c r="M80" s="90"/>
    </row>
    <row r="81" customFormat="false" ht="15" hidden="false" customHeight="false" outlineLevel="0" collapsed="false">
      <c r="B81" s="68" t="str">
        <f aca="false">IF(C81="","",ROW()-13)</f>
        <v/>
      </c>
      <c r="C81" s="143"/>
      <c r="D81" s="89"/>
      <c r="E81" s="90"/>
      <c r="F81" s="89"/>
      <c r="G81" s="144"/>
      <c r="H81" s="144"/>
      <c r="I81" s="144"/>
      <c r="J81" s="78" t="str">
        <f aca="false">IF(OR(G81="",H81="",I81=""),"",IFERROR(ROUND(IF(F81="Short",G81-I81,I81-G81)/ABS(G81-H81),2),""))</f>
        <v/>
      </c>
      <c r="K81" s="68" t="str">
        <f aca="false">IF(J81="","",IF(ABS(J81)&lt;=Settings!$C$6,"BE",IF(J81&gt;0,"Win","Loss")))</f>
        <v/>
      </c>
      <c r="L81" s="78" t="str">
        <f aca="false">IF(J81="","",ROUND(SUM(J$14:J81),2))</f>
        <v/>
      </c>
      <c r="M81" s="90"/>
    </row>
    <row r="82" customFormat="false" ht="15" hidden="false" customHeight="false" outlineLevel="0" collapsed="false">
      <c r="B82" s="68" t="str">
        <f aca="false">IF(C82="","",ROW()-13)</f>
        <v/>
      </c>
      <c r="C82" s="143"/>
      <c r="D82" s="89"/>
      <c r="E82" s="90"/>
      <c r="F82" s="89"/>
      <c r="G82" s="144"/>
      <c r="H82" s="144"/>
      <c r="I82" s="144"/>
      <c r="J82" s="78" t="str">
        <f aca="false">IF(OR(G82="",H82="",I82=""),"",IFERROR(ROUND(IF(F82="Short",G82-I82,I82-G82)/ABS(G82-H82),2),""))</f>
        <v/>
      </c>
      <c r="K82" s="68" t="str">
        <f aca="false">IF(J82="","",IF(ABS(J82)&lt;=Settings!$C$6,"BE",IF(J82&gt;0,"Win","Loss")))</f>
        <v/>
      </c>
      <c r="L82" s="78" t="str">
        <f aca="false">IF(J82="","",ROUND(SUM(J$14:J82),2))</f>
        <v/>
      </c>
      <c r="M82" s="90"/>
    </row>
    <row r="83" customFormat="false" ht="15" hidden="false" customHeight="false" outlineLevel="0" collapsed="false">
      <c r="B83" s="68" t="str">
        <f aca="false">IF(C83="","",ROW()-13)</f>
        <v/>
      </c>
      <c r="C83" s="143"/>
      <c r="D83" s="89"/>
      <c r="E83" s="90"/>
      <c r="F83" s="89"/>
      <c r="G83" s="144"/>
      <c r="H83" s="144"/>
      <c r="I83" s="144"/>
      <c r="J83" s="78" t="str">
        <f aca="false">IF(OR(G83="",H83="",I83=""),"",IFERROR(ROUND(IF(F83="Short",G83-I83,I83-G83)/ABS(G83-H83),2),""))</f>
        <v/>
      </c>
      <c r="K83" s="68" t="str">
        <f aca="false">IF(J83="","",IF(ABS(J83)&lt;=Settings!$C$6,"BE",IF(J83&gt;0,"Win","Loss")))</f>
        <v/>
      </c>
      <c r="L83" s="78" t="str">
        <f aca="false">IF(J83="","",ROUND(SUM(J$14:J83),2))</f>
        <v/>
      </c>
      <c r="M83" s="90"/>
    </row>
    <row r="84" customFormat="false" ht="15" hidden="false" customHeight="false" outlineLevel="0" collapsed="false">
      <c r="B84" s="68" t="str">
        <f aca="false">IF(C84="","",ROW()-13)</f>
        <v/>
      </c>
      <c r="C84" s="143"/>
      <c r="D84" s="89"/>
      <c r="E84" s="90"/>
      <c r="F84" s="89"/>
      <c r="G84" s="144"/>
      <c r="H84" s="144"/>
      <c r="I84" s="144"/>
      <c r="J84" s="78" t="str">
        <f aca="false">IF(OR(G84="",H84="",I84=""),"",IFERROR(ROUND(IF(F84="Short",G84-I84,I84-G84)/ABS(G84-H84),2),""))</f>
        <v/>
      </c>
      <c r="K84" s="68" t="str">
        <f aca="false">IF(J84="","",IF(ABS(J84)&lt;=Settings!$C$6,"BE",IF(J84&gt;0,"Win","Loss")))</f>
        <v/>
      </c>
      <c r="L84" s="78" t="str">
        <f aca="false">IF(J84="","",ROUND(SUM(J$14:J84),2))</f>
        <v/>
      </c>
      <c r="M84" s="90"/>
    </row>
    <row r="85" customFormat="false" ht="15" hidden="false" customHeight="false" outlineLevel="0" collapsed="false">
      <c r="B85" s="68" t="str">
        <f aca="false">IF(C85="","",ROW()-13)</f>
        <v/>
      </c>
      <c r="C85" s="143"/>
      <c r="D85" s="89"/>
      <c r="E85" s="90"/>
      <c r="F85" s="89"/>
      <c r="G85" s="144"/>
      <c r="H85" s="144"/>
      <c r="I85" s="144"/>
      <c r="J85" s="78" t="str">
        <f aca="false">IF(OR(G85="",H85="",I85=""),"",IFERROR(ROUND(IF(F85="Short",G85-I85,I85-G85)/ABS(G85-H85),2),""))</f>
        <v/>
      </c>
      <c r="K85" s="68" t="str">
        <f aca="false">IF(J85="","",IF(ABS(J85)&lt;=Settings!$C$6,"BE",IF(J85&gt;0,"Win","Loss")))</f>
        <v/>
      </c>
      <c r="L85" s="78" t="str">
        <f aca="false">IF(J85="","",ROUND(SUM(J$14:J85),2))</f>
        <v/>
      </c>
      <c r="M85" s="90"/>
    </row>
    <row r="86" customFormat="false" ht="15" hidden="false" customHeight="false" outlineLevel="0" collapsed="false">
      <c r="B86" s="68" t="str">
        <f aca="false">IF(C86="","",ROW()-13)</f>
        <v/>
      </c>
      <c r="C86" s="143"/>
      <c r="D86" s="89"/>
      <c r="E86" s="90"/>
      <c r="F86" s="89"/>
      <c r="G86" s="144"/>
      <c r="H86" s="144"/>
      <c r="I86" s="144"/>
      <c r="J86" s="78" t="str">
        <f aca="false">IF(OR(G86="",H86="",I86=""),"",IFERROR(ROUND(IF(F86="Short",G86-I86,I86-G86)/ABS(G86-H86),2),""))</f>
        <v/>
      </c>
      <c r="K86" s="68" t="str">
        <f aca="false">IF(J86="","",IF(ABS(J86)&lt;=Settings!$C$6,"BE",IF(J86&gt;0,"Win","Loss")))</f>
        <v/>
      </c>
      <c r="L86" s="78" t="str">
        <f aca="false">IF(J86="","",ROUND(SUM(J$14:J86),2))</f>
        <v/>
      </c>
      <c r="M86" s="90"/>
    </row>
    <row r="87" customFormat="false" ht="15" hidden="false" customHeight="false" outlineLevel="0" collapsed="false">
      <c r="B87" s="68" t="str">
        <f aca="false">IF(C87="","",ROW()-13)</f>
        <v/>
      </c>
      <c r="C87" s="143"/>
      <c r="D87" s="89"/>
      <c r="E87" s="90"/>
      <c r="F87" s="89"/>
      <c r="G87" s="144"/>
      <c r="H87" s="144"/>
      <c r="I87" s="144"/>
      <c r="J87" s="78" t="str">
        <f aca="false">IF(OR(G87="",H87="",I87=""),"",IFERROR(ROUND(IF(F87="Short",G87-I87,I87-G87)/ABS(G87-H87),2),""))</f>
        <v/>
      </c>
      <c r="K87" s="68" t="str">
        <f aca="false">IF(J87="","",IF(ABS(J87)&lt;=Settings!$C$6,"BE",IF(J87&gt;0,"Win","Loss")))</f>
        <v/>
      </c>
      <c r="L87" s="78" t="str">
        <f aca="false">IF(J87="","",ROUND(SUM(J$14:J87),2))</f>
        <v/>
      </c>
      <c r="M87" s="90"/>
    </row>
    <row r="88" customFormat="false" ht="15" hidden="false" customHeight="false" outlineLevel="0" collapsed="false">
      <c r="B88" s="68" t="str">
        <f aca="false">IF(C88="","",ROW()-13)</f>
        <v/>
      </c>
      <c r="C88" s="143"/>
      <c r="D88" s="89"/>
      <c r="E88" s="90"/>
      <c r="F88" s="89"/>
      <c r="G88" s="144"/>
      <c r="H88" s="144"/>
      <c r="I88" s="144"/>
      <c r="J88" s="78" t="str">
        <f aca="false">IF(OR(G88="",H88="",I88=""),"",IFERROR(ROUND(IF(F88="Short",G88-I88,I88-G88)/ABS(G88-H88),2),""))</f>
        <v/>
      </c>
      <c r="K88" s="68" t="str">
        <f aca="false">IF(J88="","",IF(ABS(J88)&lt;=Settings!$C$6,"BE",IF(J88&gt;0,"Win","Loss")))</f>
        <v/>
      </c>
      <c r="L88" s="78" t="str">
        <f aca="false">IF(J88="","",ROUND(SUM(J$14:J88),2))</f>
        <v/>
      </c>
      <c r="M88" s="90"/>
    </row>
    <row r="89" customFormat="false" ht="15" hidden="false" customHeight="false" outlineLevel="0" collapsed="false">
      <c r="B89" s="68" t="str">
        <f aca="false">IF(C89="","",ROW()-13)</f>
        <v/>
      </c>
      <c r="C89" s="143"/>
      <c r="D89" s="89"/>
      <c r="E89" s="90"/>
      <c r="F89" s="89"/>
      <c r="G89" s="144"/>
      <c r="H89" s="144"/>
      <c r="I89" s="144"/>
      <c r="J89" s="78" t="str">
        <f aca="false">IF(OR(G89="",H89="",I89=""),"",IFERROR(ROUND(IF(F89="Short",G89-I89,I89-G89)/ABS(G89-H89),2),""))</f>
        <v/>
      </c>
      <c r="K89" s="68" t="str">
        <f aca="false">IF(J89="","",IF(ABS(J89)&lt;=Settings!$C$6,"BE",IF(J89&gt;0,"Win","Loss")))</f>
        <v/>
      </c>
      <c r="L89" s="78" t="str">
        <f aca="false">IF(J89="","",ROUND(SUM(J$14:J89),2))</f>
        <v/>
      </c>
      <c r="M89" s="90"/>
    </row>
    <row r="90" customFormat="false" ht="15" hidden="false" customHeight="false" outlineLevel="0" collapsed="false">
      <c r="B90" s="68" t="str">
        <f aca="false">IF(C90="","",ROW()-13)</f>
        <v/>
      </c>
      <c r="C90" s="143"/>
      <c r="D90" s="89"/>
      <c r="E90" s="90"/>
      <c r="F90" s="89"/>
      <c r="G90" s="144"/>
      <c r="H90" s="144"/>
      <c r="I90" s="144"/>
      <c r="J90" s="78" t="str">
        <f aca="false">IF(OR(G90="",H90="",I90=""),"",IFERROR(ROUND(IF(F90="Short",G90-I90,I90-G90)/ABS(G90-H90),2),""))</f>
        <v/>
      </c>
      <c r="K90" s="68" t="str">
        <f aca="false">IF(J90="","",IF(ABS(J90)&lt;=Settings!$C$6,"BE",IF(J90&gt;0,"Win","Loss")))</f>
        <v/>
      </c>
      <c r="L90" s="78" t="str">
        <f aca="false">IF(J90="","",ROUND(SUM(J$14:J90),2))</f>
        <v/>
      </c>
      <c r="M90" s="90"/>
    </row>
    <row r="91" customFormat="false" ht="15" hidden="false" customHeight="false" outlineLevel="0" collapsed="false">
      <c r="B91" s="68" t="str">
        <f aca="false">IF(C91="","",ROW()-13)</f>
        <v/>
      </c>
      <c r="C91" s="143"/>
      <c r="D91" s="89"/>
      <c r="E91" s="90"/>
      <c r="F91" s="89"/>
      <c r="G91" s="144"/>
      <c r="H91" s="144"/>
      <c r="I91" s="144"/>
      <c r="J91" s="78" t="str">
        <f aca="false">IF(OR(G91="",H91="",I91=""),"",IFERROR(ROUND(IF(F91="Short",G91-I91,I91-G91)/ABS(G91-H91),2),""))</f>
        <v/>
      </c>
      <c r="K91" s="68" t="str">
        <f aca="false">IF(J91="","",IF(ABS(J91)&lt;=Settings!$C$6,"BE",IF(J91&gt;0,"Win","Loss")))</f>
        <v/>
      </c>
      <c r="L91" s="78" t="str">
        <f aca="false">IF(J91="","",ROUND(SUM(J$14:J91),2))</f>
        <v/>
      </c>
      <c r="M91" s="90"/>
    </row>
    <row r="92" customFormat="false" ht="15" hidden="false" customHeight="false" outlineLevel="0" collapsed="false">
      <c r="B92" s="68" t="str">
        <f aca="false">IF(C92="","",ROW()-13)</f>
        <v/>
      </c>
      <c r="C92" s="143"/>
      <c r="D92" s="89"/>
      <c r="E92" s="90"/>
      <c r="F92" s="89"/>
      <c r="G92" s="144"/>
      <c r="H92" s="144"/>
      <c r="I92" s="144"/>
      <c r="J92" s="78" t="str">
        <f aca="false">IF(OR(G92="",H92="",I92=""),"",IFERROR(ROUND(IF(F92="Short",G92-I92,I92-G92)/ABS(G92-H92),2),""))</f>
        <v/>
      </c>
      <c r="K92" s="68" t="str">
        <f aca="false">IF(J92="","",IF(ABS(J92)&lt;=Settings!$C$6,"BE",IF(J92&gt;0,"Win","Loss")))</f>
        <v/>
      </c>
      <c r="L92" s="78" t="str">
        <f aca="false">IF(J92="","",ROUND(SUM(J$14:J92),2))</f>
        <v/>
      </c>
      <c r="M92" s="90"/>
    </row>
    <row r="93" customFormat="false" ht="15" hidden="false" customHeight="false" outlineLevel="0" collapsed="false">
      <c r="B93" s="68" t="str">
        <f aca="false">IF(C93="","",ROW()-13)</f>
        <v/>
      </c>
      <c r="C93" s="143"/>
      <c r="D93" s="89"/>
      <c r="E93" s="90"/>
      <c r="F93" s="89"/>
      <c r="G93" s="144"/>
      <c r="H93" s="144"/>
      <c r="I93" s="144"/>
      <c r="J93" s="78" t="str">
        <f aca="false">IF(OR(G93="",H93="",I93=""),"",IFERROR(ROUND(IF(F93="Short",G93-I93,I93-G93)/ABS(G93-H93),2),""))</f>
        <v/>
      </c>
      <c r="K93" s="68" t="str">
        <f aca="false">IF(J93="","",IF(ABS(J93)&lt;=Settings!$C$6,"BE",IF(J93&gt;0,"Win","Loss")))</f>
        <v/>
      </c>
      <c r="L93" s="78" t="str">
        <f aca="false">IF(J93="","",ROUND(SUM(J$14:J93),2))</f>
        <v/>
      </c>
      <c r="M93" s="90"/>
    </row>
    <row r="94" customFormat="false" ht="15" hidden="false" customHeight="false" outlineLevel="0" collapsed="false">
      <c r="B94" s="68" t="str">
        <f aca="false">IF(C94="","",ROW()-13)</f>
        <v/>
      </c>
      <c r="C94" s="143"/>
      <c r="D94" s="89"/>
      <c r="E94" s="90"/>
      <c r="F94" s="89"/>
      <c r="G94" s="144"/>
      <c r="H94" s="144"/>
      <c r="I94" s="144"/>
      <c r="J94" s="78" t="str">
        <f aca="false">IF(OR(G94="",H94="",I94=""),"",IFERROR(ROUND(IF(F94="Short",G94-I94,I94-G94)/ABS(G94-H94),2),""))</f>
        <v/>
      </c>
      <c r="K94" s="68" t="str">
        <f aca="false">IF(J94="","",IF(ABS(J94)&lt;=Settings!$C$6,"BE",IF(J94&gt;0,"Win","Loss")))</f>
        <v/>
      </c>
      <c r="L94" s="78" t="str">
        <f aca="false">IF(J94="","",ROUND(SUM(J$14:J94),2))</f>
        <v/>
      </c>
      <c r="M94" s="90"/>
    </row>
    <row r="95" customFormat="false" ht="15" hidden="false" customHeight="false" outlineLevel="0" collapsed="false">
      <c r="B95" s="68" t="str">
        <f aca="false">IF(C95="","",ROW()-13)</f>
        <v/>
      </c>
      <c r="C95" s="143"/>
      <c r="D95" s="89"/>
      <c r="E95" s="90"/>
      <c r="F95" s="89"/>
      <c r="G95" s="144"/>
      <c r="H95" s="144"/>
      <c r="I95" s="144"/>
      <c r="J95" s="78" t="str">
        <f aca="false">IF(OR(G95="",H95="",I95=""),"",IFERROR(ROUND(IF(F95="Short",G95-I95,I95-G95)/ABS(G95-H95),2),""))</f>
        <v/>
      </c>
      <c r="K95" s="68" t="str">
        <f aca="false">IF(J95="","",IF(ABS(J95)&lt;=Settings!$C$6,"BE",IF(J95&gt;0,"Win","Loss")))</f>
        <v/>
      </c>
      <c r="L95" s="78" t="str">
        <f aca="false">IF(J95="","",ROUND(SUM(J$14:J95),2))</f>
        <v/>
      </c>
      <c r="M95" s="90"/>
    </row>
    <row r="96" customFormat="false" ht="15" hidden="false" customHeight="false" outlineLevel="0" collapsed="false">
      <c r="B96" s="68" t="str">
        <f aca="false">IF(C96="","",ROW()-13)</f>
        <v/>
      </c>
      <c r="C96" s="143"/>
      <c r="D96" s="89"/>
      <c r="E96" s="90"/>
      <c r="F96" s="89"/>
      <c r="G96" s="144"/>
      <c r="H96" s="144"/>
      <c r="I96" s="144"/>
      <c r="J96" s="78" t="str">
        <f aca="false">IF(OR(G96="",H96="",I96=""),"",IFERROR(ROUND(IF(F96="Short",G96-I96,I96-G96)/ABS(G96-H96),2),""))</f>
        <v/>
      </c>
      <c r="K96" s="68" t="str">
        <f aca="false">IF(J96="","",IF(ABS(J96)&lt;=Settings!$C$6,"BE",IF(J96&gt;0,"Win","Loss")))</f>
        <v/>
      </c>
      <c r="L96" s="78" t="str">
        <f aca="false">IF(J96="","",ROUND(SUM(J$14:J96),2))</f>
        <v/>
      </c>
      <c r="M96" s="90"/>
    </row>
    <row r="97" customFormat="false" ht="15" hidden="false" customHeight="false" outlineLevel="0" collapsed="false">
      <c r="B97" s="68" t="str">
        <f aca="false">IF(C97="","",ROW()-13)</f>
        <v/>
      </c>
      <c r="C97" s="143"/>
      <c r="D97" s="89"/>
      <c r="E97" s="90"/>
      <c r="F97" s="89"/>
      <c r="G97" s="144"/>
      <c r="H97" s="144"/>
      <c r="I97" s="144"/>
      <c r="J97" s="78" t="str">
        <f aca="false">IF(OR(G97="",H97="",I97=""),"",IFERROR(ROUND(IF(F97="Short",G97-I97,I97-G97)/ABS(G97-H97),2),""))</f>
        <v/>
      </c>
      <c r="K97" s="68" t="str">
        <f aca="false">IF(J97="","",IF(ABS(J97)&lt;=Settings!$C$6,"BE",IF(J97&gt;0,"Win","Loss")))</f>
        <v/>
      </c>
      <c r="L97" s="78" t="str">
        <f aca="false">IF(J97="","",ROUND(SUM(J$14:J97),2))</f>
        <v/>
      </c>
      <c r="M97" s="90"/>
    </row>
    <row r="98" customFormat="false" ht="15" hidden="false" customHeight="false" outlineLevel="0" collapsed="false">
      <c r="B98" s="68" t="str">
        <f aca="false">IF(C98="","",ROW()-13)</f>
        <v/>
      </c>
      <c r="C98" s="143"/>
      <c r="D98" s="89"/>
      <c r="E98" s="90"/>
      <c r="F98" s="89"/>
      <c r="G98" s="144"/>
      <c r="H98" s="144"/>
      <c r="I98" s="144"/>
      <c r="J98" s="78" t="str">
        <f aca="false">IF(OR(G98="",H98="",I98=""),"",IFERROR(ROUND(IF(F98="Short",G98-I98,I98-G98)/ABS(G98-H98),2),""))</f>
        <v/>
      </c>
      <c r="K98" s="68" t="str">
        <f aca="false">IF(J98="","",IF(ABS(J98)&lt;=Settings!$C$6,"BE",IF(J98&gt;0,"Win","Loss")))</f>
        <v/>
      </c>
      <c r="L98" s="78" t="str">
        <f aca="false">IF(J98="","",ROUND(SUM(J$14:J98),2))</f>
        <v/>
      </c>
      <c r="M98" s="90"/>
    </row>
    <row r="99" customFormat="false" ht="15" hidden="false" customHeight="false" outlineLevel="0" collapsed="false">
      <c r="B99" s="68" t="str">
        <f aca="false">IF(C99="","",ROW()-13)</f>
        <v/>
      </c>
      <c r="C99" s="143"/>
      <c r="D99" s="89"/>
      <c r="E99" s="90"/>
      <c r="F99" s="89"/>
      <c r="G99" s="144"/>
      <c r="H99" s="144"/>
      <c r="I99" s="144"/>
      <c r="J99" s="78" t="str">
        <f aca="false">IF(OR(G99="",H99="",I99=""),"",IFERROR(ROUND(IF(F99="Short",G99-I99,I99-G99)/ABS(G99-H99),2),""))</f>
        <v/>
      </c>
      <c r="K99" s="68" t="str">
        <f aca="false">IF(J99="","",IF(ABS(J99)&lt;=Settings!$C$6,"BE",IF(J99&gt;0,"Win","Loss")))</f>
        <v/>
      </c>
      <c r="L99" s="78" t="str">
        <f aca="false">IF(J99="","",ROUND(SUM(J$14:J99),2))</f>
        <v/>
      </c>
      <c r="M99" s="90"/>
    </row>
    <row r="100" customFormat="false" ht="15" hidden="false" customHeight="false" outlineLevel="0" collapsed="false">
      <c r="B100" s="68" t="str">
        <f aca="false">IF(C100="","",ROW()-13)</f>
        <v/>
      </c>
      <c r="C100" s="143"/>
      <c r="D100" s="89"/>
      <c r="E100" s="90"/>
      <c r="F100" s="89"/>
      <c r="G100" s="144"/>
      <c r="H100" s="144"/>
      <c r="I100" s="144"/>
      <c r="J100" s="78" t="str">
        <f aca="false">IF(OR(G100="",H100="",I100=""),"",IFERROR(ROUND(IF(F100="Short",G100-I100,I100-G100)/ABS(G100-H100),2),""))</f>
        <v/>
      </c>
      <c r="K100" s="68" t="str">
        <f aca="false">IF(J100="","",IF(ABS(J100)&lt;=Settings!$C$6,"BE",IF(J100&gt;0,"Win","Loss")))</f>
        <v/>
      </c>
      <c r="L100" s="78" t="str">
        <f aca="false">IF(J100="","",ROUND(SUM(J$14:J100),2))</f>
        <v/>
      </c>
      <c r="M100" s="90"/>
    </row>
    <row r="101" customFormat="false" ht="15" hidden="false" customHeight="false" outlineLevel="0" collapsed="false">
      <c r="B101" s="68" t="str">
        <f aca="false">IF(C101="","",ROW()-13)</f>
        <v/>
      </c>
      <c r="C101" s="143"/>
      <c r="D101" s="89"/>
      <c r="E101" s="90"/>
      <c r="F101" s="89"/>
      <c r="G101" s="144"/>
      <c r="H101" s="144"/>
      <c r="I101" s="144"/>
      <c r="J101" s="78" t="str">
        <f aca="false">IF(OR(G101="",H101="",I101=""),"",IFERROR(ROUND(IF(F101="Short",G101-I101,I101-G101)/ABS(G101-H101),2),""))</f>
        <v/>
      </c>
      <c r="K101" s="68" t="str">
        <f aca="false">IF(J101="","",IF(ABS(J101)&lt;=Settings!$C$6,"BE",IF(J101&gt;0,"Win","Loss")))</f>
        <v/>
      </c>
      <c r="L101" s="78" t="str">
        <f aca="false">IF(J101="","",ROUND(SUM(J$14:J101),2))</f>
        <v/>
      </c>
      <c r="M101" s="90"/>
    </row>
    <row r="102" customFormat="false" ht="15" hidden="false" customHeight="false" outlineLevel="0" collapsed="false">
      <c r="B102" s="68" t="str">
        <f aca="false">IF(C102="","",ROW()-13)</f>
        <v/>
      </c>
      <c r="C102" s="143"/>
      <c r="D102" s="89"/>
      <c r="E102" s="90"/>
      <c r="F102" s="89"/>
      <c r="G102" s="144"/>
      <c r="H102" s="144"/>
      <c r="I102" s="144"/>
      <c r="J102" s="78" t="str">
        <f aca="false">IF(OR(G102="",H102="",I102=""),"",IFERROR(ROUND(IF(F102="Short",G102-I102,I102-G102)/ABS(G102-H102),2),""))</f>
        <v/>
      </c>
      <c r="K102" s="68" t="str">
        <f aca="false">IF(J102="","",IF(ABS(J102)&lt;=Settings!$C$6,"BE",IF(J102&gt;0,"Win","Loss")))</f>
        <v/>
      </c>
      <c r="L102" s="78" t="str">
        <f aca="false">IF(J102="","",ROUND(SUM(J$14:J102),2))</f>
        <v/>
      </c>
      <c r="M102" s="90"/>
    </row>
    <row r="103" customFormat="false" ht="15" hidden="false" customHeight="false" outlineLevel="0" collapsed="false">
      <c r="B103" s="68" t="str">
        <f aca="false">IF(C103="","",ROW()-13)</f>
        <v/>
      </c>
      <c r="C103" s="143"/>
      <c r="D103" s="89"/>
      <c r="E103" s="90"/>
      <c r="F103" s="89"/>
      <c r="G103" s="144"/>
      <c r="H103" s="144"/>
      <c r="I103" s="144"/>
      <c r="J103" s="78" t="str">
        <f aca="false">IF(OR(G103="",H103="",I103=""),"",IFERROR(ROUND(IF(F103="Short",G103-I103,I103-G103)/ABS(G103-H103),2),""))</f>
        <v/>
      </c>
      <c r="K103" s="68" t="str">
        <f aca="false">IF(J103="","",IF(ABS(J103)&lt;=Settings!$C$6,"BE",IF(J103&gt;0,"Win","Loss")))</f>
        <v/>
      </c>
      <c r="L103" s="78" t="str">
        <f aca="false">IF(J103="","",ROUND(SUM(J$14:J103),2))</f>
        <v/>
      </c>
      <c r="M103" s="90"/>
    </row>
    <row r="104" customFormat="false" ht="15" hidden="false" customHeight="false" outlineLevel="0" collapsed="false">
      <c r="B104" s="68" t="str">
        <f aca="false">IF(C104="","",ROW()-13)</f>
        <v/>
      </c>
      <c r="C104" s="143"/>
      <c r="D104" s="89"/>
      <c r="E104" s="90"/>
      <c r="F104" s="89"/>
      <c r="G104" s="144"/>
      <c r="H104" s="144"/>
      <c r="I104" s="144"/>
      <c r="J104" s="78" t="str">
        <f aca="false">IF(OR(G104="",H104="",I104=""),"",IFERROR(ROUND(IF(F104="Short",G104-I104,I104-G104)/ABS(G104-H104),2),""))</f>
        <v/>
      </c>
      <c r="K104" s="68" t="str">
        <f aca="false">IF(J104="","",IF(ABS(J104)&lt;=Settings!$C$6,"BE",IF(J104&gt;0,"Win","Loss")))</f>
        <v/>
      </c>
      <c r="L104" s="78" t="str">
        <f aca="false">IF(J104="","",ROUND(SUM(J$14:J104),2))</f>
        <v/>
      </c>
      <c r="M104" s="90"/>
    </row>
    <row r="105" customFormat="false" ht="15" hidden="false" customHeight="false" outlineLevel="0" collapsed="false">
      <c r="B105" s="68" t="str">
        <f aca="false">IF(C105="","",ROW()-13)</f>
        <v/>
      </c>
      <c r="C105" s="143"/>
      <c r="D105" s="89"/>
      <c r="E105" s="90"/>
      <c r="F105" s="89"/>
      <c r="G105" s="144"/>
      <c r="H105" s="144"/>
      <c r="I105" s="144"/>
      <c r="J105" s="78" t="str">
        <f aca="false">IF(OR(G105="",H105="",I105=""),"",IFERROR(ROUND(IF(F105="Short",G105-I105,I105-G105)/ABS(G105-H105),2),""))</f>
        <v/>
      </c>
      <c r="K105" s="68" t="str">
        <f aca="false">IF(J105="","",IF(ABS(J105)&lt;=Settings!$C$6,"BE",IF(J105&gt;0,"Win","Loss")))</f>
        <v/>
      </c>
      <c r="L105" s="78" t="str">
        <f aca="false">IF(J105="","",ROUND(SUM(J$14:J105),2))</f>
        <v/>
      </c>
      <c r="M105" s="90"/>
    </row>
    <row r="106" customFormat="false" ht="15" hidden="false" customHeight="false" outlineLevel="0" collapsed="false">
      <c r="B106" s="68" t="str">
        <f aca="false">IF(C106="","",ROW()-13)</f>
        <v/>
      </c>
      <c r="C106" s="143"/>
      <c r="D106" s="89"/>
      <c r="E106" s="90"/>
      <c r="F106" s="89"/>
      <c r="G106" s="144"/>
      <c r="H106" s="144"/>
      <c r="I106" s="144"/>
      <c r="J106" s="78" t="str">
        <f aca="false">IF(OR(G106="",H106="",I106=""),"",IFERROR(ROUND(IF(F106="Short",G106-I106,I106-G106)/ABS(G106-H106),2),""))</f>
        <v/>
      </c>
      <c r="K106" s="68" t="str">
        <f aca="false">IF(J106="","",IF(ABS(J106)&lt;=Settings!$C$6,"BE",IF(J106&gt;0,"Win","Loss")))</f>
        <v/>
      </c>
      <c r="L106" s="78" t="str">
        <f aca="false">IF(J106="","",ROUND(SUM(J$14:J106),2))</f>
        <v/>
      </c>
      <c r="M106" s="90"/>
    </row>
    <row r="107" customFormat="false" ht="15" hidden="false" customHeight="false" outlineLevel="0" collapsed="false">
      <c r="B107" s="68" t="str">
        <f aca="false">IF(C107="","",ROW()-13)</f>
        <v/>
      </c>
      <c r="C107" s="143"/>
      <c r="D107" s="89"/>
      <c r="E107" s="90"/>
      <c r="F107" s="89"/>
      <c r="G107" s="144"/>
      <c r="H107" s="144"/>
      <c r="I107" s="144"/>
      <c r="J107" s="78" t="str">
        <f aca="false">IF(OR(G107="",H107="",I107=""),"",IFERROR(ROUND(IF(F107="Short",G107-I107,I107-G107)/ABS(G107-H107),2),""))</f>
        <v/>
      </c>
      <c r="K107" s="68" t="str">
        <f aca="false">IF(J107="","",IF(ABS(J107)&lt;=Settings!$C$6,"BE",IF(J107&gt;0,"Win","Loss")))</f>
        <v/>
      </c>
      <c r="L107" s="78" t="str">
        <f aca="false">IF(J107="","",ROUND(SUM(J$14:J107),2))</f>
        <v/>
      </c>
      <c r="M107" s="90"/>
    </row>
    <row r="108" customFormat="false" ht="15" hidden="false" customHeight="false" outlineLevel="0" collapsed="false">
      <c r="B108" s="68" t="str">
        <f aca="false">IF(C108="","",ROW()-13)</f>
        <v/>
      </c>
      <c r="C108" s="143"/>
      <c r="D108" s="89"/>
      <c r="E108" s="90"/>
      <c r="F108" s="89"/>
      <c r="G108" s="144"/>
      <c r="H108" s="144"/>
      <c r="I108" s="144"/>
      <c r="J108" s="78" t="str">
        <f aca="false">IF(OR(G108="",H108="",I108=""),"",IFERROR(ROUND(IF(F108="Short",G108-I108,I108-G108)/ABS(G108-H108),2),""))</f>
        <v/>
      </c>
      <c r="K108" s="68" t="str">
        <f aca="false">IF(J108="","",IF(ABS(J108)&lt;=Settings!$C$6,"BE",IF(J108&gt;0,"Win","Loss")))</f>
        <v/>
      </c>
      <c r="L108" s="78" t="str">
        <f aca="false">IF(J108="","",ROUND(SUM(J$14:J108),2))</f>
        <v/>
      </c>
      <c r="M108" s="90"/>
    </row>
    <row r="109" customFormat="false" ht="15" hidden="false" customHeight="false" outlineLevel="0" collapsed="false">
      <c r="B109" s="68" t="str">
        <f aca="false">IF(C109="","",ROW()-13)</f>
        <v/>
      </c>
      <c r="C109" s="143"/>
      <c r="D109" s="89"/>
      <c r="E109" s="90"/>
      <c r="F109" s="89"/>
      <c r="G109" s="144"/>
      <c r="H109" s="144"/>
      <c r="I109" s="144"/>
      <c r="J109" s="78" t="str">
        <f aca="false">IF(OR(G109="",H109="",I109=""),"",IFERROR(ROUND(IF(F109="Short",G109-I109,I109-G109)/ABS(G109-H109),2),""))</f>
        <v/>
      </c>
      <c r="K109" s="68" t="str">
        <f aca="false">IF(J109="","",IF(ABS(J109)&lt;=Settings!$C$6,"BE",IF(J109&gt;0,"Win","Loss")))</f>
        <v/>
      </c>
      <c r="L109" s="78" t="str">
        <f aca="false">IF(J109="","",ROUND(SUM(J$14:J109),2))</f>
        <v/>
      </c>
      <c r="M109" s="90"/>
    </row>
    <row r="110" customFormat="false" ht="15" hidden="false" customHeight="false" outlineLevel="0" collapsed="false">
      <c r="B110" s="68" t="str">
        <f aca="false">IF(C110="","",ROW()-13)</f>
        <v/>
      </c>
      <c r="C110" s="143"/>
      <c r="D110" s="89"/>
      <c r="E110" s="90"/>
      <c r="F110" s="89"/>
      <c r="G110" s="144"/>
      <c r="H110" s="144"/>
      <c r="I110" s="144"/>
      <c r="J110" s="78" t="str">
        <f aca="false">IF(OR(G110="",H110="",I110=""),"",IFERROR(ROUND(IF(F110="Short",G110-I110,I110-G110)/ABS(G110-H110),2),""))</f>
        <v/>
      </c>
      <c r="K110" s="68" t="str">
        <f aca="false">IF(J110="","",IF(ABS(J110)&lt;=Settings!$C$6,"BE",IF(J110&gt;0,"Win","Loss")))</f>
        <v/>
      </c>
      <c r="L110" s="78" t="str">
        <f aca="false">IF(J110="","",ROUND(SUM(J$14:J110),2))</f>
        <v/>
      </c>
      <c r="M110" s="90"/>
    </row>
    <row r="111" customFormat="false" ht="15" hidden="false" customHeight="false" outlineLevel="0" collapsed="false">
      <c r="B111" s="68" t="str">
        <f aca="false">IF(C111="","",ROW()-13)</f>
        <v/>
      </c>
      <c r="C111" s="143"/>
      <c r="D111" s="89"/>
      <c r="E111" s="90"/>
      <c r="F111" s="89"/>
      <c r="G111" s="144"/>
      <c r="H111" s="144"/>
      <c r="I111" s="144"/>
      <c r="J111" s="78" t="str">
        <f aca="false">IF(OR(G111="",H111="",I111=""),"",IFERROR(ROUND(IF(F111="Short",G111-I111,I111-G111)/ABS(G111-H111),2),""))</f>
        <v/>
      </c>
      <c r="K111" s="68" t="str">
        <f aca="false">IF(J111="","",IF(ABS(J111)&lt;=Settings!$C$6,"BE",IF(J111&gt;0,"Win","Loss")))</f>
        <v/>
      </c>
      <c r="L111" s="78" t="str">
        <f aca="false">IF(J111="","",ROUND(SUM(J$14:J111),2))</f>
        <v/>
      </c>
      <c r="M111" s="90"/>
    </row>
    <row r="112" customFormat="false" ht="15" hidden="false" customHeight="false" outlineLevel="0" collapsed="false">
      <c r="B112" s="68" t="str">
        <f aca="false">IF(C112="","",ROW()-13)</f>
        <v/>
      </c>
      <c r="C112" s="143"/>
      <c r="D112" s="89"/>
      <c r="E112" s="90"/>
      <c r="F112" s="89"/>
      <c r="G112" s="144"/>
      <c r="H112" s="144"/>
      <c r="I112" s="144"/>
      <c r="J112" s="78" t="str">
        <f aca="false">IF(OR(G112="",H112="",I112=""),"",IFERROR(ROUND(IF(F112="Short",G112-I112,I112-G112)/ABS(G112-H112),2),""))</f>
        <v/>
      </c>
      <c r="K112" s="68" t="str">
        <f aca="false">IF(J112="","",IF(ABS(J112)&lt;=Settings!$C$6,"BE",IF(J112&gt;0,"Win","Loss")))</f>
        <v/>
      </c>
      <c r="L112" s="78" t="str">
        <f aca="false">IF(J112="","",ROUND(SUM(J$14:J112),2))</f>
        <v/>
      </c>
      <c r="M112" s="90"/>
    </row>
    <row r="113" customFormat="false" ht="15" hidden="false" customHeight="false" outlineLevel="0" collapsed="false">
      <c r="B113" s="68" t="str">
        <f aca="false">IF(C113="","",ROW()-13)</f>
        <v/>
      </c>
      <c r="C113" s="143"/>
      <c r="D113" s="89"/>
      <c r="E113" s="90"/>
      <c r="F113" s="89"/>
      <c r="G113" s="144"/>
      <c r="H113" s="144"/>
      <c r="I113" s="144"/>
      <c r="J113" s="78" t="str">
        <f aca="false">IF(OR(G113="",H113="",I113=""),"",IFERROR(ROUND(IF(F113="Short",G113-I113,I113-G113)/ABS(G113-H113),2),""))</f>
        <v/>
      </c>
      <c r="K113" s="68" t="str">
        <f aca="false">IF(J113="","",IF(ABS(J113)&lt;=Settings!$C$6,"BE",IF(J113&gt;0,"Win","Loss")))</f>
        <v/>
      </c>
      <c r="L113" s="78" t="str">
        <f aca="false">IF(J113="","",ROUND(SUM(J$14:J113),2))</f>
        <v/>
      </c>
      <c r="M113" s="90"/>
    </row>
    <row r="114" customFormat="false" ht="15" hidden="false" customHeight="false" outlineLevel="0" collapsed="false">
      <c r="B114" s="68" t="str">
        <f aca="false">IF(C114="","",ROW()-13)</f>
        <v/>
      </c>
      <c r="C114" s="143"/>
      <c r="D114" s="89"/>
      <c r="E114" s="90"/>
      <c r="F114" s="89"/>
      <c r="G114" s="144"/>
      <c r="H114" s="144"/>
      <c r="I114" s="144"/>
      <c r="J114" s="78" t="str">
        <f aca="false">IF(OR(G114="",H114="",I114=""),"",IFERROR(ROUND(IF(F114="Short",G114-I114,I114-G114)/ABS(G114-H114),2),""))</f>
        <v/>
      </c>
      <c r="K114" s="68" t="str">
        <f aca="false">IF(J114="","",IF(ABS(J114)&lt;=Settings!$C$6,"BE",IF(J114&gt;0,"Win","Loss")))</f>
        <v/>
      </c>
      <c r="L114" s="78" t="str">
        <f aca="false">IF(J114="","",ROUND(SUM(J$14:J114),2))</f>
        <v/>
      </c>
      <c r="M114" s="90"/>
    </row>
    <row r="115" customFormat="false" ht="15" hidden="false" customHeight="false" outlineLevel="0" collapsed="false">
      <c r="B115" s="68" t="str">
        <f aca="false">IF(C115="","",ROW()-13)</f>
        <v/>
      </c>
      <c r="C115" s="143"/>
      <c r="D115" s="89"/>
      <c r="E115" s="90"/>
      <c r="F115" s="89"/>
      <c r="G115" s="144"/>
      <c r="H115" s="144"/>
      <c r="I115" s="144"/>
      <c r="J115" s="78" t="str">
        <f aca="false">IF(OR(G115="",H115="",I115=""),"",IFERROR(ROUND(IF(F115="Short",G115-I115,I115-G115)/ABS(G115-H115),2),""))</f>
        <v/>
      </c>
      <c r="K115" s="68" t="str">
        <f aca="false">IF(J115="","",IF(ABS(J115)&lt;=Settings!$C$6,"BE",IF(J115&gt;0,"Win","Loss")))</f>
        <v/>
      </c>
      <c r="L115" s="78" t="str">
        <f aca="false">IF(J115="","",ROUND(SUM(J$14:J115),2))</f>
        <v/>
      </c>
      <c r="M115" s="90"/>
    </row>
    <row r="116" customFormat="false" ht="15" hidden="false" customHeight="false" outlineLevel="0" collapsed="false">
      <c r="B116" s="68" t="str">
        <f aca="false">IF(C116="","",ROW()-13)</f>
        <v/>
      </c>
      <c r="C116" s="143"/>
      <c r="D116" s="89"/>
      <c r="E116" s="90"/>
      <c r="F116" s="89"/>
      <c r="G116" s="144"/>
      <c r="H116" s="144"/>
      <c r="I116" s="144"/>
      <c r="J116" s="78" t="str">
        <f aca="false">IF(OR(G116="",H116="",I116=""),"",IFERROR(ROUND(IF(F116="Short",G116-I116,I116-G116)/ABS(G116-H116),2),""))</f>
        <v/>
      </c>
      <c r="K116" s="68" t="str">
        <f aca="false">IF(J116="","",IF(ABS(J116)&lt;=Settings!$C$6,"BE",IF(J116&gt;0,"Win","Loss")))</f>
        <v/>
      </c>
      <c r="L116" s="78" t="str">
        <f aca="false">IF(J116="","",ROUND(SUM(J$14:J116),2))</f>
        <v/>
      </c>
      <c r="M116" s="90"/>
    </row>
    <row r="117" customFormat="false" ht="15" hidden="false" customHeight="false" outlineLevel="0" collapsed="false">
      <c r="B117" s="68" t="str">
        <f aca="false">IF(C117="","",ROW()-13)</f>
        <v/>
      </c>
      <c r="C117" s="143"/>
      <c r="D117" s="89"/>
      <c r="E117" s="90"/>
      <c r="F117" s="89"/>
      <c r="G117" s="144"/>
      <c r="H117" s="144"/>
      <c r="I117" s="144"/>
      <c r="J117" s="78" t="str">
        <f aca="false">IF(OR(G117="",H117="",I117=""),"",IFERROR(ROUND(IF(F117="Short",G117-I117,I117-G117)/ABS(G117-H117),2),""))</f>
        <v/>
      </c>
      <c r="K117" s="68" t="str">
        <f aca="false">IF(J117="","",IF(ABS(J117)&lt;=Settings!$C$6,"BE",IF(J117&gt;0,"Win","Loss")))</f>
        <v/>
      </c>
      <c r="L117" s="78" t="str">
        <f aca="false">IF(J117="","",ROUND(SUM(J$14:J117),2))</f>
        <v/>
      </c>
      <c r="M117" s="90"/>
    </row>
    <row r="118" customFormat="false" ht="15" hidden="false" customHeight="false" outlineLevel="0" collapsed="false">
      <c r="B118" s="68" t="str">
        <f aca="false">IF(C118="","",ROW()-13)</f>
        <v/>
      </c>
      <c r="C118" s="143"/>
      <c r="D118" s="89"/>
      <c r="E118" s="90"/>
      <c r="F118" s="89"/>
      <c r="G118" s="144"/>
      <c r="H118" s="144"/>
      <c r="I118" s="144"/>
      <c r="J118" s="78" t="str">
        <f aca="false">IF(OR(G118="",H118="",I118=""),"",IFERROR(ROUND(IF(F118="Short",G118-I118,I118-G118)/ABS(G118-H118),2),""))</f>
        <v/>
      </c>
      <c r="K118" s="68" t="str">
        <f aca="false">IF(J118="","",IF(ABS(J118)&lt;=Settings!$C$6,"BE",IF(J118&gt;0,"Win","Loss")))</f>
        <v/>
      </c>
      <c r="L118" s="78" t="str">
        <f aca="false">IF(J118="","",ROUND(SUM(J$14:J118),2))</f>
        <v/>
      </c>
      <c r="M118" s="90"/>
    </row>
    <row r="119" customFormat="false" ht="15" hidden="false" customHeight="false" outlineLevel="0" collapsed="false">
      <c r="B119" s="68" t="str">
        <f aca="false">IF(C119="","",ROW()-13)</f>
        <v/>
      </c>
      <c r="C119" s="143"/>
      <c r="D119" s="89"/>
      <c r="E119" s="90"/>
      <c r="F119" s="89"/>
      <c r="G119" s="144"/>
      <c r="H119" s="144"/>
      <c r="I119" s="144"/>
      <c r="J119" s="78" t="str">
        <f aca="false">IF(OR(G119="",H119="",I119=""),"",IFERROR(ROUND(IF(F119="Short",G119-I119,I119-G119)/ABS(G119-H119),2),""))</f>
        <v/>
      </c>
      <c r="K119" s="68" t="str">
        <f aca="false">IF(J119="","",IF(ABS(J119)&lt;=Settings!$C$6,"BE",IF(J119&gt;0,"Win","Loss")))</f>
        <v/>
      </c>
      <c r="L119" s="78" t="str">
        <f aca="false">IF(J119="","",ROUND(SUM(J$14:J119),2))</f>
        <v/>
      </c>
      <c r="M119" s="90"/>
    </row>
    <row r="120" customFormat="false" ht="15" hidden="false" customHeight="false" outlineLevel="0" collapsed="false">
      <c r="B120" s="68" t="str">
        <f aca="false">IF(C120="","",ROW()-13)</f>
        <v/>
      </c>
      <c r="C120" s="143"/>
      <c r="D120" s="89"/>
      <c r="E120" s="90"/>
      <c r="F120" s="89"/>
      <c r="G120" s="144"/>
      <c r="H120" s="144"/>
      <c r="I120" s="144"/>
      <c r="J120" s="78" t="str">
        <f aca="false">IF(OR(G120="",H120="",I120=""),"",IFERROR(ROUND(IF(F120="Short",G120-I120,I120-G120)/ABS(G120-H120),2),""))</f>
        <v/>
      </c>
      <c r="K120" s="68" t="str">
        <f aca="false">IF(J120="","",IF(ABS(J120)&lt;=Settings!$C$6,"BE",IF(J120&gt;0,"Win","Loss")))</f>
        <v/>
      </c>
      <c r="L120" s="78" t="str">
        <f aca="false">IF(J120="","",ROUND(SUM(J$14:J120),2))</f>
        <v/>
      </c>
      <c r="M120" s="90"/>
    </row>
    <row r="121" customFormat="false" ht="15" hidden="false" customHeight="false" outlineLevel="0" collapsed="false">
      <c r="B121" s="68" t="str">
        <f aca="false">IF(C121="","",ROW()-13)</f>
        <v/>
      </c>
      <c r="C121" s="143"/>
      <c r="D121" s="89"/>
      <c r="E121" s="90"/>
      <c r="F121" s="89"/>
      <c r="G121" s="144"/>
      <c r="H121" s="144"/>
      <c r="I121" s="144"/>
      <c r="J121" s="78" t="str">
        <f aca="false">IF(OR(G121="",H121="",I121=""),"",IFERROR(ROUND(IF(F121="Short",G121-I121,I121-G121)/ABS(G121-H121),2),""))</f>
        <v/>
      </c>
      <c r="K121" s="68" t="str">
        <f aca="false">IF(J121="","",IF(ABS(J121)&lt;=Settings!$C$6,"BE",IF(J121&gt;0,"Win","Loss")))</f>
        <v/>
      </c>
      <c r="L121" s="78" t="str">
        <f aca="false">IF(J121="","",ROUND(SUM(J$14:J121),2))</f>
        <v/>
      </c>
      <c r="M121" s="90"/>
    </row>
    <row r="122" customFormat="false" ht="15" hidden="false" customHeight="false" outlineLevel="0" collapsed="false">
      <c r="B122" s="68" t="str">
        <f aca="false">IF(C122="","",ROW()-13)</f>
        <v/>
      </c>
      <c r="C122" s="143"/>
      <c r="D122" s="89"/>
      <c r="E122" s="90"/>
      <c r="F122" s="89"/>
      <c r="G122" s="144"/>
      <c r="H122" s="144"/>
      <c r="I122" s="144"/>
      <c r="J122" s="78" t="str">
        <f aca="false">IF(OR(G122="",H122="",I122=""),"",IFERROR(ROUND(IF(F122="Short",G122-I122,I122-G122)/ABS(G122-H122),2),""))</f>
        <v/>
      </c>
      <c r="K122" s="68" t="str">
        <f aca="false">IF(J122="","",IF(ABS(J122)&lt;=Settings!$C$6,"BE",IF(J122&gt;0,"Win","Loss")))</f>
        <v/>
      </c>
      <c r="L122" s="78" t="str">
        <f aca="false">IF(J122="","",ROUND(SUM(J$14:J122),2))</f>
        <v/>
      </c>
      <c r="M122" s="90"/>
    </row>
    <row r="123" customFormat="false" ht="15" hidden="false" customHeight="false" outlineLevel="0" collapsed="false">
      <c r="B123" s="68" t="str">
        <f aca="false">IF(C123="","",ROW()-13)</f>
        <v/>
      </c>
      <c r="C123" s="143"/>
      <c r="D123" s="89"/>
      <c r="E123" s="90"/>
      <c r="F123" s="89"/>
      <c r="G123" s="144"/>
      <c r="H123" s="144"/>
      <c r="I123" s="144"/>
      <c r="J123" s="78" t="str">
        <f aca="false">IF(OR(G123="",H123="",I123=""),"",IFERROR(ROUND(IF(F123="Short",G123-I123,I123-G123)/ABS(G123-H123),2),""))</f>
        <v/>
      </c>
      <c r="K123" s="68" t="str">
        <f aca="false">IF(J123="","",IF(ABS(J123)&lt;=Settings!$C$6,"BE",IF(J123&gt;0,"Win","Loss")))</f>
        <v/>
      </c>
      <c r="L123" s="78" t="str">
        <f aca="false">IF(J123="","",ROUND(SUM(J$14:J123),2))</f>
        <v/>
      </c>
      <c r="M123" s="90"/>
    </row>
    <row r="124" customFormat="false" ht="15" hidden="false" customHeight="false" outlineLevel="0" collapsed="false">
      <c r="B124" s="68" t="str">
        <f aca="false">IF(C124="","",ROW()-13)</f>
        <v/>
      </c>
      <c r="C124" s="143"/>
      <c r="D124" s="89"/>
      <c r="E124" s="90"/>
      <c r="F124" s="89"/>
      <c r="G124" s="144"/>
      <c r="H124" s="144"/>
      <c r="I124" s="144"/>
      <c r="J124" s="78" t="str">
        <f aca="false">IF(OR(G124="",H124="",I124=""),"",IFERROR(ROUND(IF(F124="Short",G124-I124,I124-G124)/ABS(G124-H124),2),""))</f>
        <v/>
      </c>
      <c r="K124" s="68" t="str">
        <f aca="false">IF(J124="","",IF(ABS(J124)&lt;=Settings!$C$6,"BE",IF(J124&gt;0,"Win","Loss")))</f>
        <v/>
      </c>
      <c r="L124" s="78" t="str">
        <f aca="false">IF(J124="","",ROUND(SUM(J$14:J124),2))</f>
        <v/>
      </c>
      <c r="M124" s="90"/>
    </row>
    <row r="125" customFormat="false" ht="15" hidden="false" customHeight="false" outlineLevel="0" collapsed="false">
      <c r="B125" s="68" t="str">
        <f aca="false">IF(C125="","",ROW()-13)</f>
        <v/>
      </c>
      <c r="C125" s="143"/>
      <c r="D125" s="89"/>
      <c r="E125" s="90"/>
      <c r="F125" s="89"/>
      <c r="G125" s="144"/>
      <c r="H125" s="144"/>
      <c r="I125" s="144"/>
      <c r="J125" s="78" t="str">
        <f aca="false">IF(OR(G125="",H125="",I125=""),"",IFERROR(ROUND(IF(F125="Short",G125-I125,I125-G125)/ABS(G125-H125),2),""))</f>
        <v/>
      </c>
      <c r="K125" s="68" t="str">
        <f aca="false">IF(J125="","",IF(ABS(J125)&lt;=Settings!$C$6,"BE",IF(J125&gt;0,"Win","Loss")))</f>
        <v/>
      </c>
      <c r="L125" s="78" t="str">
        <f aca="false">IF(J125="","",ROUND(SUM(J$14:J125),2))</f>
        <v/>
      </c>
      <c r="M125" s="90"/>
    </row>
    <row r="126" customFormat="false" ht="15" hidden="false" customHeight="false" outlineLevel="0" collapsed="false">
      <c r="B126" s="68" t="str">
        <f aca="false">IF(C126="","",ROW()-13)</f>
        <v/>
      </c>
      <c r="C126" s="143"/>
      <c r="D126" s="89"/>
      <c r="E126" s="90"/>
      <c r="F126" s="89"/>
      <c r="G126" s="144"/>
      <c r="H126" s="144"/>
      <c r="I126" s="144"/>
      <c r="J126" s="78" t="str">
        <f aca="false">IF(OR(G126="",H126="",I126=""),"",IFERROR(ROUND(IF(F126="Short",G126-I126,I126-G126)/ABS(G126-H126),2),""))</f>
        <v/>
      </c>
      <c r="K126" s="68" t="str">
        <f aca="false">IF(J126="","",IF(ABS(J126)&lt;=Settings!$C$6,"BE",IF(J126&gt;0,"Win","Loss")))</f>
        <v/>
      </c>
      <c r="L126" s="78" t="str">
        <f aca="false">IF(J126="","",ROUND(SUM(J$14:J126),2))</f>
        <v/>
      </c>
      <c r="M126" s="90"/>
    </row>
    <row r="127" customFormat="false" ht="15" hidden="false" customHeight="false" outlineLevel="0" collapsed="false">
      <c r="B127" s="68" t="str">
        <f aca="false">IF(C127="","",ROW()-13)</f>
        <v/>
      </c>
      <c r="C127" s="143"/>
      <c r="D127" s="89"/>
      <c r="E127" s="90"/>
      <c r="F127" s="89"/>
      <c r="G127" s="144"/>
      <c r="H127" s="144"/>
      <c r="I127" s="144"/>
      <c r="J127" s="78" t="str">
        <f aca="false">IF(OR(G127="",H127="",I127=""),"",IFERROR(ROUND(IF(F127="Short",G127-I127,I127-G127)/ABS(G127-H127),2),""))</f>
        <v/>
      </c>
      <c r="K127" s="68" t="str">
        <f aca="false">IF(J127="","",IF(ABS(J127)&lt;=Settings!$C$6,"BE",IF(J127&gt;0,"Win","Loss")))</f>
        <v/>
      </c>
      <c r="L127" s="78" t="str">
        <f aca="false">IF(J127="","",ROUND(SUM(J$14:J127),2))</f>
        <v/>
      </c>
      <c r="M127" s="90"/>
    </row>
    <row r="128" customFormat="false" ht="15" hidden="false" customHeight="false" outlineLevel="0" collapsed="false">
      <c r="B128" s="68" t="str">
        <f aca="false">IF(C128="","",ROW()-13)</f>
        <v/>
      </c>
      <c r="C128" s="143"/>
      <c r="D128" s="89"/>
      <c r="E128" s="90"/>
      <c r="F128" s="89"/>
      <c r="G128" s="144"/>
      <c r="H128" s="144"/>
      <c r="I128" s="144"/>
      <c r="J128" s="78" t="str">
        <f aca="false">IF(OR(G128="",H128="",I128=""),"",IFERROR(ROUND(IF(F128="Short",G128-I128,I128-G128)/ABS(G128-H128),2),""))</f>
        <v/>
      </c>
      <c r="K128" s="68" t="str">
        <f aca="false">IF(J128="","",IF(ABS(J128)&lt;=Settings!$C$6,"BE",IF(J128&gt;0,"Win","Loss")))</f>
        <v/>
      </c>
      <c r="L128" s="78" t="str">
        <f aca="false">IF(J128="","",ROUND(SUM(J$14:J128),2))</f>
        <v/>
      </c>
      <c r="M128" s="90"/>
    </row>
    <row r="129" customFormat="false" ht="15" hidden="false" customHeight="false" outlineLevel="0" collapsed="false">
      <c r="B129" s="68" t="str">
        <f aca="false">IF(C129="","",ROW()-13)</f>
        <v/>
      </c>
      <c r="C129" s="143"/>
      <c r="D129" s="89"/>
      <c r="E129" s="90"/>
      <c r="F129" s="89"/>
      <c r="G129" s="144"/>
      <c r="H129" s="144"/>
      <c r="I129" s="144"/>
      <c r="J129" s="78" t="str">
        <f aca="false">IF(OR(G129="",H129="",I129=""),"",IFERROR(ROUND(IF(F129="Short",G129-I129,I129-G129)/ABS(G129-H129),2),""))</f>
        <v/>
      </c>
      <c r="K129" s="68" t="str">
        <f aca="false">IF(J129="","",IF(ABS(J129)&lt;=Settings!$C$6,"BE",IF(J129&gt;0,"Win","Loss")))</f>
        <v/>
      </c>
      <c r="L129" s="78" t="str">
        <f aca="false">IF(J129="","",ROUND(SUM(J$14:J129),2))</f>
        <v/>
      </c>
      <c r="M129" s="90"/>
    </row>
    <row r="130" customFormat="false" ht="15" hidden="false" customHeight="false" outlineLevel="0" collapsed="false">
      <c r="B130" s="68" t="str">
        <f aca="false">IF(C130="","",ROW()-13)</f>
        <v/>
      </c>
      <c r="C130" s="143"/>
      <c r="D130" s="89"/>
      <c r="E130" s="90"/>
      <c r="F130" s="89"/>
      <c r="G130" s="144"/>
      <c r="H130" s="144"/>
      <c r="I130" s="144"/>
      <c r="J130" s="78" t="str">
        <f aca="false">IF(OR(G130="",H130="",I130=""),"",IFERROR(ROUND(IF(F130="Short",G130-I130,I130-G130)/ABS(G130-H130),2),""))</f>
        <v/>
      </c>
      <c r="K130" s="68" t="str">
        <f aca="false">IF(J130="","",IF(ABS(J130)&lt;=Settings!$C$6,"BE",IF(J130&gt;0,"Win","Loss")))</f>
        <v/>
      </c>
      <c r="L130" s="78" t="str">
        <f aca="false">IF(J130="","",ROUND(SUM(J$14:J130),2))</f>
        <v/>
      </c>
      <c r="M130" s="90"/>
    </row>
    <row r="131" customFormat="false" ht="15" hidden="false" customHeight="false" outlineLevel="0" collapsed="false">
      <c r="B131" s="68" t="str">
        <f aca="false">IF(C131="","",ROW()-13)</f>
        <v/>
      </c>
      <c r="C131" s="143"/>
      <c r="D131" s="89"/>
      <c r="E131" s="90"/>
      <c r="F131" s="89"/>
      <c r="G131" s="144"/>
      <c r="H131" s="144"/>
      <c r="I131" s="144"/>
      <c r="J131" s="78" t="str">
        <f aca="false">IF(OR(G131="",H131="",I131=""),"",IFERROR(ROUND(IF(F131="Short",G131-I131,I131-G131)/ABS(G131-H131),2),""))</f>
        <v/>
      </c>
      <c r="K131" s="68" t="str">
        <f aca="false">IF(J131="","",IF(ABS(J131)&lt;=Settings!$C$6,"BE",IF(J131&gt;0,"Win","Loss")))</f>
        <v/>
      </c>
      <c r="L131" s="78" t="str">
        <f aca="false">IF(J131="","",ROUND(SUM(J$14:J131),2))</f>
        <v/>
      </c>
      <c r="M131" s="90"/>
    </row>
    <row r="132" customFormat="false" ht="15" hidden="false" customHeight="false" outlineLevel="0" collapsed="false">
      <c r="B132" s="68" t="str">
        <f aca="false">IF(C132="","",ROW()-13)</f>
        <v/>
      </c>
      <c r="C132" s="143"/>
      <c r="D132" s="89"/>
      <c r="E132" s="90"/>
      <c r="F132" s="89"/>
      <c r="G132" s="144"/>
      <c r="H132" s="144"/>
      <c r="I132" s="144"/>
      <c r="J132" s="78" t="str">
        <f aca="false">IF(OR(G132="",H132="",I132=""),"",IFERROR(ROUND(IF(F132="Short",G132-I132,I132-G132)/ABS(G132-H132),2),""))</f>
        <v/>
      </c>
      <c r="K132" s="68" t="str">
        <f aca="false">IF(J132="","",IF(ABS(J132)&lt;=Settings!$C$6,"BE",IF(J132&gt;0,"Win","Loss")))</f>
        <v/>
      </c>
      <c r="L132" s="78" t="str">
        <f aca="false">IF(J132="","",ROUND(SUM(J$14:J132),2))</f>
        <v/>
      </c>
      <c r="M132" s="90"/>
    </row>
    <row r="133" customFormat="false" ht="15" hidden="false" customHeight="false" outlineLevel="0" collapsed="false">
      <c r="B133" s="68" t="str">
        <f aca="false">IF(C133="","",ROW()-13)</f>
        <v/>
      </c>
      <c r="C133" s="143"/>
      <c r="D133" s="89"/>
      <c r="E133" s="90"/>
      <c r="F133" s="89"/>
      <c r="G133" s="144"/>
      <c r="H133" s="144"/>
      <c r="I133" s="144"/>
      <c r="J133" s="78" t="str">
        <f aca="false">IF(OR(G133="",H133="",I133=""),"",IFERROR(ROUND(IF(F133="Short",G133-I133,I133-G133)/ABS(G133-H133),2),""))</f>
        <v/>
      </c>
      <c r="K133" s="68" t="str">
        <f aca="false">IF(J133="","",IF(ABS(J133)&lt;=Settings!$C$6,"BE",IF(J133&gt;0,"Win","Loss")))</f>
        <v/>
      </c>
      <c r="L133" s="78" t="str">
        <f aca="false">IF(J133="","",ROUND(SUM(J$14:J133),2))</f>
        <v/>
      </c>
      <c r="M133" s="90"/>
    </row>
    <row r="134" customFormat="false" ht="15" hidden="false" customHeight="false" outlineLevel="0" collapsed="false">
      <c r="B134" s="68" t="str">
        <f aca="false">IF(C134="","",ROW()-13)</f>
        <v/>
      </c>
      <c r="C134" s="143"/>
      <c r="D134" s="89"/>
      <c r="E134" s="90"/>
      <c r="F134" s="89"/>
      <c r="G134" s="144"/>
      <c r="H134" s="144"/>
      <c r="I134" s="144"/>
      <c r="J134" s="78" t="str">
        <f aca="false">IF(OR(G134="",H134="",I134=""),"",IFERROR(ROUND(IF(F134="Short",G134-I134,I134-G134)/ABS(G134-H134),2),""))</f>
        <v/>
      </c>
      <c r="K134" s="68" t="str">
        <f aca="false">IF(J134="","",IF(ABS(J134)&lt;=Settings!$C$6,"BE",IF(J134&gt;0,"Win","Loss")))</f>
        <v/>
      </c>
      <c r="L134" s="78" t="str">
        <f aca="false">IF(J134="","",ROUND(SUM(J$14:J134),2))</f>
        <v/>
      </c>
      <c r="M134" s="90"/>
    </row>
    <row r="135" customFormat="false" ht="15" hidden="false" customHeight="false" outlineLevel="0" collapsed="false">
      <c r="B135" s="68" t="str">
        <f aca="false">IF(C135="","",ROW()-13)</f>
        <v/>
      </c>
      <c r="C135" s="143"/>
      <c r="D135" s="89"/>
      <c r="E135" s="90"/>
      <c r="F135" s="89"/>
      <c r="G135" s="144"/>
      <c r="H135" s="144"/>
      <c r="I135" s="144"/>
      <c r="J135" s="78" t="str">
        <f aca="false">IF(OR(G135="",H135="",I135=""),"",IFERROR(ROUND(IF(F135="Short",G135-I135,I135-G135)/ABS(G135-H135),2),""))</f>
        <v/>
      </c>
      <c r="K135" s="68" t="str">
        <f aca="false">IF(J135="","",IF(ABS(J135)&lt;=Settings!$C$6,"BE",IF(J135&gt;0,"Win","Loss")))</f>
        <v/>
      </c>
      <c r="L135" s="78" t="str">
        <f aca="false">IF(J135="","",ROUND(SUM(J$14:J135),2))</f>
        <v/>
      </c>
      <c r="M135" s="90"/>
    </row>
    <row r="136" customFormat="false" ht="15" hidden="false" customHeight="false" outlineLevel="0" collapsed="false">
      <c r="B136" s="68" t="str">
        <f aca="false">IF(C136="","",ROW()-13)</f>
        <v/>
      </c>
      <c r="C136" s="143"/>
      <c r="D136" s="89"/>
      <c r="E136" s="90"/>
      <c r="F136" s="89"/>
      <c r="G136" s="144"/>
      <c r="H136" s="144"/>
      <c r="I136" s="144"/>
      <c r="J136" s="78" t="str">
        <f aca="false">IF(OR(G136="",H136="",I136=""),"",IFERROR(ROUND(IF(F136="Short",G136-I136,I136-G136)/ABS(G136-H136),2),""))</f>
        <v/>
      </c>
      <c r="K136" s="68" t="str">
        <f aca="false">IF(J136="","",IF(ABS(J136)&lt;=Settings!$C$6,"BE",IF(J136&gt;0,"Win","Loss")))</f>
        <v/>
      </c>
      <c r="L136" s="78" t="str">
        <f aca="false">IF(J136="","",ROUND(SUM(J$14:J136),2))</f>
        <v/>
      </c>
      <c r="M136" s="90"/>
    </row>
    <row r="137" customFormat="false" ht="15" hidden="false" customHeight="false" outlineLevel="0" collapsed="false">
      <c r="B137" s="68" t="str">
        <f aca="false">IF(C137="","",ROW()-13)</f>
        <v/>
      </c>
      <c r="C137" s="143"/>
      <c r="D137" s="89"/>
      <c r="E137" s="90"/>
      <c r="F137" s="89"/>
      <c r="G137" s="144"/>
      <c r="H137" s="144"/>
      <c r="I137" s="144"/>
      <c r="J137" s="78" t="str">
        <f aca="false">IF(OR(G137="",H137="",I137=""),"",IFERROR(ROUND(IF(F137="Short",G137-I137,I137-G137)/ABS(G137-H137),2),""))</f>
        <v/>
      </c>
      <c r="K137" s="68" t="str">
        <f aca="false">IF(J137="","",IF(ABS(J137)&lt;=Settings!$C$6,"BE",IF(J137&gt;0,"Win","Loss")))</f>
        <v/>
      </c>
      <c r="L137" s="78" t="str">
        <f aca="false">IF(J137="","",ROUND(SUM(J$14:J137),2))</f>
        <v/>
      </c>
      <c r="M137" s="90"/>
    </row>
    <row r="138" customFormat="false" ht="15" hidden="false" customHeight="false" outlineLevel="0" collapsed="false">
      <c r="B138" s="68" t="str">
        <f aca="false">IF(C138="","",ROW()-13)</f>
        <v/>
      </c>
      <c r="C138" s="143"/>
      <c r="D138" s="89"/>
      <c r="E138" s="90"/>
      <c r="F138" s="89"/>
      <c r="G138" s="144"/>
      <c r="H138" s="144"/>
      <c r="I138" s="144"/>
      <c r="J138" s="78" t="str">
        <f aca="false">IF(OR(G138="",H138="",I138=""),"",IFERROR(ROUND(IF(F138="Short",G138-I138,I138-G138)/ABS(G138-H138),2),""))</f>
        <v/>
      </c>
      <c r="K138" s="68" t="str">
        <f aca="false">IF(J138="","",IF(ABS(J138)&lt;=Settings!$C$6,"BE",IF(J138&gt;0,"Win","Loss")))</f>
        <v/>
      </c>
      <c r="L138" s="78" t="str">
        <f aca="false">IF(J138="","",ROUND(SUM(J$14:J138),2))</f>
        <v/>
      </c>
      <c r="M138" s="90"/>
    </row>
    <row r="139" customFormat="false" ht="15" hidden="false" customHeight="false" outlineLevel="0" collapsed="false">
      <c r="B139" s="68" t="str">
        <f aca="false">IF(C139="","",ROW()-13)</f>
        <v/>
      </c>
      <c r="C139" s="143"/>
      <c r="D139" s="89"/>
      <c r="E139" s="90"/>
      <c r="F139" s="89"/>
      <c r="G139" s="144"/>
      <c r="H139" s="144"/>
      <c r="I139" s="144"/>
      <c r="J139" s="78" t="str">
        <f aca="false">IF(OR(G139="",H139="",I139=""),"",IFERROR(ROUND(IF(F139="Short",G139-I139,I139-G139)/ABS(G139-H139),2),""))</f>
        <v/>
      </c>
      <c r="K139" s="68" t="str">
        <f aca="false">IF(J139="","",IF(ABS(J139)&lt;=Settings!$C$6,"BE",IF(J139&gt;0,"Win","Loss")))</f>
        <v/>
      </c>
      <c r="L139" s="78" t="str">
        <f aca="false">IF(J139="","",ROUND(SUM(J$14:J139),2))</f>
        <v/>
      </c>
      <c r="M139" s="90"/>
    </row>
    <row r="140" customFormat="false" ht="15" hidden="false" customHeight="false" outlineLevel="0" collapsed="false">
      <c r="B140" s="68" t="str">
        <f aca="false">IF(C140="","",ROW()-13)</f>
        <v/>
      </c>
      <c r="C140" s="143"/>
      <c r="D140" s="89"/>
      <c r="E140" s="90"/>
      <c r="F140" s="89"/>
      <c r="G140" s="144"/>
      <c r="H140" s="144"/>
      <c r="I140" s="144"/>
      <c r="J140" s="78" t="str">
        <f aca="false">IF(OR(G140="",H140="",I140=""),"",IFERROR(ROUND(IF(F140="Short",G140-I140,I140-G140)/ABS(G140-H140),2),""))</f>
        <v/>
      </c>
      <c r="K140" s="68" t="str">
        <f aca="false">IF(J140="","",IF(ABS(J140)&lt;=Settings!$C$6,"BE",IF(J140&gt;0,"Win","Loss")))</f>
        <v/>
      </c>
      <c r="L140" s="78" t="str">
        <f aca="false">IF(J140="","",ROUND(SUM(J$14:J140),2))</f>
        <v/>
      </c>
      <c r="M140" s="90"/>
    </row>
    <row r="141" customFormat="false" ht="15" hidden="false" customHeight="false" outlineLevel="0" collapsed="false">
      <c r="B141" s="68" t="str">
        <f aca="false">IF(C141="","",ROW()-13)</f>
        <v/>
      </c>
      <c r="C141" s="143"/>
      <c r="D141" s="89"/>
      <c r="E141" s="90"/>
      <c r="F141" s="89"/>
      <c r="G141" s="144"/>
      <c r="H141" s="144"/>
      <c r="I141" s="144"/>
      <c r="J141" s="78" t="str">
        <f aca="false">IF(OR(G141="",H141="",I141=""),"",IFERROR(ROUND(IF(F141="Short",G141-I141,I141-G141)/ABS(G141-H141),2),""))</f>
        <v/>
      </c>
      <c r="K141" s="68" t="str">
        <f aca="false">IF(J141="","",IF(ABS(J141)&lt;=Settings!$C$6,"BE",IF(J141&gt;0,"Win","Loss")))</f>
        <v/>
      </c>
      <c r="L141" s="78" t="str">
        <f aca="false">IF(J141="","",ROUND(SUM(J$14:J141),2))</f>
        <v/>
      </c>
      <c r="M141" s="90"/>
    </row>
    <row r="142" customFormat="false" ht="15" hidden="false" customHeight="false" outlineLevel="0" collapsed="false">
      <c r="B142" s="68" t="str">
        <f aca="false">IF(C142="","",ROW()-13)</f>
        <v/>
      </c>
      <c r="C142" s="143"/>
      <c r="D142" s="89"/>
      <c r="E142" s="90"/>
      <c r="F142" s="89"/>
      <c r="G142" s="144"/>
      <c r="H142" s="144"/>
      <c r="I142" s="144"/>
      <c r="J142" s="78" t="str">
        <f aca="false">IF(OR(G142="",H142="",I142=""),"",IFERROR(ROUND(IF(F142="Short",G142-I142,I142-G142)/ABS(G142-H142),2),""))</f>
        <v/>
      </c>
      <c r="K142" s="68" t="str">
        <f aca="false">IF(J142="","",IF(ABS(J142)&lt;=Settings!$C$6,"BE",IF(J142&gt;0,"Win","Loss")))</f>
        <v/>
      </c>
      <c r="L142" s="78" t="str">
        <f aca="false">IF(J142="","",ROUND(SUM(J$14:J142),2))</f>
        <v/>
      </c>
      <c r="M142" s="90"/>
    </row>
    <row r="143" customFormat="false" ht="15" hidden="false" customHeight="false" outlineLevel="0" collapsed="false">
      <c r="B143" s="68" t="str">
        <f aca="false">IF(C143="","",ROW()-13)</f>
        <v/>
      </c>
      <c r="C143" s="143"/>
      <c r="D143" s="89"/>
      <c r="E143" s="90"/>
      <c r="F143" s="89"/>
      <c r="G143" s="144"/>
      <c r="H143" s="144"/>
      <c r="I143" s="144"/>
      <c r="J143" s="78" t="str">
        <f aca="false">IF(OR(G143="",H143="",I143=""),"",IFERROR(ROUND(IF(F143="Short",G143-I143,I143-G143)/ABS(G143-H143),2),""))</f>
        <v/>
      </c>
      <c r="K143" s="68" t="str">
        <f aca="false">IF(J143="","",IF(ABS(J143)&lt;=Settings!$C$6,"BE",IF(J143&gt;0,"Win","Loss")))</f>
        <v/>
      </c>
      <c r="L143" s="78" t="str">
        <f aca="false">IF(J143="","",ROUND(SUM(J$14:J143),2))</f>
        <v/>
      </c>
      <c r="M143" s="90"/>
    </row>
    <row r="144" customFormat="false" ht="15" hidden="false" customHeight="false" outlineLevel="0" collapsed="false">
      <c r="B144" s="68" t="str">
        <f aca="false">IF(C144="","",ROW()-13)</f>
        <v/>
      </c>
      <c r="C144" s="143"/>
      <c r="D144" s="89"/>
      <c r="E144" s="90"/>
      <c r="F144" s="89"/>
      <c r="G144" s="144"/>
      <c r="H144" s="144"/>
      <c r="I144" s="144"/>
      <c r="J144" s="78" t="str">
        <f aca="false">IF(OR(G144="",H144="",I144=""),"",IFERROR(ROUND(IF(F144="Short",G144-I144,I144-G144)/ABS(G144-H144),2),""))</f>
        <v/>
      </c>
      <c r="K144" s="68" t="str">
        <f aca="false">IF(J144="","",IF(ABS(J144)&lt;=Settings!$C$6,"BE",IF(J144&gt;0,"Win","Loss")))</f>
        <v/>
      </c>
      <c r="L144" s="78" t="str">
        <f aca="false">IF(J144="","",ROUND(SUM(J$14:J144),2))</f>
        <v/>
      </c>
      <c r="M144" s="90"/>
    </row>
    <row r="145" customFormat="false" ht="15" hidden="false" customHeight="false" outlineLevel="0" collapsed="false">
      <c r="B145" s="68" t="str">
        <f aca="false">IF(C145="","",ROW()-13)</f>
        <v/>
      </c>
      <c r="C145" s="143"/>
      <c r="D145" s="89"/>
      <c r="E145" s="90"/>
      <c r="F145" s="89"/>
      <c r="G145" s="144"/>
      <c r="H145" s="144"/>
      <c r="I145" s="144"/>
      <c r="J145" s="78" t="str">
        <f aca="false">IF(OR(G145="",H145="",I145=""),"",IFERROR(ROUND(IF(F145="Short",G145-I145,I145-G145)/ABS(G145-H145),2),""))</f>
        <v/>
      </c>
      <c r="K145" s="68" t="str">
        <f aca="false">IF(J145="","",IF(ABS(J145)&lt;=Settings!$C$6,"BE",IF(J145&gt;0,"Win","Loss")))</f>
        <v/>
      </c>
      <c r="L145" s="78" t="str">
        <f aca="false">IF(J145="","",ROUND(SUM(J$14:J145),2))</f>
        <v/>
      </c>
      <c r="M145" s="90"/>
    </row>
    <row r="146" customFormat="false" ht="15" hidden="false" customHeight="false" outlineLevel="0" collapsed="false">
      <c r="B146" s="68" t="str">
        <f aca="false">IF(C146="","",ROW()-13)</f>
        <v/>
      </c>
      <c r="C146" s="143"/>
      <c r="D146" s="89"/>
      <c r="E146" s="90"/>
      <c r="F146" s="89"/>
      <c r="G146" s="144"/>
      <c r="H146" s="144"/>
      <c r="I146" s="144"/>
      <c r="J146" s="78" t="str">
        <f aca="false">IF(OR(G146="",H146="",I146=""),"",IFERROR(ROUND(IF(F146="Short",G146-I146,I146-G146)/ABS(G146-H146),2),""))</f>
        <v/>
      </c>
      <c r="K146" s="68" t="str">
        <f aca="false">IF(J146="","",IF(ABS(J146)&lt;=Settings!$C$6,"BE",IF(J146&gt;0,"Win","Loss")))</f>
        <v/>
      </c>
      <c r="L146" s="78" t="str">
        <f aca="false">IF(J146="","",ROUND(SUM(J$14:J146),2))</f>
        <v/>
      </c>
      <c r="M146" s="90"/>
    </row>
    <row r="147" customFormat="false" ht="15" hidden="false" customHeight="false" outlineLevel="0" collapsed="false">
      <c r="B147" s="68" t="str">
        <f aca="false">IF(C147="","",ROW()-13)</f>
        <v/>
      </c>
      <c r="C147" s="143"/>
      <c r="D147" s="89"/>
      <c r="E147" s="90"/>
      <c r="F147" s="89"/>
      <c r="G147" s="144"/>
      <c r="H147" s="144"/>
      <c r="I147" s="144"/>
      <c r="J147" s="78" t="str">
        <f aca="false">IF(OR(G147="",H147="",I147=""),"",IFERROR(ROUND(IF(F147="Short",G147-I147,I147-G147)/ABS(G147-H147),2),""))</f>
        <v/>
      </c>
      <c r="K147" s="68" t="str">
        <f aca="false">IF(J147="","",IF(ABS(J147)&lt;=Settings!$C$6,"BE",IF(J147&gt;0,"Win","Loss")))</f>
        <v/>
      </c>
      <c r="L147" s="78" t="str">
        <f aca="false">IF(J147="","",ROUND(SUM(J$14:J147),2))</f>
        <v/>
      </c>
      <c r="M147" s="90"/>
    </row>
    <row r="148" customFormat="false" ht="15" hidden="false" customHeight="false" outlineLevel="0" collapsed="false">
      <c r="B148" s="68" t="str">
        <f aca="false">IF(C148="","",ROW()-13)</f>
        <v/>
      </c>
      <c r="C148" s="143"/>
      <c r="D148" s="89"/>
      <c r="E148" s="90"/>
      <c r="F148" s="89"/>
      <c r="G148" s="144"/>
      <c r="H148" s="144"/>
      <c r="I148" s="144"/>
      <c r="J148" s="78" t="str">
        <f aca="false">IF(OR(G148="",H148="",I148=""),"",IFERROR(ROUND(IF(F148="Short",G148-I148,I148-G148)/ABS(G148-H148),2),""))</f>
        <v/>
      </c>
      <c r="K148" s="68" t="str">
        <f aca="false">IF(J148="","",IF(ABS(J148)&lt;=Settings!$C$6,"BE",IF(J148&gt;0,"Win","Loss")))</f>
        <v/>
      </c>
      <c r="L148" s="78" t="str">
        <f aca="false">IF(J148="","",ROUND(SUM(J$14:J148),2))</f>
        <v/>
      </c>
      <c r="M148" s="90"/>
    </row>
    <row r="149" customFormat="false" ht="15" hidden="false" customHeight="false" outlineLevel="0" collapsed="false">
      <c r="B149" s="68" t="str">
        <f aca="false">IF(C149="","",ROW()-13)</f>
        <v/>
      </c>
      <c r="C149" s="143"/>
      <c r="D149" s="89"/>
      <c r="E149" s="90"/>
      <c r="F149" s="89"/>
      <c r="G149" s="144"/>
      <c r="H149" s="144"/>
      <c r="I149" s="144"/>
      <c r="J149" s="78" t="str">
        <f aca="false">IF(OR(G149="",H149="",I149=""),"",IFERROR(ROUND(IF(F149="Short",G149-I149,I149-G149)/ABS(G149-H149),2),""))</f>
        <v/>
      </c>
      <c r="K149" s="68" t="str">
        <f aca="false">IF(J149="","",IF(ABS(J149)&lt;=Settings!$C$6,"BE",IF(J149&gt;0,"Win","Loss")))</f>
        <v/>
      </c>
      <c r="L149" s="78" t="str">
        <f aca="false">IF(J149="","",ROUND(SUM(J$14:J149),2))</f>
        <v/>
      </c>
      <c r="M149" s="90"/>
    </row>
    <row r="150" customFormat="false" ht="15" hidden="false" customHeight="false" outlineLevel="0" collapsed="false">
      <c r="B150" s="68" t="str">
        <f aca="false">IF(C150="","",ROW()-13)</f>
        <v/>
      </c>
      <c r="C150" s="143"/>
      <c r="D150" s="89"/>
      <c r="E150" s="90"/>
      <c r="F150" s="89"/>
      <c r="G150" s="144"/>
      <c r="H150" s="144"/>
      <c r="I150" s="144"/>
      <c r="J150" s="78" t="str">
        <f aca="false">IF(OR(G150="",H150="",I150=""),"",IFERROR(ROUND(IF(F150="Short",G150-I150,I150-G150)/ABS(G150-H150),2),""))</f>
        <v/>
      </c>
      <c r="K150" s="68" t="str">
        <f aca="false">IF(J150="","",IF(ABS(J150)&lt;=Settings!$C$6,"BE",IF(J150&gt;0,"Win","Loss")))</f>
        <v/>
      </c>
      <c r="L150" s="78" t="str">
        <f aca="false">IF(J150="","",ROUND(SUM(J$14:J150),2))</f>
        <v/>
      </c>
      <c r="M150" s="90"/>
    </row>
    <row r="151" customFormat="false" ht="15" hidden="false" customHeight="false" outlineLevel="0" collapsed="false">
      <c r="B151" s="68" t="str">
        <f aca="false">IF(C151="","",ROW()-13)</f>
        <v/>
      </c>
      <c r="C151" s="143"/>
      <c r="D151" s="89"/>
      <c r="E151" s="90"/>
      <c r="F151" s="89"/>
      <c r="G151" s="144"/>
      <c r="H151" s="144"/>
      <c r="I151" s="144"/>
      <c r="J151" s="78" t="str">
        <f aca="false">IF(OR(G151="",H151="",I151=""),"",IFERROR(ROUND(IF(F151="Short",G151-I151,I151-G151)/ABS(G151-H151),2),""))</f>
        <v/>
      </c>
      <c r="K151" s="68" t="str">
        <f aca="false">IF(J151="","",IF(ABS(J151)&lt;=Settings!$C$6,"BE",IF(J151&gt;0,"Win","Loss")))</f>
        <v/>
      </c>
      <c r="L151" s="78" t="str">
        <f aca="false">IF(J151="","",ROUND(SUM(J$14:J151),2))</f>
        <v/>
      </c>
      <c r="M151" s="90"/>
    </row>
    <row r="152" customFormat="false" ht="15" hidden="false" customHeight="false" outlineLevel="0" collapsed="false">
      <c r="B152" s="68" t="str">
        <f aca="false">IF(C152="","",ROW()-13)</f>
        <v/>
      </c>
      <c r="C152" s="143"/>
      <c r="D152" s="89"/>
      <c r="E152" s="90"/>
      <c r="F152" s="89"/>
      <c r="G152" s="144"/>
      <c r="H152" s="144"/>
      <c r="I152" s="144"/>
      <c r="J152" s="78" t="str">
        <f aca="false">IF(OR(G152="",H152="",I152=""),"",IFERROR(ROUND(IF(F152="Short",G152-I152,I152-G152)/ABS(G152-H152),2),""))</f>
        <v/>
      </c>
      <c r="K152" s="68" t="str">
        <f aca="false">IF(J152="","",IF(ABS(J152)&lt;=Settings!$C$6,"BE",IF(J152&gt;0,"Win","Loss")))</f>
        <v/>
      </c>
      <c r="L152" s="78" t="str">
        <f aca="false">IF(J152="","",ROUND(SUM(J$14:J152),2))</f>
        <v/>
      </c>
      <c r="M152" s="90"/>
    </row>
    <row r="153" customFormat="false" ht="15" hidden="false" customHeight="false" outlineLevel="0" collapsed="false">
      <c r="B153" s="68" t="str">
        <f aca="false">IF(C153="","",ROW()-13)</f>
        <v/>
      </c>
      <c r="C153" s="143"/>
      <c r="D153" s="89"/>
      <c r="E153" s="90"/>
      <c r="F153" s="89"/>
      <c r="G153" s="144"/>
      <c r="H153" s="144"/>
      <c r="I153" s="144"/>
      <c r="J153" s="78" t="str">
        <f aca="false">IF(OR(G153="",H153="",I153=""),"",IFERROR(ROUND(IF(F153="Short",G153-I153,I153-G153)/ABS(G153-H153),2),""))</f>
        <v/>
      </c>
      <c r="K153" s="68" t="str">
        <f aca="false">IF(J153="","",IF(ABS(J153)&lt;=Settings!$C$6,"BE",IF(J153&gt;0,"Win","Loss")))</f>
        <v/>
      </c>
      <c r="L153" s="78" t="str">
        <f aca="false">IF(J153="","",ROUND(SUM(J$14:J153),2))</f>
        <v/>
      </c>
      <c r="M153" s="90"/>
    </row>
    <row r="154" customFormat="false" ht="15" hidden="false" customHeight="false" outlineLevel="0" collapsed="false">
      <c r="B154" s="68" t="str">
        <f aca="false">IF(C154="","",ROW()-13)</f>
        <v/>
      </c>
      <c r="C154" s="143"/>
      <c r="D154" s="89"/>
      <c r="E154" s="90"/>
      <c r="F154" s="89"/>
      <c r="G154" s="144"/>
      <c r="H154" s="144"/>
      <c r="I154" s="144"/>
      <c r="J154" s="78" t="str">
        <f aca="false">IF(OR(G154="",H154="",I154=""),"",IFERROR(ROUND(IF(F154="Short",G154-I154,I154-G154)/ABS(G154-H154),2),""))</f>
        <v/>
      </c>
      <c r="K154" s="68" t="str">
        <f aca="false">IF(J154="","",IF(ABS(J154)&lt;=Settings!$C$6,"BE",IF(J154&gt;0,"Win","Loss")))</f>
        <v/>
      </c>
      <c r="L154" s="78" t="str">
        <f aca="false">IF(J154="","",ROUND(SUM(J$14:J154),2))</f>
        <v/>
      </c>
      <c r="M154" s="90"/>
    </row>
    <row r="155" customFormat="false" ht="15" hidden="false" customHeight="false" outlineLevel="0" collapsed="false">
      <c r="B155" s="68" t="str">
        <f aca="false">IF(C155="","",ROW()-13)</f>
        <v/>
      </c>
      <c r="C155" s="143"/>
      <c r="D155" s="89"/>
      <c r="E155" s="90"/>
      <c r="F155" s="89"/>
      <c r="G155" s="144"/>
      <c r="H155" s="144"/>
      <c r="I155" s="144"/>
      <c r="J155" s="78" t="str">
        <f aca="false">IF(OR(G155="",H155="",I155=""),"",IFERROR(ROUND(IF(F155="Short",G155-I155,I155-G155)/ABS(G155-H155),2),""))</f>
        <v/>
      </c>
      <c r="K155" s="68" t="str">
        <f aca="false">IF(J155="","",IF(ABS(J155)&lt;=Settings!$C$6,"BE",IF(J155&gt;0,"Win","Loss")))</f>
        <v/>
      </c>
      <c r="L155" s="78" t="str">
        <f aca="false">IF(J155="","",ROUND(SUM(J$14:J155),2))</f>
        <v/>
      </c>
      <c r="M155" s="90"/>
    </row>
    <row r="156" customFormat="false" ht="15" hidden="false" customHeight="false" outlineLevel="0" collapsed="false">
      <c r="B156" s="68" t="str">
        <f aca="false">IF(C156="","",ROW()-13)</f>
        <v/>
      </c>
      <c r="C156" s="143"/>
      <c r="D156" s="89"/>
      <c r="E156" s="90"/>
      <c r="F156" s="89"/>
      <c r="G156" s="144"/>
      <c r="H156" s="144"/>
      <c r="I156" s="144"/>
      <c r="J156" s="78" t="str">
        <f aca="false">IF(OR(G156="",H156="",I156=""),"",IFERROR(ROUND(IF(F156="Short",G156-I156,I156-G156)/ABS(G156-H156),2),""))</f>
        <v/>
      </c>
      <c r="K156" s="68" t="str">
        <f aca="false">IF(J156="","",IF(ABS(J156)&lt;=Settings!$C$6,"BE",IF(J156&gt;0,"Win","Loss")))</f>
        <v/>
      </c>
      <c r="L156" s="78" t="str">
        <f aca="false">IF(J156="","",ROUND(SUM(J$14:J156),2))</f>
        <v/>
      </c>
      <c r="M156" s="90"/>
    </row>
    <row r="157" customFormat="false" ht="15" hidden="false" customHeight="false" outlineLevel="0" collapsed="false">
      <c r="B157" s="68" t="str">
        <f aca="false">IF(C157="","",ROW()-13)</f>
        <v/>
      </c>
      <c r="C157" s="143"/>
      <c r="D157" s="89"/>
      <c r="E157" s="90"/>
      <c r="F157" s="89"/>
      <c r="G157" s="144"/>
      <c r="H157" s="144"/>
      <c r="I157" s="144"/>
      <c r="J157" s="78" t="str">
        <f aca="false">IF(OR(G157="",H157="",I157=""),"",IFERROR(ROUND(IF(F157="Short",G157-I157,I157-G157)/ABS(G157-H157),2),""))</f>
        <v/>
      </c>
      <c r="K157" s="68" t="str">
        <f aca="false">IF(J157="","",IF(ABS(J157)&lt;=Settings!$C$6,"BE",IF(J157&gt;0,"Win","Loss")))</f>
        <v/>
      </c>
      <c r="L157" s="78" t="str">
        <f aca="false">IF(J157="","",ROUND(SUM(J$14:J157),2))</f>
        <v/>
      </c>
      <c r="M157" s="90"/>
    </row>
    <row r="158" customFormat="false" ht="15" hidden="false" customHeight="false" outlineLevel="0" collapsed="false">
      <c r="B158" s="68" t="str">
        <f aca="false">IF(C158="","",ROW()-13)</f>
        <v/>
      </c>
      <c r="C158" s="143"/>
      <c r="D158" s="89"/>
      <c r="E158" s="90"/>
      <c r="F158" s="89"/>
      <c r="G158" s="144"/>
      <c r="H158" s="144"/>
      <c r="I158" s="144"/>
      <c r="J158" s="78" t="str">
        <f aca="false">IF(OR(G158="",H158="",I158=""),"",IFERROR(ROUND(IF(F158="Short",G158-I158,I158-G158)/ABS(G158-H158),2),""))</f>
        <v/>
      </c>
      <c r="K158" s="68" t="str">
        <f aca="false">IF(J158="","",IF(ABS(J158)&lt;=Settings!$C$6,"BE",IF(J158&gt;0,"Win","Loss")))</f>
        <v/>
      </c>
      <c r="L158" s="78" t="str">
        <f aca="false">IF(J158="","",ROUND(SUM(J$14:J158),2))</f>
        <v/>
      </c>
      <c r="M158" s="90"/>
    </row>
    <row r="159" customFormat="false" ht="15" hidden="false" customHeight="false" outlineLevel="0" collapsed="false">
      <c r="B159" s="68" t="str">
        <f aca="false">IF(C159="","",ROW()-13)</f>
        <v/>
      </c>
      <c r="C159" s="143"/>
      <c r="D159" s="89"/>
      <c r="E159" s="90"/>
      <c r="F159" s="89"/>
      <c r="G159" s="144"/>
      <c r="H159" s="144"/>
      <c r="I159" s="144"/>
      <c r="J159" s="78" t="str">
        <f aca="false">IF(OR(G159="",H159="",I159=""),"",IFERROR(ROUND(IF(F159="Short",G159-I159,I159-G159)/ABS(G159-H159),2),""))</f>
        <v/>
      </c>
      <c r="K159" s="68" t="str">
        <f aca="false">IF(J159="","",IF(ABS(J159)&lt;=Settings!$C$6,"BE",IF(J159&gt;0,"Win","Loss")))</f>
        <v/>
      </c>
      <c r="L159" s="78" t="str">
        <f aca="false">IF(J159="","",ROUND(SUM(J$14:J159),2))</f>
        <v/>
      </c>
      <c r="M159" s="90"/>
    </row>
    <row r="160" customFormat="false" ht="15" hidden="false" customHeight="false" outlineLevel="0" collapsed="false">
      <c r="B160" s="68" t="str">
        <f aca="false">IF(C160="","",ROW()-13)</f>
        <v/>
      </c>
      <c r="C160" s="143"/>
      <c r="D160" s="89"/>
      <c r="E160" s="90"/>
      <c r="F160" s="89"/>
      <c r="G160" s="144"/>
      <c r="H160" s="144"/>
      <c r="I160" s="144"/>
      <c r="J160" s="78" t="str">
        <f aca="false">IF(OR(G160="",H160="",I160=""),"",IFERROR(ROUND(IF(F160="Short",G160-I160,I160-G160)/ABS(G160-H160),2),""))</f>
        <v/>
      </c>
      <c r="K160" s="68" t="str">
        <f aca="false">IF(J160="","",IF(ABS(J160)&lt;=Settings!$C$6,"BE",IF(J160&gt;0,"Win","Loss")))</f>
        <v/>
      </c>
      <c r="L160" s="78" t="str">
        <f aca="false">IF(J160="","",ROUND(SUM(J$14:J160),2))</f>
        <v/>
      </c>
      <c r="M160" s="90"/>
    </row>
    <row r="161" customFormat="false" ht="15" hidden="false" customHeight="false" outlineLevel="0" collapsed="false">
      <c r="B161" s="68" t="str">
        <f aca="false">IF(C161="","",ROW()-13)</f>
        <v/>
      </c>
      <c r="C161" s="143"/>
      <c r="D161" s="89"/>
      <c r="E161" s="90"/>
      <c r="F161" s="89"/>
      <c r="G161" s="144"/>
      <c r="H161" s="144"/>
      <c r="I161" s="144"/>
      <c r="J161" s="78" t="str">
        <f aca="false">IF(OR(G161="",H161="",I161=""),"",IFERROR(ROUND(IF(F161="Short",G161-I161,I161-G161)/ABS(G161-H161),2),""))</f>
        <v/>
      </c>
      <c r="K161" s="68" t="str">
        <f aca="false">IF(J161="","",IF(ABS(J161)&lt;=Settings!$C$6,"BE",IF(J161&gt;0,"Win","Loss")))</f>
        <v/>
      </c>
      <c r="L161" s="78" t="str">
        <f aca="false">IF(J161="","",ROUND(SUM(J$14:J161),2))</f>
        <v/>
      </c>
      <c r="M161" s="90"/>
    </row>
    <row r="162" customFormat="false" ht="15" hidden="false" customHeight="false" outlineLevel="0" collapsed="false">
      <c r="B162" s="68" t="str">
        <f aca="false">IF(C162="","",ROW()-13)</f>
        <v/>
      </c>
      <c r="C162" s="143"/>
      <c r="D162" s="89"/>
      <c r="E162" s="90"/>
      <c r="F162" s="89"/>
      <c r="G162" s="144"/>
      <c r="H162" s="144"/>
      <c r="I162" s="144"/>
      <c r="J162" s="78" t="str">
        <f aca="false">IF(OR(G162="",H162="",I162=""),"",IFERROR(ROUND(IF(F162="Short",G162-I162,I162-G162)/ABS(G162-H162),2),""))</f>
        <v/>
      </c>
      <c r="K162" s="68" t="str">
        <f aca="false">IF(J162="","",IF(ABS(J162)&lt;=Settings!$C$6,"BE",IF(J162&gt;0,"Win","Loss")))</f>
        <v/>
      </c>
      <c r="L162" s="78" t="str">
        <f aca="false">IF(J162="","",ROUND(SUM(J$14:J162),2))</f>
        <v/>
      </c>
      <c r="M162" s="90"/>
    </row>
    <row r="163" customFormat="false" ht="15" hidden="false" customHeight="false" outlineLevel="0" collapsed="false">
      <c r="B163" s="68" t="str">
        <f aca="false">IF(C163="","",ROW()-13)</f>
        <v/>
      </c>
      <c r="C163" s="143"/>
      <c r="D163" s="89"/>
      <c r="E163" s="90"/>
      <c r="F163" s="89"/>
      <c r="G163" s="144"/>
      <c r="H163" s="144"/>
      <c r="I163" s="144"/>
      <c r="J163" s="78" t="str">
        <f aca="false">IF(OR(G163="",H163="",I163=""),"",IFERROR(ROUND(IF(F163="Short",G163-I163,I163-G163)/ABS(G163-H163),2),""))</f>
        <v/>
      </c>
      <c r="K163" s="68" t="str">
        <f aca="false">IF(J163="","",IF(ABS(J163)&lt;=Settings!$C$6,"BE",IF(J163&gt;0,"Win","Loss")))</f>
        <v/>
      </c>
      <c r="L163" s="78" t="str">
        <f aca="false">IF(J163="","",ROUND(SUM(J$14:J163),2))</f>
        <v/>
      </c>
      <c r="M163" s="90"/>
    </row>
    <row r="164" customFormat="false" ht="15" hidden="false" customHeight="false" outlineLevel="0" collapsed="false">
      <c r="B164" s="68" t="str">
        <f aca="false">IF(C164="","",ROW()-13)</f>
        <v/>
      </c>
      <c r="C164" s="143"/>
      <c r="D164" s="89"/>
      <c r="E164" s="90"/>
      <c r="F164" s="89"/>
      <c r="G164" s="144"/>
      <c r="H164" s="144"/>
      <c r="I164" s="144"/>
      <c r="J164" s="78" t="str">
        <f aca="false">IF(OR(G164="",H164="",I164=""),"",IFERROR(ROUND(IF(F164="Short",G164-I164,I164-G164)/ABS(G164-H164),2),""))</f>
        <v/>
      </c>
      <c r="K164" s="68" t="str">
        <f aca="false">IF(J164="","",IF(ABS(J164)&lt;=Settings!$C$6,"BE",IF(J164&gt;0,"Win","Loss")))</f>
        <v/>
      </c>
      <c r="L164" s="78" t="str">
        <f aca="false">IF(J164="","",ROUND(SUM(J$14:J164),2))</f>
        <v/>
      </c>
      <c r="M164" s="90"/>
    </row>
    <row r="165" customFormat="false" ht="15" hidden="false" customHeight="false" outlineLevel="0" collapsed="false">
      <c r="B165" s="68" t="str">
        <f aca="false">IF(C165="","",ROW()-13)</f>
        <v/>
      </c>
      <c r="C165" s="143"/>
      <c r="D165" s="89"/>
      <c r="E165" s="90"/>
      <c r="F165" s="89"/>
      <c r="G165" s="144"/>
      <c r="H165" s="144"/>
      <c r="I165" s="144"/>
      <c r="J165" s="78" t="str">
        <f aca="false">IF(OR(G165="",H165="",I165=""),"",IFERROR(ROUND(IF(F165="Short",G165-I165,I165-G165)/ABS(G165-H165),2),""))</f>
        <v/>
      </c>
      <c r="K165" s="68" t="str">
        <f aca="false">IF(J165="","",IF(ABS(J165)&lt;=Settings!$C$6,"BE",IF(J165&gt;0,"Win","Loss")))</f>
        <v/>
      </c>
      <c r="L165" s="78" t="str">
        <f aca="false">IF(J165="","",ROUND(SUM(J$14:J165),2))</f>
        <v/>
      </c>
      <c r="M165" s="90"/>
    </row>
    <row r="166" customFormat="false" ht="15" hidden="false" customHeight="false" outlineLevel="0" collapsed="false">
      <c r="B166" s="68" t="str">
        <f aca="false">IF(C166="","",ROW()-13)</f>
        <v/>
      </c>
      <c r="C166" s="143"/>
      <c r="D166" s="89"/>
      <c r="E166" s="90"/>
      <c r="F166" s="89"/>
      <c r="G166" s="144"/>
      <c r="H166" s="144"/>
      <c r="I166" s="144"/>
      <c r="J166" s="78" t="str">
        <f aca="false">IF(OR(G166="",H166="",I166=""),"",IFERROR(ROUND(IF(F166="Short",G166-I166,I166-G166)/ABS(G166-H166),2),""))</f>
        <v/>
      </c>
      <c r="K166" s="68" t="str">
        <f aca="false">IF(J166="","",IF(ABS(J166)&lt;=Settings!$C$6,"BE",IF(J166&gt;0,"Win","Loss")))</f>
        <v/>
      </c>
      <c r="L166" s="78" t="str">
        <f aca="false">IF(J166="","",ROUND(SUM(J$14:J166),2))</f>
        <v/>
      </c>
      <c r="M166" s="90"/>
    </row>
    <row r="167" customFormat="false" ht="15" hidden="false" customHeight="false" outlineLevel="0" collapsed="false">
      <c r="B167" s="68" t="str">
        <f aca="false">IF(C167="","",ROW()-13)</f>
        <v/>
      </c>
      <c r="C167" s="143"/>
      <c r="D167" s="89"/>
      <c r="E167" s="90"/>
      <c r="F167" s="89"/>
      <c r="G167" s="144"/>
      <c r="H167" s="144"/>
      <c r="I167" s="144"/>
      <c r="J167" s="78" t="str">
        <f aca="false">IF(OR(G167="",H167="",I167=""),"",IFERROR(ROUND(IF(F167="Short",G167-I167,I167-G167)/ABS(G167-H167),2),""))</f>
        <v/>
      </c>
      <c r="K167" s="68" t="str">
        <f aca="false">IF(J167="","",IF(ABS(J167)&lt;=Settings!$C$6,"BE",IF(J167&gt;0,"Win","Loss")))</f>
        <v/>
      </c>
      <c r="L167" s="78" t="str">
        <f aca="false">IF(J167="","",ROUND(SUM(J$14:J167),2))</f>
        <v/>
      </c>
      <c r="M167" s="90"/>
    </row>
    <row r="168" customFormat="false" ht="15" hidden="false" customHeight="false" outlineLevel="0" collapsed="false">
      <c r="B168" s="68" t="str">
        <f aca="false">IF(C168="","",ROW()-13)</f>
        <v/>
      </c>
      <c r="C168" s="143"/>
      <c r="D168" s="89"/>
      <c r="E168" s="90"/>
      <c r="F168" s="89"/>
      <c r="G168" s="144"/>
      <c r="H168" s="144"/>
      <c r="I168" s="144"/>
      <c r="J168" s="78" t="str">
        <f aca="false">IF(OR(G168="",H168="",I168=""),"",IFERROR(ROUND(IF(F168="Short",G168-I168,I168-G168)/ABS(G168-H168),2),""))</f>
        <v/>
      </c>
      <c r="K168" s="68" t="str">
        <f aca="false">IF(J168="","",IF(ABS(J168)&lt;=Settings!$C$6,"BE",IF(J168&gt;0,"Win","Loss")))</f>
        <v/>
      </c>
      <c r="L168" s="78" t="str">
        <f aca="false">IF(J168="","",ROUND(SUM(J$14:J168),2))</f>
        <v/>
      </c>
      <c r="M168" s="90"/>
    </row>
    <row r="169" customFormat="false" ht="15" hidden="false" customHeight="false" outlineLevel="0" collapsed="false">
      <c r="B169" s="68" t="str">
        <f aca="false">IF(C169="","",ROW()-13)</f>
        <v/>
      </c>
      <c r="C169" s="143"/>
      <c r="D169" s="89"/>
      <c r="E169" s="90"/>
      <c r="F169" s="89"/>
      <c r="G169" s="144"/>
      <c r="H169" s="144"/>
      <c r="I169" s="144"/>
      <c r="J169" s="78" t="str">
        <f aca="false">IF(OR(G169="",H169="",I169=""),"",IFERROR(ROUND(IF(F169="Short",G169-I169,I169-G169)/ABS(G169-H169),2),""))</f>
        <v/>
      </c>
      <c r="K169" s="68" t="str">
        <f aca="false">IF(J169="","",IF(ABS(J169)&lt;=Settings!$C$6,"BE",IF(J169&gt;0,"Win","Loss")))</f>
        <v/>
      </c>
      <c r="L169" s="78" t="str">
        <f aca="false">IF(J169="","",ROUND(SUM(J$14:J169),2))</f>
        <v/>
      </c>
      <c r="M169" s="90"/>
    </row>
    <row r="170" customFormat="false" ht="15" hidden="false" customHeight="false" outlineLevel="0" collapsed="false">
      <c r="B170" s="68" t="str">
        <f aca="false">IF(C170="","",ROW()-13)</f>
        <v/>
      </c>
      <c r="C170" s="143"/>
      <c r="D170" s="89"/>
      <c r="E170" s="90"/>
      <c r="F170" s="89"/>
      <c r="G170" s="144"/>
      <c r="H170" s="144"/>
      <c r="I170" s="144"/>
      <c r="J170" s="78" t="str">
        <f aca="false">IF(OR(G170="",H170="",I170=""),"",IFERROR(ROUND(IF(F170="Short",G170-I170,I170-G170)/ABS(G170-H170),2),""))</f>
        <v/>
      </c>
      <c r="K170" s="68" t="str">
        <f aca="false">IF(J170="","",IF(ABS(J170)&lt;=Settings!$C$6,"BE",IF(J170&gt;0,"Win","Loss")))</f>
        <v/>
      </c>
      <c r="L170" s="78" t="str">
        <f aca="false">IF(J170="","",ROUND(SUM(J$14:J170),2))</f>
        <v/>
      </c>
      <c r="M170" s="90"/>
    </row>
    <row r="171" customFormat="false" ht="15" hidden="false" customHeight="false" outlineLevel="0" collapsed="false">
      <c r="B171" s="68" t="str">
        <f aca="false">IF(C171="","",ROW()-13)</f>
        <v/>
      </c>
      <c r="C171" s="143"/>
      <c r="D171" s="89"/>
      <c r="E171" s="90"/>
      <c r="F171" s="89"/>
      <c r="G171" s="144"/>
      <c r="H171" s="144"/>
      <c r="I171" s="144"/>
      <c r="J171" s="78" t="str">
        <f aca="false">IF(OR(G171="",H171="",I171=""),"",IFERROR(ROUND(IF(F171="Short",G171-I171,I171-G171)/ABS(G171-H171),2),""))</f>
        <v/>
      </c>
      <c r="K171" s="68" t="str">
        <f aca="false">IF(J171="","",IF(ABS(J171)&lt;=Settings!$C$6,"BE",IF(J171&gt;0,"Win","Loss")))</f>
        <v/>
      </c>
      <c r="L171" s="78" t="str">
        <f aca="false">IF(J171="","",ROUND(SUM(J$14:J171),2))</f>
        <v/>
      </c>
      <c r="M171" s="90"/>
    </row>
    <row r="172" customFormat="false" ht="15" hidden="false" customHeight="false" outlineLevel="0" collapsed="false">
      <c r="B172" s="68" t="str">
        <f aca="false">IF(C172="","",ROW()-13)</f>
        <v/>
      </c>
      <c r="C172" s="143"/>
      <c r="D172" s="89"/>
      <c r="E172" s="90"/>
      <c r="F172" s="89"/>
      <c r="G172" s="144"/>
      <c r="H172" s="144"/>
      <c r="I172" s="144"/>
      <c r="J172" s="78" t="str">
        <f aca="false">IF(OR(G172="",H172="",I172=""),"",IFERROR(ROUND(IF(F172="Short",G172-I172,I172-G172)/ABS(G172-H172),2),""))</f>
        <v/>
      </c>
      <c r="K172" s="68" t="str">
        <f aca="false">IF(J172="","",IF(ABS(J172)&lt;=Settings!$C$6,"BE",IF(J172&gt;0,"Win","Loss")))</f>
        <v/>
      </c>
      <c r="L172" s="78" t="str">
        <f aca="false">IF(J172="","",ROUND(SUM(J$14:J172),2))</f>
        <v/>
      </c>
      <c r="M172" s="90"/>
    </row>
    <row r="173" customFormat="false" ht="15" hidden="false" customHeight="false" outlineLevel="0" collapsed="false">
      <c r="B173" s="68" t="str">
        <f aca="false">IF(C173="","",ROW()-13)</f>
        <v/>
      </c>
      <c r="C173" s="143"/>
      <c r="D173" s="89"/>
      <c r="E173" s="90"/>
      <c r="F173" s="89"/>
      <c r="G173" s="144"/>
      <c r="H173" s="144"/>
      <c r="I173" s="144"/>
      <c r="J173" s="78" t="str">
        <f aca="false">IF(OR(G173="",H173="",I173=""),"",IFERROR(ROUND(IF(F173="Short",G173-I173,I173-G173)/ABS(G173-H173),2),""))</f>
        <v/>
      </c>
      <c r="K173" s="68" t="str">
        <f aca="false">IF(J173="","",IF(ABS(J173)&lt;=Settings!$C$6,"BE",IF(J173&gt;0,"Win","Loss")))</f>
        <v/>
      </c>
      <c r="L173" s="78" t="str">
        <f aca="false">IF(J173="","",ROUND(SUM(J$14:J173),2))</f>
        <v/>
      </c>
      <c r="M173" s="90"/>
    </row>
    <row r="174" customFormat="false" ht="15" hidden="false" customHeight="false" outlineLevel="0" collapsed="false">
      <c r="B174" s="68" t="str">
        <f aca="false">IF(C174="","",ROW()-13)</f>
        <v/>
      </c>
      <c r="C174" s="143"/>
      <c r="D174" s="89"/>
      <c r="E174" s="90"/>
      <c r="F174" s="89"/>
      <c r="G174" s="144"/>
      <c r="H174" s="144"/>
      <c r="I174" s="144"/>
      <c r="J174" s="78" t="str">
        <f aca="false">IF(OR(G174="",H174="",I174=""),"",IFERROR(ROUND(IF(F174="Short",G174-I174,I174-G174)/ABS(G174-H174),2),""))</f>
        <v/>
      </c>
      <c r="K174" s="68" t="str">
        <f aca="false">IF(J174="","",IF(ABS(J174)&lt;=Settings!$C$6,"BE",IF(J174&gt;0,"Win","Loss")))</f>
        <v/>
      </c>
      <c r="L174" s="78" t="str">
        <f aca="false">IF(J174="","",ROUND(SUM(J$14:J174),2))</f>
        <v/>
      </c>
      <c r="M174" s="90"/>
    </row>
    <row r="175" customFormat="false" ht="15" hidden="false" customHeight="false" outlineLevel="0" collapsed="false">
      <c r="B175" s="68" t="str">
        <f aca="false">IF(C175="","",ROW()-13)</f>
        <v/>
      </c>
      <c r="C175" s="143"/>
      <c r="D175" s="89"/>
      <c r="E175" s="90"/>
      <c r="F175" s="89"/>
      <c r="G175" s="144"/>
      <c r="H175" s="144"/>
      <c r="I175" s="144"/>
      <c r="J175" s="78" t="str">
        <f aca="false">IF(OR(G175="",H175="",I175=""),"",IFERROR(ROUND(IF(F175="Short",G175-I175,I175-G175)/ABS(G175-H175),2),""))</f>
        <v/>
      </c>
      <c r="K175" s="68" t="str">
        <f aca="false">IF(J175="","",IF(ABS(J175)&lt;=Settings!$C$6,"BE",IF(J175&gt;0,"Win","Loss")))</f>
        <v/>
      </c>
      <c r="L175" s="78" t="str">
        <f aca="false">IF(J175="","",ROUND(SUM(J$14:J175),2))</f>
        <v/>
      </c>
      <c r="M175" s="90"/>
    </row>
    <row r="176" customFormat="false" ht="15" hidden="false" customHeight="false" outlineLevel="0" collapsed="false">
      <c r="B176" s="68" t="str">
        <f aca="false">IF(C176="","",ROW()-13)</f>
        <v/>
      </c>
      <c r="C176" s="143"/>
      <c r="D176" s="89"/>
      <c r="E176" s="90"/>
      <c r="F176" s="89"/>
      <c r="G176" s="144"/>
      <c r="H176" s="144"/>
      <c r="I176" s="144"/>
      <c r="J176" s="78" t="str">
        <f aca="false">IF(OR(G176="",H176="",I176=""),"",IFERROR(ROUND(IF(F176="Short",G176-I176,I176-G176)/ABS(G176-H176),2),""))</f>
        <v/>
      </c>
      <c r="K176" s="68" t="str">
        <f aca="false">IF(J176="","",IF(ABS(J176)&lt;=Settings!$C$6,"BE",IF(J176&gt;0,"Win","Loss")))</f>
        <v/>
      </c>
      <c r="L176" s="78" t="str">
        <f aca="false">IF(J176="","",ROUND(SUM(J$14:J176),2))</f>
        <v/>
      </c>
      <c r="M176" s="90"/>
    </row>
    <row r="177" customFormat="false" ht="15" hidden="false" customHeight="false" outlineLevel="0" collapsed="false">
      <c r="B177" s="68" t="str">
        <f aca="false">IF(C177="","",ROW()-13)</f>
        <v/>
      </c>
      <c r="C177" s="143"/>
      <c r="D177" s="89"/>
      <c r="E177" s="90"/>
      <c r="F177" s="89"/>
      <c r="G177" s="144"/>
      <c r="H177" s="144"/>
      <c r="I177" s="144"/>
      <c r="J177" s="78" t="str">
        <f aca="false">IF(OR(G177="",H177="",I177=""),"",IFERROR(ROUND(IF(F177="Short",G177-I177,I177-G177)/ABS(G177-H177),2),""))</f>
        <v/>
      </c>
      <c r="K177" s="68" t="str">
        <f aca="false">IF(J177="","",IF(ABS(J177)&lt;=Settings!$C$6,"BE",IF(J177&gt;0,"Win","Loss")))</f>
        <v/>
      </c>
      <c r="L177" s="78" t="str">
        <f aca="false">IF(J177="","",ROUND(SUM(J$14:J177),2))</f>
        <v/>
      </c>
      <c r="M177" s="90"/>
    </row>
    <row r="178" customFormat="false" ht="15" hidden="false" customHeight="false" outlineLevel="0" collapsed="false">
      <c r="B178" s="68" t="str">
        <f aca="false">IF(C178="","",ROW()-13)</f>
        <v/>
      </c>
      <c r="C178" s="143"/>
      <c r="D178" s="89"/>
      <c r="E178" s="90"/>
      <c r="F178" s="89"/>
      <c r="G178" s="144"/>
      <c r="H178" s="144"/>
      <c r="I178" s="144"/>
      <c r="J178" s="78" t="str">
        <f aca="false">IF(OR(G178="",H178="",I178=""),"",IFERROR(ROUND(IF(F178="Short",G178-I178,I178-G178)/ABS(G178-H178),2),""))</f>
        <v/>
      </c>
      <c r="K178" s="68" t="str">
        <f aca="false">IF(J178="","",IF(ABS(J178)&lt;=Settings!$C$6,"BE",IF(J178&gt;0,"Win","Loss")))</f>
        <v/>
      </c>
      <c r="L178" s="78" t="str">
        <f aca="false">IF(J178="","",ROUND(SUM(J$14:J178),2))</f>
        <v/>
      </c>
      <c r="M178" s="90"/>
    </row>
    <row r="179" customFormat="false" ht="15" hidden="false" customHeight="false" outlineLevel="0" collapsed="false">
      <c r="B179" s="68" t="str">
        <f aca="false">IF(C179="","",ROW()-13)</f>
        <v/>
      </c>
      <c r="C179" s="143"/>
      <c r="D179" s="89"/>
      <c r="E179" s="90"/>
      <c r="F179" s="89"/>
      <c r="G179" s="144"/>
      <c r="H179" s="144"/>
      <c r="I179" s="144"/>
      <c r="J179" s="78" t="str">
        <f aca="false">IF(OR(G179="",H179="",I179=""),"",IFERROR(ROUND(IF(F179="Short",G179-I179,I179-G179)/ABS(G179-H179),2),""))</f>
        <v/>
      </c>
      <c r="K179" s="68" t="str">
        <f aca="false">IF(J179="","",IF(ABS(J179)&lt;=Settings!$C$6,"BE",IF(J179&gt;0,"Win","Loss")))</f>
        <v/>
      </c>
      <c r="L179" s="78" t="str">
        <f aca="false">IF(J179="","",ROUND(SUM(J$14:J179),2))</f>
        <v/>
      </c>
      <c r="M179" s="90"/>
    </row>
    <row r="180" customFormat="false" ht="15" hidden="false" customHeight="false" outlineLevel="0" collapsed="false">
      <c r="B180" s="68" t="str">
        <f aca="false">IF(C180="","",ROW()-13)</f>
        <v/>
      </c>
      <c r="C180" s="143"/>
      <c r="D180" s="89"/>
      <c r="E180" s="90"/>
      <c r="F180" s="89"/>
      <c r="G180" s="144"/>
      <c r="H180" s="144"/>
      <c r="I180" s="144"/>
      <c r="J180" s="78" t="str">
        <f aca="false">IF(OR(G180="",H180="",I180=""),"",IFERROR(ROUND(IF(F180="Short",G180-I180,I180-G180)/ABS(G180-H180),2),""))</f>
        <v/>
      </c>
      <c r="K180" s="68" t="str">
        <f aca="false">IF(J180="","",IF(ABS(J180)&lt;=Settings!$C$6,"BE",IF(J180&gt;0,"Win","Loss")))</f>
        <v/>
      </c>
      <c r="L180" s="78" t="str">
        <f aca="false">IF(J180="","",ROUND(SUM(J$14:J180),2))</f>
        <v/>
      </c>
      <c r="M180" s="90"/>
    </row>
    <row r="181" customFormat="false" ht="15" hidden="false" customHeight="false" outlineLevel="0" collapsed="false">
      <c r="B181" s="68" t="str">
        <f aca="false">IF(C181="","",ROW()-13)</f>
        <v/>
      </c>
      <c r="C181" s="143"/>
      <c r="D181" s="89"/>
      <c r="E181" s="90"/>
      <c r="F181" s="89"/>
      <c r="G181" s="144"/>
      <c r="H181" s="144"/>
      <c r="I181" s="144"/>
      <c r="J181" s="78" t="str">
        <f aca="false">IF(OR(G181="",H181="",I181=""),"",IFERROR(ROUND(IF(F181="Short",G181-I181,I181-G181)/ABS(G181-H181),2),""))</f>
        <v/>
      </c>
      <c r="K181" s="68" t="str">
        <f aca="false">IF(J181="","",IF(ABS(J181)&lt;=Settings!$C$6,"BE",IF(J181&gt;0,"Win","Loss")))</f>
        <v/>
      </c>
      <c r="L181" s="78" t="str">
        <f aca="false">IF(J181="","",ROUND(SUM(J$14:J181),2))</f>
        <v/>
      </c>
      <c r="M181" s="90"/>
    </row>
    <row r="182" customFormat="false" ht="15" hidden="false" customHeight="false" outlineLevel="0" collapsed="false">
      <c r="B182" s="68" t="str">
        <f aca="false">IF(C182="","",ROW()-13)</f>
        <v/>
      </c>
      <c r="C182" s="143"/>
      <c r="D182" s="89"/>
      <c r="E182" s="90"/>
      <c r="F182" s="89"/>
      <c r="G182" s="144"/>
      <c r="H182" s="144"/>
      <c r="I182" s="144"/>
      <c r="J182" s="78" t="str">
        <f aca="false">IF(OR(G182="",H182="",I182=""),"",IFERROR(ROUND(IF(F182="Short",G182-I182,I182-G182)/ABS(G182-H182),2),""))</f>
        <v/>
      </c>
      <c r="K182" s="68" t="str">
        <f aca="false">IF(J182="","",IF(ABS(J182)&lt;=Settings!$C$6,"BE",IF(J182&gt;0,"Win","Loss")))</f>
        <v/>
      </c>
      <c r="L182" s="78" t="str">
        <f aca="false">IF(J182="","",ROUND(SUM(J$14:J182),2))</f>
        <v/>
      </c>
      <c r="M182" s="90"/>
    </row>
    <row r="183" customFormat="false" ht="15" hidden="false" customHeight="false" outlineLevel="0" collapsed="false">
      <c r="B183" s="68" t="str">
        <f aca="false">IF(C183="","",ROW()-13)</f>
        <v/>
      </c>
      <c r="C183" s="143"/>
      <c r="D183" s="89"/>
      <c r="E183" s="90"/>
      <c r="F183" s="89"/>
      <c r="G183" s="144"/>
      <c r="H183" s="144"/>
      <c r="I183" s="144"/>
      <c r="J183" s="78" t="str">
        <f aca="false">IF(OR(G183="",H183="",I183=""),"",IFERROR(ROUND(IF(F183="Short",G183-I183,I183-G183)/ABS(G183-H183),2),""))</f>
        <v/>
      </c>
      <c r="K183" s="68" t="str">
        <f aca="false">IF(J183="","",IF(ABS(J183)&lt;=Settings!$C$6,"BE",IF(J183&gt;0,"Win","Loss")))</f>
        <v/>
      </c>
      <c r="L183" s="78" t="str">
        <f aca="false">IF(J183="","",ROUND(SUM(J$14:J183),2))</f>
        <v/>
      </c>
      <c r="M183" s="90"/>
    </row>
    <row r="184" customFormat="false" ht="15" hidden="false" customHeight="false" outlineLevel="0" collapsed="false">
      <c r="B184" s="68" t="str">
        <f aca="false">IF(C184="","",ROW()-13)</f>
        <v/>
      </c>
      <c r="C184" s="143"/>
      <c r="D184" s="89"/>
      <c r="E184" s="90"/>
      <c r="F184" s="89"/>
      <c r="G184" s="144"/>
      <c r="H184" s="144"/>
      <c r="I184" s="144"/>
      <c r="J184" s="78" t="str">
        <f aca="false">IF(OR(G184="",H184="",I184=""),"",IFERROR(ROUND(IF(F184="Short",G184-I184,I184-G184)/ABS(G184-H184),2),""))</f>
        <v/>
      </c>
      <c r="K184" s="68" t="str">
        <f aca="false">IF(J184="","",IF(ABS(J184)&lt;=Settings!$C$6,"BE",IF(J184&gt;0,"Win","Loss")))</f>
        <v/>
      </c>
      <c r="L184" s="78" t="str">
        <f aca="false">IF(J184="","",ROUND(SUM(J$14:J184),2))</f>
        <v/>
      </c>
      <c r="M184" s="90"/>
    </row>
    <row r="185" customFormat="false" ht="15" hidden="false" customHeight="false" outlineLevel="0" collapsed="false">
      <c r="B185" s="68" t="str">
        <f aca="false">IF(C185="","",ROW()-13)</f>
        <v/>
      </c>
      <c r="C185" s="143"/>
      <c r="D185" s="89"/>
      <c r="E185" s="90"/>
      <c r="F185" s="89"/>
      <c r="G185" s="144"/>
      <c r="H185" s="144"/>
      <c r="I185" s="144"/>
      <c r="J185" s="78" t="str">
        <f aca="false">IF(OR(G185="",H185="",I185=""),"",IFERROR(ROUND(IF(F185="Short",G185-I185,I185-G185)/ABS(G185-H185),2),""))</f>
        <v/>
      </c>
      <c r="K185" s="68" t="str">
        <f aca="false">IF(J185="","",IF(ABS(J185)&lt;=Settings!$C$6,"BE",IF(J185&gt;0,"Win","Loss")))</f>
        <v/>
      </c>
      <c r="L185" s="78" t="str">
        <f aca="false">IF(J185="","",ROUND(SUM(J$14:J185),2))</f>
        <v/>
      </c>
      <c r="M185" s="90"/>
    </row>
    <row r="186" customFormat="false" ht="15" hidden="false" customHeight="false" outlineLevel="0" collapsed="false">
      <c r="B186" s="68" t="str">
        <f aca="false">IF(C186="","",ROW()-13)</f>
        <v/>
      </c>
      <c r="C186" s="143"/>
      <c r="D186" s="89"/>
      <c r="E186" s="90"/>
      <c r="F186" s="89"/>
      <c r="G186" s="144"/>
      <c r="H186" s="144"/>
      <c r="I186" s="144"/>
      <c r="J186" s="78" t="str">
        <f aca="false">IF(OR(G186="",H186="",I186=""),"",IFERROR(ROUND(IF(F186="Short",G186-I186,I186-G186)/ABS(G186-H186),2),""))</f>
        <v/>
      </c>
      <c r="K186" s="68" t="str">
        <f aca="false">IF(J186="","",IF(ABS(J186)&lt;=Settings!$C$6,"BE",IF(J186&gt;0,"Win","Loss")))</f>
        <v/>
      </c>
      <c r="L186" s="78" t="str">
        <f aca="false">IF(J186="","",ROUND(SUM(J$14:J186),2))</f>
        <v/>
      </c>
      <c r="M186" s="90"/>
    </row>
    <row r="187" customFormat="false" ht="15" hidden="false" customHeight="false" outlineLevel="0" collapsed="false">
      <c r="B187" s="68" t="str">
        <f aca="false">IF(C187="","",ROW()-13)</f>
        <v/>
      </c>
      <c r="C187" s="143"/>
      <c r="D187" s="89"/>
      <c r="E187" s="90"/>
      <c r="F187" s="89"/>
      <c r="G187" s="144"/>
      <c r="H187" s="144"/>
      <c r="I187" s="144"/>
      <c r="J187" s="78" t="str">
        <f aca="false">IF(OR(G187="",H187="",I187=""),"",IFERROR(ROUND(IF(F187="Short",G187-I187,I187-G187)/ABS(G187-H187),2),""))</f>
        <v/>
      </c>
      <c r="K187" s="68" t="str">
        <f aca="false">IF(J187="","",IF(ABS(J187)&lt;=Settings!$C$6,"BE",IF(J187&gt;0,"Win","Loss")))</f>
        <v/>
      </c>
      <c r="L187" s="78" t="str">
        <f aca="false">IF(J187="","",ROUND(SUM(J$14:J187),2))</f>
        <v/>
      </c>
      <c r="M187" s="90"/>
    </row>
    <row r="188" customFormat="false" ht="15" hidden="false" customHeight="false" outlineLevel="0" collapsed="false">
      <c r="B188" s="68" t="str">
        <f aca="false">IF(C188="","",ROW()-13)</f>
        <v/>
      </c>
      <c r="C188" s="143"/>
      <c r="D188" s="89"/>
      <c r="E188" s="90"/>
      <c r="F188" s="89"/>
      <c r="G188" s="144"/>
      <c r="H188" s="144"/>
      <c r="I188" s="144"/>
      <c r="J188" s="78" t="str">
        <f aca="false">IF(OR(G188="",H188="",I188=""),"",IFERROR(ROUND(IF(F188="Short",G188-I188,I188-G188)/ABS(G188-H188),2),""))</f>
        <v/>
      </c>
      <c r="K188" s="68" t="str">
        <f aca="false">IF(J188="","",IF(ABS(J188)&lt;=Settings!$C$6,"BE",IF(J188&gt;0,"Win","Loss")))</f>
        <v/>
      </c>
      <c r="L188" s="78" t="str">
        <f aca="false">IF(J188="","",ROUND(SUM(J$14:J188),2))</f>
        <v/>
      </c>
      <c r="M188" s="90"/>
    </row>
    <row r="189" customFormat="false" ht="15" hidden="false" customHeight="false" outlineLevel="0" collapsed="false">
      <c r="B189" s="68" t="str">
        <f aca="false">IF(C189="","",ROW()-13)</f>
        <v/>
      </c>
      <c r="C189" s="143"/>
      <c r="D189" s="89"/>
      <c r="E189" s="90"/>
      <c r="F189" s="89"/>
      <c r="G189" s="144"/>
      <c r="H189" s="144"/>
      <c r="I189" s="144"/>
      <c r="J189" s="78" t="str">
        <f aca="false">IF(OR(G189="",H189="",I189=""),"",IFERROR(ROUND(IF(F189="Short",G189-I189,I189-G189)/ABS(G189-H189),2),""))</f>
        <v/>
      </c>
      <c r="K189" s="68" t="str">
        <f aca="false">IF(J189="","",IF(ABS(J189)&lt;=Settings!$C$6,"BE",IF(J189&gt;0,"Win","Loss")))</f>
        <v/>
      </c>
      <c r="L189" s="78" t="str">
        <f aca="false">IF(J189="","",ROUND(SUM(J$14:J189),2))</f>
        <v/>
      </c>
      <c r="M189" s="90"/>
    </row>
    <row r="190" customFormat="false" ht="15" hidden="false" customHeight="false" outlineLevel="0" collapsed="false">
      <c r="B190" s="68" t="str">
        <f aca="false">IF(C190="","",ROW()-13)</f>
        <v/>
      </c>
      <c r="C190" s="143"/>
      <c r="D190" s="89"/>
      <c r="E190" s="90"/>
      <c r="F190" s="89"/>
      <c r="G190" s="144"/>
      <c r="H190" s="144"/>
      <c r="I190" s="144"/>
      <c r="J190" s="78" t="str">
        <f aca="false">IF(OR(G190="",H190="",I190=""),"",IFERROR(ROUND(IF(F190="Short",G190-I190,I190-G190)/ABS(G190-H190),2),""))</f>
        <v/>
      </c>
      <c r="K190" s="68" t="str">
        <f aca="false">IF(J190="","",IF(ABS(J190)&lt;=Settings!$C$6,"BE",IF(J190&gt;0,"Win","Loss")))</f>
        <v/>
      </c>
      <c r="L190" s="78" t="str">
        <f aca="false">IF(J190="","",ROUND(SUM(J$14:J190),2))</f>
        <v/>
      </c>
      <c r="M190" s="90"/>
    </row>
    <row r="191" customFormat="false" ht="15" hidden="false" customHeight="false" outlineLevel="0" collapsed="false">
      <c r="B191" s="68" t="str">
        <f aca="false">IF(C191="","",ROW()-13)</f>
        <v/>
      </c>
      <c r="C191" s="143"/>
      <c r="D191" s="89"/>
      <c r="E191" s="90"/>
      <c r="F191" s="89"/>
      <c r="G191" s="144"/>
      <c r="H191" s="144"/>
      <c r="I191" s="144"/>
      <c r="J191" s="78" t="str">
        <f aca="false">IF(OR(G191="",H191="",I191=""),"",IFERROR(ROUND(IF(F191="Short",G191-I191,I191-G191)/ABS(G191-H191),2),""))</f>
        <v/>
      </c>
      <c r="K191" s="68" t="str">
        <f aca="false">IF(J191="","",IF(ABS(J191)&lt;=Settings!$C$6,"BE",IF(J191&gt;0,"Win","Loss")))</f>
        <v/>
      </c>
      <c r="L191" s="78" t="str">
        <f aca="false">IF(J191="","",ROUND(SUM(J$14:J191),2))</f>
        <v/>
      </c>
      <c r="M191" s="90"/>
    </row>
    <row r="192" customFormat="false" ht="15" hidden="false" customHeight="false" outlineLevel="0" collapsed="false">
      <c r="B192" s="68" t="str">
        <f aca="false">IF(C192="","",ROW()-13)</f>
        <v/>
      </c>
      <c r="C192" s="143"/>
      <c r="D192" s="89"/>
      <c r="E192" s="90"/>
      <c r="F192" s="89"/>
      <c r="G192" s="144"/>
      <c r="H192" s="144"/>
      <c r="I192" s="144"/>
      <c r="J192" s="78" t="str">
        <f aca="false">IF(OR(G192="",H192="",I192=""),"",IFERROR(ROUND(IF(F192="Short",G192-I192,I192-G192)/ABS(G192-H192),2),""))</f>
        <v/>
      </c>
      <c r="K192" s="68" t="str">
        <f aca="false">IF(J192="","",IF(ABS(J192)&lt;=Settings!$C$6,"BE",IF(J192&gt;0,"Win","Loss")))</f>
        <v/>
      </c>
      <c r="L192" s="78" t="str">
        <f aca="false">IF(J192="","",ROUND(SUM(J$14:J192),2))</f>
        <v/>
      </c>
      <c r="M192" s="90"/>
    </row>
    <row r="193" customFormat="false" ht="15" hidden="false" customHeight="false" outlineLevel="0" collapsed="false">
      <c r="B193" s="68" t="str">
        <f aca="false">IF(C193="","",ROW()-13)</f>
        <v/>
      </c>
      <c r="C193" s="143"/>
      <c r="D193" s="89"/>
      <c r="E193" s="90"/>
      <c r="F193" s="89"/>
      <c r="G193" s="144"/>
      <c r="H193" s="144"/>
      <c r="I193" s="144"/>
      <c r="J193" s="78" t="str">
        <f aca="false">IF(OR(G193="",H193="",I193=""),"",IFERROR(ROUND(IF(F193="Short",G193-I193,I193-G193)/ABS(G193-H193),2),""))</f>
        <v/>
      </c>
      <c r="K193" s="68" t="str">
        <f aca="false">IF(J193="","",IF(ABS(J193)&lt;=Settings!$C$6,"BE",IF(J193&gt;0,"Win","Loss")))</f>
        <v/>
      </c>
      <c r="L193" s="78" t="str">
        <f aca="false">IF(J193="","",ROUND(SUM(J$14:J193),2))</f>
        <v/>
      </c>
      <c r="M193" s="90"/>
    </row>
    <row r="194" customFormat="false" ht="15" hidden="false" customHeight="false" outlineLevel="0" collapsed="false">
      <c r="B194" s="68" t="str">
        <f aca="false">IF(C194="","",ROW()-13)</f>
        <v/>
      </c>
      <c r="C194" s="143"/>
      <c r="D194" s="89"/>
      <c r="E194" s="90"/>
      <c r="F194" s="89"/>
      <c r="G194" s="144"/>
      <c r="H194" s="144"/>
      <c r="I194" s="144"/>
      <c r="J194" s="78" t="str">
        <f aca="false">IF(OR(G194="",H194="",I194=""),"",IFERROR(ROUND(IF(F194="Short",G194-I194,I194-G194)/ABS(G194-H194),2),""))</f>
        <v/>
      </c>
      <c r="K194" s="68" t="str">
        <f aca="false">IF(J194="","",IF(ABS(J194)&lt;=Settings!$C$6,"BE",IF(J194&gt;0,"Win","Loss")))</f>
        <v/>
      </c>
      <c r="L194" s="78" t="str">
        <f aca="false">IF(J194="","",ROUND(SUM(J$14:J194),2))</f>
        <v/>
      </c>
      <c r="M194" s="90"/>
    </row>
    <row r="195" customFormat="false" ht="15" hidden="false" customHeight="false" outlineLevel="0" collapsed="false">
      <c r="B195" s="68" t="str">
        <f aca="false">IF(C195="","",ROW()-13)</f>
        <v/>
      </c>
      <c r="C195" s="143"/>
      <c r="D195" s="89"/>
      <c r="E195" s="90"/>
      <c r="F195" s="89"/>
      <c r="G195" s="144"/>
      <c r="H195" s="144"/>
      <c r="I195" s="144"/>
      <c r="J195" s="78" t="str">
        <f aca="false">IF(OR(G195="",H195="",I195=""),"",IFERROR(ROUND(IF(F195="Short",G195-I195,I195-G195)/ABS(G195-H195),2),""))</f>
        <v/>
      </c>
      <c r="K195" s="68" t="str">
        <f aca="false">IF(J195="","",IF(ABS(J195)&lt;=Settings!$C$6,"BE",IF(J195&gt;0,"Win","Loss")))</f>
        <v/>
      </c>
      <c r="L195" s="78" t="str">
        <f aca="false">IF(J195="","",ROUND(SUM(J$14:J195),2))</f>
        <v/>
      </c>
      <c r="M195" s="90"/>
    </row>
    <row r="196" customFormat="false" ht="15" hidden="false" customHeight="false" outlineLevel="0" collapsed="false">
      <c r="B196" s="68" t="str">
        <f aca="false">IF(C196="","",ROW()-13)</f>
        <v/>
      </c>
      <c r="C196" s="143"/>
      <c r="D196" s="89"/>
      <c r="E196" s="90"/>
      <c r="F196" s="89"/>
      <c r="G196" s="144"/>
      <c r="H196" s="144"/>
      <c r="I196" s="144"/>
      <c r="J196" s="78" t="str">
        <f aca="false">IF(OR(G196="",H196="",I196=""),"",IFERROR(ROUND(IF(F196="Short",G196-I196,I196-G196)/ABS(G196-H196),2),""))</f>
        <v/>
      </c>
      <c r="K196" s="68" t="str">
        <f aca="false">IF(J196="","",IF(ABS(J196)&lt;=Settings!$C$6,"BE",IF(J196&gt;0,"Win","Loss")))</f>
        <v/>
      </c>
      <c r="L196" s="78" t="str">
        <f aca="false">IF(J196="","",ROUND(SUM(J$14:J196),2))</f>
        <v/>
      </c>
      <c r="M196" s="90"/>
    </row>
    <row r="197" customFormat="false" ht="15" hidden="false" customHeight="false" outlineLevel="0" collapsed="false">
      <c r="B197" s="68" t="str">
        <f aca="false">IF(C197="","",ROW()-13)</f>
        <v/>
      </c>
      <c r="C197" s="143"/>
      <c r="D197" s="89"/>
      <c r="E197" s="90"/>
      <c r="F197" s="89"/>
      <c r="G197" s="144"/>
      <c r="H197" s="144"/>
      <c r="I197" s="144"/>
      <c r="J197" s="78" t="str">
        <f aca="false">IF(OR(G197="",H197="",I197=""),"",IFERROR(ROUND(IF(F197="Short",G197-I197,I197-G197)/ABS(G197-H197),2),""))</f>
        <v/>
      </c>
      <c r="K197" s="68" t="str">
        <f aca="false">IF(J197="","",IF(ABS(J197)&lt;=Settings!$C$6,"BE",IF(J197&gt;0,"Win","Loss")))</f>
        <v/>
      </c>
      <c r="L197" s="78" t="str">
        <f aca="false">IF(J197="","",ROUND(SUM(J$14:J197),2))</f>
        <v/>
      </c>
      <c r="M197" s="90"/>
    </row>
    <row r="198" customFormat="false" ht="15" hidden="false" customHeight="false" outlineLevel="0" collapsed="false">
      <c r="B198" s="68" t="str">
        <f aca="false">IF(C198="","",ROW()-13)</f>
        <v/>
      </c>
      <c r="C198" s="143"/>
      <c r="D198" s="89"/>
      <c r="E198" s="90"/>
      <c r="F198" s="89"/>
      <c r="G198" s="144"/>
      <c r="H198" s="144"/>
      <c r="I198" s="144"/>
      <c r="J198" s="78" t="str">
        <f aca="false">IF(OR(G198="",H198="",I198=""),"",IFERROR(ROUND(IF(F198="Short",G198-I198,I198-G198)/ABS(G198-H198),2),""))</f>
        <v/>
      </c>
      <c r="K198" s="68" t="str">
        <f aca="false">IF(J198="","",IF(ABS(J198)&lt;=Settings!$C$6,"BE",IF(J198&gt;0,"Win","Loss")))</f>
        <v/>
      </c>
      <c r="L198" s="78" t="str">
        <f aca="false">IF(J198="","",ROUND(SUM(J$14:J198),2))</f>
        <v/>
      </c>
      <c r="M198" s="90"/>
    </row>
    <row r="199" customFormat="false" ht="15" hidden="false" customHeight="false" outlineLevel="0" collapsed="false">
      <c r="B199" s="68" t="str">
        <f aca="false">IF(C199="","",ROW()-13)</f>
        <v/>
      </c>
      <c r="C199" s="143"/>
      <c r="D199" s="89"/>
      <c r="E199" s="90"/>
      <c r="F199" s="89"/>
      <c r="G199" s="144"/>
      <c r="H199" s="144"/>
      <c r="I199" s="144"/>
      <c r="J199" s="78" t="str">
        <f aca="false">IF(OR(G199="",H199="",I199=""),"",IFERROR(ROUND(IF(F199="Short",G199-I199,I199-G199)/ABS(G199-H199),2),""))</f>
        <v/>
      </c>
      <c r="K199" s="68" t="str">
        <f aca="false">IF(J199="","",IF(ABS(J199)&lt;=Settings!$C$6,"BE",IF(J199&gt;0,"Win","Loss")))</f>
        <v/>
      </c>
      <c r="L199" s="78" t="str">
        <f aca="false">IF(J199="","",ROUND(SUM(J$14:J199),2))</f>
        <v/>
      </c>
      <c r="M199" s="90"/>
    </row>
    <row r="200" customFormat="false" ht="15" hidden="false" customHeight="false" outlineLevel="0" collapsed="false">
      <c r="B200" s="68" t="str">
        <f aca="false">IF(C200="","",ROW()-13)</f>
        <v/>
      </c>
      <c r="C200" s="143"/>
      <c r="D200" s="89"/>
      <c r="E200" s="90"/>
      <c r="F200" s="89"/>
      <c r="G200" s="144"/>
      <c r="H200" s="144"/>
      <c r="I200" s="144"/>
      <c r="J200" s="78" t="str">
        <f aca="false">IF(OR(G200="",H200="",I200=""),"",IFERROR(ROUND(IF(F200="Short",G200-I200,I200-G200)/ABS(G200-H200),2),""))</f>
        <v/>
      </c>
      <c r="K200" s="68" t="str">
        <f aca="false">IF(J200="","",IF(ABS(J200)&lt;=Settings!$C$6,"BE",IF(J200&gt;0,"Win","Loss")))</f>
        <v/>
      </c>
      <c r="L200" s="78" t="str">
        <f aca="false">IF(J200="","",ROUND(SUM(J$14:J200),2))</f>
        <v/>
      </c>
      <c r="M200" s="90"/>
    </row>
    <row r="201" customFormat="false" ht="15" hidden="false" customHeight="false" outlineLevel="0" collapsed="false">
      <c r="B201" s="68" t="str">
        <f aca="false">IF(C201="","",ROW()-13)</f>
        <v/>
      </c>
      <c r="C201" s="143"/>
      <c r="D201" s="89"/>
      <c r="E201" s="90"/>
      <c r="F201" s="89"/>
      <c r="G201" s="144"/>
      <c r="H201" s="144"/>
      <c r="I201" s="144"/>
      <c r="J201" s="78" t="str">
        <f aca="false">IF(OR(G201="",H201="",I201=""),"",IFERROR(ROUND(IF(F201="Short",G201-I201,I201-G201)/ABS(G201-H201),2),""))</f>
        <v/>
      </c>
      <c r="K201" s="68" t="str">
        <f aca="false">IF(J201="","",IF(ABS(J201)&lt;=Settings!$C$6,"BE",IF(J201&gt;0,"Win","Loss")))</f>
        <v/>
      </c>
      <c r="L201" s="78" t="str">
        <f aca="false">IF(J201="","",ROUND(SUM(J$14:J201),2))</f>
        <v/>
      </c>
      <c r="M201" s="90"/>
    </row>
    <row r="202" customFormat="false" ht="15" hidden="false" customHeight="false" outlineLevel="0" collapsed="false">
      <c r="B202" s="68" t="str">
        <f aca="false">IF(C202="","",ROW()-13)</f>
        <v/>
      </c>
      <c r="C202" s="143"/>
      <c r="D202" s="89"/>
      <c r="E202" s="90"/>
      <c r="F202" s="89"/>
      <c r="G202" s="144"/>
      <c r="H202" s="144"/>
      <c r="I202" s="144"/>
      <c r="J202" s="78" t="str">
        <f aca="false">IF(OR(G202="",H202="",I202=""),"",IFERROR(ROUND(IF(F202="Short",G202-I202,I202-G202)/ABS(G202-H202),2),""))</f>
        <v/>
      </c>
      <c r="K202" s="68" t="str">
        <f aca="false">IF(J202="","",IF(ABS(J202)&lt;=Settings!$C$6,"BE",IF(J202&gt;0,"Win","Loss")))</f>
        <v/>
      </c>
      <c r="L202" s="78" t="str">
        <f aca="false">IF(J202="","",ROUND(SUM(J$14:J202),2))</f>
        <v/>
      </c>
      <c r="M202" s="90"/>
    </row>
    <row r="203" customFormat="false" ht="15" hidden="false" customHeight="false" outlineLevel="0" collapsed="false">
      <c r="B203" s="68" t="str">
        <f aca="false">IF(C203="","",ROW()-13)</f>
        <v/>
      </c>
      <c r="C203" s="143"/>
      <c r="D203" s="89"/>
      <c r="E203" s="90"/>
      <c r="F203" s="89"/>
      <c r="G203" s="144"/>
      <c r="H203" s="144"/>
      <c r="I203" s="144"/>
      <c r="J203" s="78" t="str">
        <f aca="false">IF(OR(G203="",H203="",I203=""),"",IFERROR(ROUND(IF(F203="Short",G203-I203,I203-G203)/ABS(G203-H203),2),""))</f>
        <v/>
      </c>
      <c r="K203" s="68" t="str">
        <f aca="false">IF(J203="","",IF(ABS(J203)&lt;=Settings!$C$6,"BE",IF(J203&gt;0,"Win","Loss")))</f>
        <v/>
      </c>
      <c r="L203" s="78" t="str">
        <f aca="false">IF(J203="","",ROUND(SUM(J$14:J203),2))</f>
        <v/>
      </c>
      <c r="M203" s="90"/>
    </row>
    <row r="204" customFormat="false" ht="15" hidden="false" customHeight="false" outlineLevel="0" collapsed="false">
      <c r="B204" s="68" t="str">
        <f aca="false">IF(C204="","",ROW()-13)</f>
        <v/>
      </c>
      <c r="C204" s="143"/>
      <c r="D204" s="89"/>
      <c r="E204" s="90"/>
      <c r="F204" s="89"/>
      <c r="G204" s="144"/>
      <c r="H204" s="144"/>
      <c r="I204" s="144"/>
      <c r="J204" s="78" t="str">
        <f aca="false">IF(OR(G204="",H204="",I204=""),"",IFERROR(ROUND(IF(F204="Short",G204-I204,I204-G204)/ABS(G204-H204),2),""))</f>
        <v/>
      </c>
      <c r="K204" s="68" t="str">
        <f aca="false">IF(J204="","",IF(ABS(J204)&lt;=Settings!$C$6,"BE",IF(J204&gt;0,"Win","Loss")))</f>
        <v/>
      </c>
      <c r="L204" s="78" t="str">
        <f aca="false">IF(J204="","",ROUND(SUM(J$14:J204),2))</f>
        <v/>
      </c>
      <c r="M204" s="90"/>
    </row>
    <row r="205" customFormat="false" ht="15" hidden="false" customHeight="false" outlineLevel="0" collapsed="false">
      <c r="B205" s="68" t="str">
        <f aca="false">IF(C205="","",ROW()-13)</f>
        <v/>
      </c>
      <c r="C205" s="143"/>
      <c r="D205" s="89"/>
      <c r="E205" s="90"/>
      <c r="F205" s="89"/>
      <c r="G205" s="144"/>
      <c r="H205" s="144"/>
      <c r="I205" s="144"/>
      <c r="J205" s="78" t="str">
        <f aca="false">IF(OR(G205="",H205="",I205=""),"",IFERROR(ROUND(IF(F205="Short",G205-I205,I205-G205)/ABS(G205-H205),2),""))</f>
        <v/>
      </c>
      <c r="K205" s="68" t="str">
        <f aca="false">IF(J205="","",IF(ABS(J205)&lt;=Settings!$C$6,"BE",IF(J205&gt;0,"Win","Loss")))</f>
        <v/>
      </c>
      <c r="L205" s="78" t="str">
        <f aca="false">IF(J205="","",ROUND(SUM(J$14:J205),2))</f>
        <v/>
      </c>
      <c r="M205" s="90"/>
    </row>
    <row r="206" customFormat="false" ht="15" hidden="false" customHeight="false" outlineLevel="0" collapsed="false">
      <c r="B206" s="68" t="str">
        <f aca="false">IF(C206="","",ROW()-13)</f>
        <v/>
      </c>
      <c r="C206" s="143"/>
      <c r="D206" s="89"/>
      <c r="E206" s="90"/>
      <c r="F206" s="89"/>
      <c r="G206" s="144"/>
      <c r="H206" s="144"/>
      <c r="I206" s="144"/>
      <c r="J206" s="78" t="str">
        <f aca="false">IF(OR(G206="",H206="",I206=""),"",IFERROR(ROUND(IF(F206="Short",G206-I206,I206-G206)/ABS(G206-H206),2),""))</f>
        <v/>
      </c>
      <c r="K206" s="68" t="str">
        <f aca="false">IF(J206="","",IF(ABS(J206)&lt;=Settings!$C$6,"BE",IF(J206&gt;0,"Win","Loss")))</f>
        <v/>
      </c>
      <c r="L206" s="78" t="str">
        <f aca="false">IF(J206="","",ROUND(SUM(J$14:J206),2))</f>
        <v/>
      </c>
      <c r="M206" s="90"/>
    </row>
    <row r="207" customFormat="false" ht="15" hidden="false" customHeight="false" outlineLevel="0" collapsed="false">
      <c r="B207" s="68" t="str">
        <f aca="false">IF(C207="","",ROW()-13)</f>
        <v/>
      </c>
      <c r="C207" s="143"/>
      <c r="D207" s="89"/>
      <c r="E207" s="90"/>
      <c r="F207" s="89"/>
      <c r="G207" s="144"/>
      <c r="H207" s="144"/>
      <c r="I207" s="144"/>
      <c r="J207" s="78" t="str">
        <f aca="false">IF(OR(G207="",H207="",I207=""),"",IFERROR(ROUND(IF(F207="Short",G207-I207,I207-G207)/ABS(G207-H207),2),""))</f>
        <v/>
      </c>
      <c r="K207" s="68" t="str">
        <f aca="false">IF(J207="","",IF(ABS(J207)&lt;=Settings!$C$6,"BE",IF(J207&gt;0,"Win","Loss")))</f>
        <v/>
      </c>
      <c r="L207" s="78" t="str">
        <f aca="false">IF(J207="","",ROUND(SUM(J$14:J207),2))</f>
        <v/>
      </c>
      <c r="M207" s="90"/>
    </row>
    <row r="208" customFormat="false" ht="15" hidden="false" customHeight="false" outlineLevel="0" collapsed="false">
      <c r="B208" s="68" t="str">
        <f aca="false">IF(C208="","",ROW()-13)</f>
        <v/>
      </c>
      <c r="C208" s="143"/>
      <c r="D208" s="89"/>
      <c r="E208" s="90"/>
      <c r="F208" s="89"/>
      <c r="G208" s="144"/>
      <c r="H208" s="144"/>
      <c r="I208" s="144"/>
      <c r="J208" s="78" t="str">
        <f aca="false">IF(OR(G208="",H208="",I208=""),"",IFERROR(ROUND(IF(F208="Short",G208-I208,I208-G208)/ABS(G208-H208),2),""))</f>
        <v/>
      </c>
      <c r="K208" s="68" t="str">
        <f aca="false">IF(J208="","",IF(ABS(J208)&lt;=Settings!$C$6,"BE",IF(J208&gt;0,"Win","Loss")))</f>
        <v/>
      </c>
      <c r="L208" s="78" t="str">
        <f aca="false">IF(J208="","",ROUND(SUM(J$14:J208),2))</f>
        <v/>
      </c>
      <c r="M208" s="90"/>
    </row>
    <row r="209" customFormat="false" ht="15" hidden="false" customHeight="false" outlineLevel="0" collapsed="false">
      <c r="B209" s="68" t="str">
        <f aca="false">IF(C209="","",ROW()-13)</f>
        <v/>
      </c>
      <c r="C209" s="143"/>
      <c r="D209" s="89"/>
      <c r="E209" s="90"/>
      <c r="F209" s="89"/>
      <c r="G209" s="144"/>
      <c r="H209" s="144"/>
      <c r="I209" s="144"/>
      <c r="J209" s="78" t="str">
        <f aca="false">IF(OR(G209="",H209="",I209=""),"",IFERROR(ROUND(IF(F209="Short",G209-I209,I209-G209)/ABS(G209-H209),2),""))</f>
        <v/>
      </c>
      <c r="K209" s="68" t="str">
        <f aca="false">IF(J209="","",IF(ABS(J209)&lt;=Settings!$C$6,"BE",IF(J209&gt;0,"Win","Loss")))</f>
        <v/>
      </c>
      <c r="L209" s="78" t="str">
        <f aca="false">IF(J209="","",ROUND(SUM(J$14:J209),2))</f>
        <v/>
      </c>
      <c r="M209" s="90"/>
    </row>
    <row r="210" customFormat="false" ht="15" hidden="false" customHeight="false" outlineLevel="0" collapsed="false">
      <c r="B210" s="68" t="str">
        <f aca="false">IF(C210="","",ROW()-13)</f>
        <v/>
      </c>
      <c r="C210" s="143"/>
      <c r="D210" s="89"/>
      <c r="E210" s="90"/>
      <c r="F210" s="89"/>
      <c r="G210" s="144"/>
      <c r="H210" s="144"/>
      <c r="I210" s="144"/>
      <c r="J210" s="78" t="str">
        <f aca="false">IF(OR(G210="",H210="",I210=""),"",IFERROR(ROUND(IF(F210="Short",G210-I210,I210-G210)/ABS(G210-H210),2),""))</f>
        <v/>
      </c>
      <c r="K210" s="68" t="str">
        <f aca="false">IF(J210="","",IF(ABS(J210)&lt;=Settings!$C$6,"BE",IF(J210&gt;0,"Win","Loss")))</f>
        <v/>
      </c>
      <c r="L210" s="78" t="str">
        <f aca="false">IF(J210="","",ROUND(SUM(J$14:J210),2))</f>
        <v/>
      </c>
      <c r="M210" s="90"/>
    </row>
    <row r="211" customFormat="false" ht="15" hidden="false" customHeight="false" outlineLevel="0" collapsed="false">
      <c r="B211" s="68" t="str">
        <f aca="false">IF(C211="","",ROW()-13)</f>
        <v/>
      </c>
      <c r="C211" s="143"/>
      <c r="D211" s="89"/>
      <c r="E211" s="90"/>
      <c r="F211" s="89"/>
      <c r="G211" s="144"/>
      <c r="H211" s="144"/>
      <c r="I211" s="144"/>
      <c r="J211" s="78" t="str">
        <f aca="false">IF(OR(G211="",H211="",I211=""),"",IFERROR(ROUND(IF(F211="Short",G211-I211,I211-G211)/ABS(G211-H211),2),""))</f>
        <v/>
      </c>
      <c r="K211" s="68" t="str">
        <f aca="false">IF(J211="","",IF(ABS(J211)&lt;=Settings!$C$6,"BE",IF(J211&gt;0,"Win","Loss")))</f>
        <v/>
      </c>
      <c r="L211" s="78" t="str">
        <f aca="false">IF(J211="","",ROUND(SUM(J$14:J211),2))</f>
        <v/>
      </c>
      <c r="M211" s="90"/>
    </row>
    <row r="212" customFormat="false" ht="15" hidden="false" customHeight="false" outlineLevel="0" collapsed="false">
      <c r="B212" s="68" t="str">
        <f aca="false">IF(C212="","",ROW()-13)</f>
        <v/>
      </c>
      <c r="C212" s="143"/>
      <c r="D212" s="89"/>
      <c r="E212" s="90"/>
      <c r="F212" s="89"/>
      <c r="G212" s="144"/>
      <c r="H212" s="144"/>
      <c r="I212" s="144"/>
      <c r="J212" s="78" t="str">
        <f aca="false">IF(OR(G212="",H212="",I212=""),"",IFERROR(ROUND(IF(F212="Short",G212-I212,I212-G212)/ABS(G212-H212),2),""))</f>
        <v/>
      </c>
      <c r="K212" s="68" t="str">
        <f aca="false">IF(J212="","",IF(ABS(J212)&lt;=Settings!$C$6,"BE",IF(J212&gt;0,"Win","Loss")))</f>
        <v/>
      </c>
      <c r="L212" s="78" t="str">
        <f aca="false">IF(J212="","",ROUND(SUM(J$14:J212),2))</f>
        <v/>
      </c>
      <c r="M212" s="90"/>
    </row>
    <row r="213" customFormat="false" ht="15" hidden="false" customHeight="false" outlineLevel="0" collapsed="false">
      <c r="B213" s="68" t="str">
        <f aca="false">IF(C213="","",ROW()-13)</f>
        <v/>
      </c>
      <c r="C213" s="143"/>
      <c r="D213" s="89"/>
      <c r="E213" s="90"/>
      <c r="F213" s="89"/>
      <c r="G213" s="144"/>
      <c r="H213" s="144"/>
      <c r="I213" s="144"/>
      <c r="J213" s="78" t="str">
        <f aca="false">IF(OR(G213="",H213="",I213=""),"",IFERROR(ROUND(IF(F213="Short",G213-I213,I213-G213)/ABS(G213-H213),2),""))</f>
        <v/>
      </c>
      <c r="K213" s="68" t="str">
        <f aca="false">IF(J213="","",IF(ABS(J213)&lt;=Settings!$C$6,"BE",IF(J213&gt;0,"Win","Loss")))</f>
        <v/>
      </c>
      <c r="L213" s="78" t="str">
        <f aca="false">IF(J213="","",ROUND(SUM(J$14:J213),2))</f>
        <v/>
      </c>
      <c r="M213" s="90"/>
    </row>
    <row r="214" customFormat="false" ht="15" hidden="false" customHeight="false" outlineLevel="0" collapsed="false">
      <c r="B214" s="68" t="str">
        <f aca="false">IF(C214="","",ROW()-13)</f>
        <v/>
      </c>
      <c r="C214" s="143"/>
      <c r="D214" s="89"/>
      <c r="E214" s="90"/>
      <c r="F214" s="89"/>
      <c r="G214" s="144"/>
      <c r="H214" s="144"/>
      <c r="I214" s="144"/>
      <c r="J214" s="78" t="str">
        <f aca="false">IF(OR(G214="",H214="",I214=""),"",IFERROR(ROUND(IF(F214="Short",G214-I214,I214-G214)/ABS(G214-H214),2),""))</f>
        <v/>
      </c>
      <c r="K214" s="68" t="str">
        <f aca="false">IF(J214="","",IF(ABS(J214)&lt;=Settings!$C$6,"BE",IF(J214&gt;0,"Win","Loss")))</f>
        <v/>
      </c>
      <c r="L214" s="78" t="str">
        <f aca="false">IF(J214="","",ROUND(SUM(J$14:J214),2))</f>
        <v/>
      </c>
      <c r="M214" s="90"/>
    </row>
    <row r="215" customFormat="false" ht="15" hidden="false" customHeight="false" outlineLevel="0" collapsed="false">
      <c r="B215" s="68" t="str">
        <f aca="false">IF(C215="","",ROW()-13)</f>
        <v/>
      </c>
      <c r="C215" s="143"/>
      <c r="D215" s="89"/>
      <c r="E215" s="90"/>
      <c r="F215" s="89"/>
      <c r="G215" s="144"/>
      <c r="H215" s="144"/>
      <c r="I215" s="144"/>
      <c r="J215" s="78" t="str">
        <f aca="false">IF(OR(G215="",H215="",I215=""),"",IFERROR(ROUND(IF(F215="Short",G215-I215,I215-G215)/ABS(G215-H215),2),""))</f>
        <v/>
      </c>
      <c r="K215" s="68" t="str">
        <f aca="false">IF(J215="","",IF(ABS(J215)&lt;=Settings!$C$6,"BE",IF(J215&gt;0,"Win","Loss")))</f>
        <v/>
      </c>
      <c r="L215" s="78" t="str">
        <f aca="false">IF(J215="","",ROUND(SUM(J$14:J215),2))</f>
        <v/>
      </c>
      <c r="M215" s="90"/>
    </row>
    <row r="216" customFormat="false" ht="15" hidden="false" customHeight="false" outlineLevel="0" collapsed="false">
      <c r="B216" s="68" t="str">
        <f aca="false">IF(C216="","",ROW()-13)</f>
        <v/>
      </c>
      <c r="C216" s="143"/>
      <c r="D216" s="89"/>
      <c r="E216" s="90"/>
      <c r="F216" s="89"/>
      <c r="G216" s="144"/>
      <c r="H216" s="144"/>
      <c r="I216" s="144"/>
      <c r="J216" s="78" t="str">
        <f aca="false">IF(OR(G216="",H216="",I216=""),"",IFERROR(ROUND(IF(F216="Short",G216-I216,I216-G216)/ABS(G216-H216),2),""))</f>
        <v/>
      </c>
      <c r="K216" s="68" t="str">
        <f aca="false">IF(J216="","",IF(ABS(J216)&lt;=Settings!$C$6,"BE",IF(J216&gt;0,"Win","Loss")))</f>
        <v/>
      </c>
      <c r="L216" s="78" t="str">
        <f aca="false">IF(J216="","",ROUND(SUM(J$14:J216),2))</f>
        <v/>
      </c>
      <c r="M216" s="90"/>
    </row>
    <row r="217" customFormat="false" ht="15" hidden="false" customHeight="false" outlineLevel="0" collapsed="false">
      <c r="B217" s="68" t="str">
        <f aca="false">IF(C217="","",ROW()-13)</f>
        <v/>
      </c>
      <c r="C217" s="143"/>
      <c r="D217" s="89"/>
      <c r="E217" s="90"/>
      <c r="F217" s="89"/>
      <c r="G217" s="144"/>
      <c r="H217" s="144"/>
      <c r="I217" s="144"/>
      <c r="J217" s="78" t="str">
        <f aca="false">IF(OR(G217="",H217="",I217=""),"",IFERROR(ROUND(IF(F217="Short",G217-I217,I217-G217)/ABS(G217-H217),2),""))</f>
        <v/>
      </c>
      <c r="K217" s="68" t="str">
        <f aca="false">IF(J217="","",IF(ABS(J217)&lt;=Settings!$C$6,"BE",IF(J217&gt;0,"Win","Loss")))</f>
        <v/>
      </c>
      <c r="L217" s="78" t="str">
        <f aca="false">IF(J217="","",ROUND(SUM(J$14:J217),2))</f>
        <v/>
      </c>
      <c r="M217" s="90"/>
    </row>
    <row r="218" customFormat="false" ht="15" hidden="false" customHeight="false" outlineLevel="0" collapsed="false">
      <c r="B218" s="68" t="str">
        <f aca="false">IF(C218="","",ROW()-13)</f>
        <v/>
      </c>
      <c r="C218" s="143"/>
      <c r="D218" s="89"/>
      <c r="E218" s="90"/>
      <c r="F218" s="89"/>
      <c r="G218" s="144"/>
      <c r="H218" s="144"/>
      <c r="I218" s="144"/>
      <c r="J218" s="78" t="str">
        <f aca="false">IF(OR(G218="",H218="",I218=""),"",IFERROR(ROUND(IF(F218="Short",G218-I218,I218-G218)/ABS(G218-H218),2),""))</f>
        <v/>
      </c>
      <c r="K218" s="68" t="str">
        <f aca="false">IF(J218="","",IF(ABS(J218)&lt;=Settings!$C$6,"BE",IF(J218&gt;0,"Win","Loss")))</f>
        <v/>
      </c>
      <c r="L218" s="78" t="str">
        <f aca="false">IF(J218="","",ROUND(SUM(J$14:J218),2))</f>
        <v/>
      </c>
      <c r="M218" s="90"/>
    </row>
    <row r="219" customFormat="false" ht="15" hidden="false" customHeight="false" outlineLevel="0" collapsed="false">
      <c r="B219" s="68" t="str">
        <f aca="false">IF(C219="","",ROW()-13)</f>
        <v/>
      </c>
      <c r="C219" s="143"/>
      <c r="D219" s="89"/>
      <c r="E219" s="90"/>
      <c r="F219" s="89"/>
      <c r="G219" s="144"/>
      <c r="H219" s="144"/>
      <c r="I219" s="144"/>
      <c r="J219" s="78" t="str">
        <f aca="false">IF(OR(G219="",H219="",I219=""),"",IFERROR(ROUND(IF(F219="Short",G219-I219,I219-G219)/ABS(G219-H219),2),""))</f>
        <v/>
      </c>
      <c r="K219" s="68" t="str">
        <f aca="false">IF(J219="","",IF(ABS(J219)&lt;=Settings!$C$6,"BE",IF(J219&gt;0,"Win","Loss")))</f>
        <v/>
      </c>
      <c r="L219" s="78" t="str">
        <f aca="false">IF(J219="","",ROUND(SUM(J$14:J219),2))</f>
        <v/>
      </c>
      <c r="M219" s="90"/>
    </row>
    <row r="220" customFormat="false" ht="15" hidden="false" customHeight="false" outlineLevel="0" collapsed="false">
      <c r="B220" s="68" t="str">
        <f aca="false">IF(C220="","",ROW()-13)</f>
        <v/>
      </c>
      <c r="C220" s="143"/>
      <c r="D220" s="89"/>
      <c r="E220" s="90"/>
      <c r="F220" s="89"/>
      <c r="G220" s="144"/>
      <c r="H220" s="144"/>
      <c r="I220" s="144"/>
      <c r="J220" s="78" t="str">
        <f aca="false">IF(OR(G220="",H220="",I220=""),"",IFERROR(ROUND(IF(F220="Short",G220-I220,I220-G220)/ABS(G220-H220),2),""))</f>
        <v/>
      </c>
      <c r="K220" s="68" t="str">
        <f aca="false">IF(J220="","",IF(ABS(J220)&lt;=Settings!$C$6,"BE",IF(J220&gt;0,"Win","Loss")))</f>
        <v/>
      </c>
      <c r="L220" s="78" t="str">
        <f aca="false">IF(J220="","",ROUND(SUM(J$14:J220),2))</f>
        <v/>
      </c>
      <c r="M220" s="90"/>
    </row>
    <row r="221" customFormat="false" ht="15" hidden="false" customHeight="false" outlineLevel="0" collapsed="false">
      <c r="B221" s="68" t="str">
        <f aca="false">IF(C221="","",ROW()-13)</f>
        <v/>
      </c>
      <c r="C221" s="143"/>
      <c r="D221" s="89"/>
      <c r="E221" s="90"/>
      <c r="F221" s="89"/>
      <c r="G221" s="144"/>
      <c r="H221" s="144"/>
      <c r="I221" s="144"/>
      <c r="J221" s="78" t="str">
        <f aca="false">IF(OR(G221="",H221="",I221=""),"",IFERROR(ROUND(IF(F221="Short",G221-I221,I221-G221)/ABS(G221-H221),2),""))</f>
        <v/>
      </c>
      <c r="K221" s="68" t="str">
        <f aca="false">IF(J221="","",IF(ABS(J221)&lt;=Settings!$C$6,"BE",IF(J221&gt;0,"Win","Loss")))</f>
        <v/>
      </c>
      <c r="L221" s="78" t="str">
        <f aca="false">IF(J221="","",ROUND(SUM(J$14:J221),2))</f>
        <v/>
      </c>
      <c r="M221" s="90"/>
    </row>
    <row r="222" customFormat="false" ht="15" hidden="false" customHeight="false" outlineLevel="0" collapsed="false">
      <c r="B222" s="68" t="str">
        <f aca="false">IF(C222="","",ROW()-13)</f>
        <v/>
      </c>
      <c r="C222" s="143"/>
      <c r="D222" s="89"/>
      <c r="E222" s="90"/>
      <c r="F222" s="89"/>
      <c r="G222" s="144"/>
      <c r="H222" s="144"/>
      <c r="I222" s="144"/>
      <c r="J222" s="78" t="str">
        <f aca="false">IF(OR(G222="",H222="",I222=""),"",IFERROR(ROUND(IF(F222="Short",G222-I222,I222-G222)/ABS(G222-H222),2),""))</f>
        <v/>
      </c>
      <c r="K222" s="68" t="str">
        <f aca="false">IF(J222="","",IF(ABS(J222)&lt;=Settings!$C$6,"BE",IF(J222&gt;0,"Win","Loss")))</f>
        <v/>
      </c>
      <c r="L222" s="78" t="str">
        <f aca="false">IF(J222="","",ROUND(SUM(J$14:J222),2))</f>
        <v/>
      </c>
      <c r="M222" s="90"/>
    </row>
    <row r="223" customFormat="false" ht="15" hidden="false" customHeight="false" outlineLevel="0" collapsed="false">
      <c r="B223" s="68" t="str">
        <f aca="false">IF(C223="","",ROW()-13)</f>
        <v/>
      </c>
      <c r="C223" s="143"/>
      <c r="D223" s="89"/>
      <c r="E223" s="90"/>
      <c r="F223" s="89"/>
      <c r="G223" s="144"/>
      <c r="H223" s="144"/>
      <c r="I223" s="144"/>
      <c r="J223" s="78" t="str">
        <f aca="false">IF(OR(G223="",H223="",I223=""),"",IFERROR(ROUND(IF(F223="Short",G223-I223,I223-G223)/ABS(G223-H223),2),""))</f>
        <v/>
      </c>
      <c r="K223" s="68" t="str">
        <f aca="false">IF(J223="","",IF(ABS(J223)&lt;=Settings!$C$6,"BE",IF(J223&gt;0,"Win","Loss")))</f>
        <v/>
      </c>
      <c r="L223" s="78" t="str">
        <f aca="false">IF(J223="","",ROUND(SUM(J$14:J223),2))</f>
        <v/>
      </c>
      <c r="M223" s="90"/>
    </row>
    <row r="224" customFormat="false" ht="15" hidden="false" customHeight="false" outlineLevel="0" collapsed="false">
      <c r="B224" s="68" t="str">
        <f aca="false">IF(C224="","",ROW()-13)</f>
        <v/>
      </c>
      <c r="C224" s="143"/>
      <c r="D224" s="89"/>
      <c r="E224" s="90"/>
      <c r="F224" s="89"/>
      <c r="G224" s="144"/>
      <c r="H224" s="144"/>
      <c r="I224" s="144"/>
      <c r="J224" s="78" t="str">
        <f aca="false">IF(OR(G224="",H224="",I224=""),"",IFERROR(ROUND(IF(F224="Short",G224-I224,I224-G224)/ABS(G224-H224),2),""))</f>
        <v/>
      </c>
      <c r="K224" s="68" t="str">
        <f aca="false">IF(J224="","",IF(ABS(J224)&lt;=Settings!$C$6,"BE",IF(J224&gt;0,"Win","Loss")))</f>
        <v/>
      </c>
      <c r="L224" s="78" t="str">
        <f aca="false">IF(J224="","",ROUND(SUM(J$14:J224),2))</f>
        <v/>
      </c>
      <c r="M224" s="90"/>
    </row>
    <row r="225" customFormat="false" ht="15" hidden="false" customHeight="false" outlineLevel="0" collapsed="false">
      <c r="B225" s="68" t="str">
        <f aca="false">IF(C225="","",ROW()-13)</f>
        <v/>
      </c>
      <c r="C225" s="143"/>
      <c r="D225" s="89"/>
      <c r="E225" s="90"/>
      <c r="F225" s="89"/>
      <c r="G225" s="144"/>
      <c r="H225" s="144"/>
      <c r="I225" s="144"/>
      <c r="J225" s="78" t="str">
        <f aca="false">IF(OR(G225="",H225="",I225=""),"",IFERROR(ROUND(IF(F225="Short",G225-I225,I225-G225)/ABS(G225-H225),2),""))</f>
        <v/>
      </c>
      <c r="K225" s="68" t="str">
        <f aca="false">IF(J225="","",IF(ABS(J225)&lt;=Settings!$C$6,"BE",IF(J225&gt;0,"Win","Loss")))</f>
        <v/>
      </c>
      <c r="L225" s="78" t="str">
        <f aca="false">IF(J225="","",ROUND(SUM(J$14:J225),2))</f>
        <v/>
      </c>
      <c r="M225" s="90"/>
    </row>
    <row r="226" customFormat="false" ht="15" hidden="false" customHeight="false" outlineLevel="0" collapsed="false">
      <c r="B226" s="68" t="str">
        <f aca="false">IF(C226="","",ROW()-13)</f>
        <v/>
      </c>
      <c r="C226" s="143"/>
      <c r="D226" s="89"/>
      <c r="E226" s="90"/>
      <c r="F226" s="89"/>
      <c r="G226" s="144"/>
      <c r="H226" s="144"/>
      <c r="I226" s="144"/>
      <c r="J226" s="78" t="str">
        <f aca="false">IF(OR(G226="",H226="",I226=""),"",IFERROR(ROUND(IF(F226="Short",G226-I226,I226-G226)/ABS(G226-H226),2),""))</f>
        <v/>
      </c>
      <c r="K226" s="68" t="str">
        <f aca="false">IF(J226="","",IF(ABS(J226)&lt;=Settings!$C$6,"BE",IF(J226&gt;0,"Win","Loss")))</f>
        <v/>
      </c>
      <c r="L226" s="78" t="str">
        <f aca="false">IF(J226="","",ROUND(SUM(J$14:J226),2))</f>
        <v/>
      </c>
      <c r="M226" s="90"/>
    </row>
    <row r="227" customFormat="false" ht="15" hidden="false" customHeight="false" outlineLevel="0" collapsed="false">
      <c r="B227" s="68" t="str">
        <f aca="false">IF(C227="","",ROW()-13)</f>
        <v/>
      </c>
      <c r="C227" s="143"/>
      <c r="D227" s="89"/>
      <c r="E227" s="90"/>
      <c r="F227" s="89"/>
      <c r="G227" s="144"/>
      <c r="H227" s="144"/>
      <c r="I227" s="144"/>
      <c r="J227" s="78" t="str">
        <f aca="false">IF(OR(G227="",H227="",I227=""),"",IFERROR(ROUND(IF(F227="Short",G227-I227,I227-G227)/ABS(G227-H227),2),""))</f>
        <v/>
      </c>
      <c r="K227" s="68" t="str">
        <f aca="false">IF(J227="","",IF(ABS(J227)&lt;=Settings!$C$6,"BE",IF(J227&gt;0,"Win","Loss")))</f>
        <v/>
      </c>
      <c r="L227" s="78" t="str">
        <f aca="false">IF(J227="","",ROUND(SUM(J$14:J227),2))</f>
        <v/>
      </c>
      <c r="M227" s="90"/>
    </row>
    <row r="228" customFormat="false" ht="15" hidden="false" customHeight="false" outlineLevel="0" collapsed="false">
      <c r="B228" s="68" t="str">
        <f aca="false">IF(C228="","",ROW()-13)</f>
        <v/>
      </c>
      <c r="C228" s="143"/>
      <c r="D228" s="89"/>
      <c r="E228" s="90"/>
      <c r="F228" s="89"/>
      <c r="G228" s="144"/>
      <c r="H228" s="144"/>
      <c r="I228" s="144"/>
      <c r="J228" s="78" t="str">
        <f aca="false">IF(OR(G228="",H228="",I228=""),"",IFERROR(ROUND(IF(F228="Short",G228-I228,I228-G228)/ABS(G228-H228),2),""))</f>
        <v/>
      </c>
      <c r="K228" s="68" t="str">
        <f aca="false">IF(J228="","",IF(ABS(J228)&lt;=Settings!$C$6,"BE",IF(J228&gt;0,"Win","Loss")))</f>
        <v/>
      </c>
      <c r="L228" s="78" t="str">
        <f aca="false">IF(J228="","",ROUND(SUM(J$14:J228),2))</f>
        <v/>
      </c>
      <c r="M228" s="90"/>
    </row>
    <row r="229" customFormat="false" ht="15" hidden="false" customHeight="false" outlineLevel="0" collapsed="false">
      <c r="B229" s="68" t="str">
        <f aca="false">IF(C229="","",ROW()-13)</f>
        <v/>
      </c>
      <c r="C229" s="143"/>
      <c r="D229" s="89"/>
      <c r="E229" s="90"/>
      <c r="F229" s="89"/>
      <c r="G229" s="144"/>
      <c r="H229" s="144"/>
      <c r="I229" s="144"/>
      <c r="J229" s="78" t="str">
        <f aca="false">IF(OR(G229="",H229="",I229=""),"",IFERROR(ROUND(IF(F229="Short",G229-I229,I229-G229)/ABS(G229-H229),2),""))</f>
        <v/>
      </c>
      <c r="K229" s="68" t="str">
        <f aca="false">IF(J229="","",IF(ABS(J229)&lt;=Settings!$C$6,"BE",IF(J229&gt;0,"Win","Loss")))</f>
        <v/>
      </c>
      <c r="L229" s="78" t="str">
        <f aca="false">IF(J229="","",ROUND(SUM(J$14:J229),2))</f>
        <v/>
      </c>
      <c r="M229" s="90"/>
    </row>
    <row r="230" customFormat="false" ht="15" hidden="false" customHeight="false" outlineLevel="0" collapsed="false">
      <c r="B230" s="68" t="str">
        <f aca="false">IF(C230="","",ROW()-13)</f>
        <v/>
      </c>
      <c r="C230" s="143"/>
      <c r="D230" s="89"/>
      <c r="E230" s="90"/>
      <c r="F230" s="89"/>
      <c r="G230" s="144"/>
      <c r="H230" s="144"/>
      <c r="I230" s="144"/>
      <c r="J230" s="78" t="str">
        <f aca="false">IF(OR(G230="",H230="",I230=""),"",IFERROR(ROUND(IF(F230="Short",G230-I230,I230-G230)/ABS(G230-H230),2),""))</f>
        <v/>
      </c>
      <c r="K230" s="68" t="str">
        <f aca="false">IF(J230="","",IF(ABS(J230)&lt;=Settings!$C$6,"BE",IF(J230&gt;0,"Win","Loss")))</f>
        <v/>
      </c>
      <c r="L230" s="78" t="str">
        <f aca="false">IF(J230="","",ROUND(SUM(J$14:J230),2))</f>
        <v/>
      </c>
      <c r="M230" s="90"/>
    </row>
    <row r="231" customFormat="false" ht="15" hidden="false" customHeight="false" outlineLevel="0" collapsed="false">
      <c r="B231" s="68" t="str">
        <f aca="false">IF(C231="","",ROW()-13)</f>
        <v/>
      </c>
      <c r="C231" s="143"/>
      <c r="D231" s="89"/>
      <c r="E231" s="90"/>
      <c r="F231" s="89"/>
      <c r="G231" s="144"/>
      <c r="H231" s="144"/>
      <c r="I231" s="144"/>
      <c r="J231" s="78" t="str">
        <f aca="false">IF(OR(G231="",H231="",I231=""),"",IFERROR(ROUND(IF(F231="Short",G231-I231,I231-G231)/ABS(G231-H231),2),""))</f>
        <v/>
      </c>
      <c r="K231" s="68" t="str">
        <f aca="false">IF(J231="","",IF(ABS(J231)&lt;=Settings!$C$6,"BE",IF(J231&gt;0,"Win","Loss")))</f>
        <v/>
      </c>
      <c r="L231" s="78" t="str">
        <f aca="false">IF(J231="","",ROUND(SUM(J$14:J231),2))</f>
        <v/>
      </c>
      <c r="M231" s="90"/>
    </row>
    <row r="232" customFormat="false" ht="15" hidden="false" customHeight="false" outlineLevel="0" collapsed="false">
      <c r="B232" s="68" t="str">
        <f aca="false">IF(C232="","",ROW()-13)</f>
        <v/>
      </c>
      <c r="C232" s="143"/>
      <c r="D232" s="89"/>
      <c r="E232" s="90"/>
      <c r="F232" s="89"/>
      <c r="G232" s="144"/>
      <c r="H232" s="144"/>
      <c r="I232" s="144"/>
      <c r="J232" s="78" t="str">
        <f aca="false">IF(OR(G232="",H232="",I232=""),"",IFERROR(ROUND(IF(F232="Short",G232-I232,I232-G232)/ABS(G232-H232),2),""))</f>
        <v/>
      </c>
      <c r="K232" s="68" t="str">
        <f aca="false">IF(J232="","",IF(ABS(J232)&lt;=Settings!$C$6,"BE",IF(J232&gt;0,"Win","Loss")))</f>
        <v/>
      </c>
      <c r="L232" s="78" t="str">
        <f aca="false">IF(J232="","",ROUND(SUM(J$14:J232),2))</f>
        <v/>
      </c>
      <c r="M232" s="90"/>
    </row>
    <row r="233" customFormat="false" ht="15" hidden="false" customHeight="false" outlineLevel="0" collapsed="false">
      <c r="B233" s="68" t="str">
        <f aca="false">IF(C233="","",ROW()-13)</f>
        <v/>
      </c>
      <c r="C233" s="143"/>
      <c r="D233" s="89"/>
      <c r="E233" s="90"/>
      <c r="F233" s="89"/>
      <c r="G233" s="144"/>
      <c r="H233" s="144"/>
      <c r="I233" s="144"/>
      <c r="J233" s="78" t="str">
        <f aca="false">IF(OR(G233="",H233="",I233=""),"",IFERROR(ROUND(IF(F233="Short",G233-I233,I233-G233)/ABS(G233-H233),2),""))</f>
        <v/>
      </c>
      <c r="K233" s="68" t="str">
        <f aca="false">IF(J233="","",IF(ABS(J233)&lt;=Settings!$C$6,"BE",IF(J233&gt;0,"Win","Loss")))</f>
        <v/>
      </c>
      <c r="L233" s="78" t="str">
        <f aca="false">IF(J233="","",ROUND(SUM(J$14:J233),2))</f>
        <v/>
      </c>
      <c r="M233" s="90"/>
    </row>
    <row r="234" customFormat="false" ht="15" hidden="false" customHeight="false" outlineLevel="0" collapsed="false">
      <c r="B234" s="68" t="str">
        <f aca="false">IF(C234="","",ROW()-13)</f>
        <v/>
      </c>
      <c r="C234" s="143"/>
      <c r="D234" s="89"/>
      <c r="E234" s="90"/>
      <c r="F234" s="89"/>
      <c r="G234" s="144"/>
      <c r="H234" s="144"/>
      <c r="I234" s="144"/>
      <c r="J234" s="78" t="str">
        <f aca="false">IF(OR(G234="",H234="",I234=""),"",IFERROR(ROUND(IF(F234="Short",G234-I234,I234-G234)/ABS(G234-H234),2),""))</f>
        <v/>
      </c>
      <c r="K234" s="68" t="str">
        <f aca="false">IF(J234="","",IF(ABS(J234)&lt;=Settings!$C$6,"BE",IF(J234&gt;0,"Win","Loss")))</f>
        <v/>
      </c>
      <c r="L234" s="78" t="str">
        <f aca="false">IF(J234="","",ROUND(SUM(J$14:J234),2))</f>
        <v/>
      </c>
      <c r="M234" s="90"/>
    </row>
    <row r="235" customFormat="false" ht="15" hidden="false" customHeight="false" outlineLevel="0" collapsed="false">
      <c r="B235" s="68" t="str">
        <f aca="false">IF(C235="","",ROW()-13)</f>
        <v/>
      </c>
      <c r="C235" s="143"/>
      <c r="D235" s="89"/>
      <c r="E235" s="90"/>
      <c r="F235" s="89"/>
      <c r="G235" s="144"/>
      <c r="H235" s="144"/>
      <c r="I235" s="144"/>
      <c r="J235" s="78" t="str">
        <f aca="false">IF(OR(G235="",H235="",I235=""),"",IFERROR(ROUND(IF(F235="Short",G235-I235,I235-G235)/ABS(G235-H235),2),""))</f>
        <v/>
      </c>
      <c r="K235" s="68" t="str">
        <f aca="false">IF(J235="","",IF(ABS(J235)&lt;=Settings!$C$6,"BE",IF(J235&gt;0,"Win","Loss")))</f>
        <v/>
      </c>
      <c r="L235" s="78" t="str">
        <f aca="false">IF(J235="","",ROUND(SUM(J$14:J235),2))</f>
        <v/>
      </c>
      <c r="M235" s="90"/>
    </row>
    <row r="236" customFormat="false" ht="15" hidden="false" customHeight="false" outlineLevel="0" collapsed="false">
      <c r="B236" s="68" t="str">
        <f aca="false">IF(C236="","",ROW()-13)</f>
        <v/>
      </c>
      <c r="C236" s="143"/>
      <c r="D236" s="89"/>
      <c r="E236" s="90"/>
      <c r="F236" s="89"/>
      <c r="G236" s="144"/>
      <c r="H236" s="144"/>
      <c r="I236" s="144"/>
      <c r="J236" s="78" t="str">
        <f aca="false">IF(OR(G236="",H236="",I236=""),"",IFERROR(ROUND(IF(F236="Short",G236-I236,I236-G236)/ABS(G236-H236),2),""))</f>
        <v/>
      </c>
      <c r="K236" s="68" t="str">
        <f aca="false">IF(J236="","",IF(ABS(J236)&lt;=Settings!$C$6,"BE",IF(J236&gt;0,"Win","Loss")))</f>
        <v/>
      </c>
      <c r="L236" s="78" t="str">
        <f aca="false">IF(J236="","",ROUND(SUM(J$14:J236),2))</f>
        <v/>
      </c>
      <c r="M236" s="90"/>
    </row>
    <row r="237" customFormat="false" ht="15" hidden="false" customHeight="false" outlineLevel="0" collapsed="false">
      <c r="B237" s="68" t="str">
        <f aca="false">IF(C237="","",ROW()-13)</f>
        <v/>
      </c>
      <c r="C237" s="143"/>
      <c r="D237" s="89"/>
      <c r="E237" s="90"/>
      <c r="F237" s="89"/>
      <c r="G237" s="144"/>
      <c r="H237" s="144"/>
      <c r="I237" s="144"/>
      <c r="J237" s="78" t="str">
        <f aca="false">IF(OR(G237="",H237="",I237=""),"",IFERROR(ROUND(IF(F237="Short",G237-I237,I237-G237)/ABS(G237-H237),2),""))</f>
        <v/>
      </c>
      <c r="K237" s="68" t="str">
        <f aca="false">IF(J237="","",IF(ABS(J237)&lt;=Settings!$C$6,"BE",IF(J237&gt;0,"Win","Loss")))</f>
        <v/>
      </c>
      <c r="L237" s="78" t="str">
        <f aca="false">IF(J237="","",ROUND(SUM(J$14:J237),2))</f>
        <v/>
      </c>
      <c r="M237" s="90"/>
    </row>
    <row r="238" customFormat="false" ht="15" hidden="false" customHeight="false" outlineLevel="0" collapsed="false">
      <c r="B238" s="68" t="str">
        <f aca="false">IF(C238="","",ROW()-13)</f>
        <v/>
      </c>
      <c r="C238" s="143"/>
      <c r="D238" s="89"/>
      <c r="E238" s="90"/>
      <c r="F238" s="89"/>
      <c r="G238" s="144"/>
      <c r="H238" s="144"/>
      <c r="I238" s="144"/>
      <c r="J238" s="78" t="str">
        <f aca="false">IF(OR(G238="",H238="",I238=""),"",IFERROR(ROUND(IF(F238="Short",G238-I238,I238-G238)/ABS(G238-H238),2),""))</f>
        <v/>
      </c>
      <c r="K238" s="68" t="str">
        <f aca="false">IF(J238="","",IF(ABS(J238)&lt;=Settings!$C$6,"BE",IF(J238&gt;0,"Win","Loss")))</f>
        <v/>
      </c>
      <c r="L238" s="78" t="str">
        <f aca="false">IF(J238="","",ROUND(SUM(J$14:J238),2))</f>
        <v/>
      </c>
      <c r="M238" s="90"/>
    </row>
    <row r="239" customFormat="false" ht="15" hidden="false" customHeight="false" outlineLevel="0" collapsed="false">
      <c r="B239" s="68" t="str">
        <f aca="false">IF(C239="","",ROW()-13)</f>
        <v/>
      </c>
      <c r="C239" s="143"/>
      <c r="D239" s="89"/>
      <c r="E239" s="90"/>
      <c r="F239" s="89"/>
      <c r="G239" s="144"/>
      <c r="H239" s="144"/>
      <c r="I239" s="144"/>
      <c r="J239" s="78" t="str">
        <f aca="false">IF(OR(G239="",H239="",I239=""),"",IFERROR(ROUND(IF(F239="Short",G239-I239,I239-G239)/ABS(G239-H239),2),""))</f>
        <v/>
      </c>
      <c r="K239" s="68" t="str">
        <f aca="false">IF(J239="","",IF(ABS(J239)&lt;=Settings!$C$6,"BE",IF(J239&gt;0,"Win","Loss")))</f>
        <v/>
      </c>
      <c r="L239" s="78" t="str">
        <f aca="false">IF(J239="","",ROUND(SUM(J$14:J239),2))</f>
        <v/>
      </c>
      <c r="M239" s="90"/>
    </row>
    <row r="240" customFormat="false" ht="15" hidden="false" customHeight="false" outlineLevel="0" collapsed="false">
      <c r="B240" s="68" t="str">
        <f aca="false">IF(C240="","",ROW()-13)</f>
        <v/>
      </c>
      <c r="C240" s="143"/>
      <c r="D240" s="89"/>
      <c r="E240" s="90"/>
      <c r="F240" s="89"/>
      <c r="G240" s="144"/>
      <c r="H240" s="144"/>
      <c r="I240" s="144"/>
      <c r="J240" s="78" t="str">
        <f aca="false">IF(OR(G240="",H240="",I240=""),"",IFERROR(ROUND(IF(F240="Short",G240-I240,I240-G240)/ABS(G240-H240),2),""))</f>
        <v/>
      </c>
      <c r="K240" s="68" t="str">
        <f aca="false">IF(J240="","",IF(ABS(J240)&lt;=Settings!$C$6,"BE",IF(J240&gt;0,"Win","Loss")))</f>
        <v/>
      </c>
      <c r="L240" s="78" t="str">
        <f aca="false">IF(J240="","",ROUND(SUM(J$14:J240),2))</f>
        <v/>
      </c>
      <c r="M240" s="90"/>
    </row>
    <row r="241" customFormat="false" ht="15" hidden="false" customHeight="false" outlineLevel="0" collapsed="false">
      <c r="B241" s="68" t="str">
        <f aca="false">IF(C241="","",ROW()-13)</f>
        <v/>
      </c>
      <c r="C241" s="143"/>
      <c r="D241" s="89"/>
      <c r="E241" s="90"/>
      <c r="F241" s="89"/>
      <c r="G241" s="144"/>
      <c r="H241" s="144"/>
      <c r="I241" s="144"/>
      <c r="J241" s="78" t="str">
        <f aca="false">IF(OR(G241="",H241="",I241=""),"",IFERROR(ROUND(IF(F241="Short",G241-I241,I241-G241)/ABS(G241-H241),2),""))</f>
        <v/>
      </c>
      <c r="K241" s="68" t="str">
        <f aca="false">IF(J241="","",IF(ABS(J241)&lt;=Settings!$C$6,"BE",IF(J241&gt;0,"Win","Loss")))</f>
        <v/>
      </c>
      <c r="L241" s="78" t="str">
        <f aca="false">IF(J241="","",ROUND(SUM(J$14:J241),2))</f>
        <v/>
      </c>
      <c r="M241" s="90"/>
    </row>
    <row r="242" customFormat="false" ht="15" hidden="false" customHeight="false" outlineLevel="0" collapsed="false">
      <c r="B242" s="68" t="str">
        <f aca="false">IF(C242="","",ROW()-13)</f>
        <v/>
      </c>
      <c r="C242" s="143"/>
      <c r="D242" s="89"/>
      <c r="E242" s="90"/>
      <c r="F242" s="89"/>
      <c r="G242" s="144"/>
      <c r="H242" s="144"/>
      <c r="I242" s="144"/>
      <c r="J242" s="78" t="str">
        <f aca="false">IF(OR(G242="",H242="",I242=""),"",IFERROR(ROUND(IF(F242="Short",G242-I242,I242-G242)/ABS(G242-H242),2),""))</f>
        <v/>
      </c>
      <c r="K242" s="68" t="str">
        <f aca="false">IF(J242="","",IF(ABS(J242)&lt;=Settings!$C$6,"BE",IF(J242&gt;0,"Win","Loss")))</f>
        <v/>
      </c>
      <c r="L242" s="78" t="str">
        <f aca="false">IF(J242="","",ROUND(SUM(J$14:J242),2))</f>
        <v/>
      </c>
      <c r="M242" s="90"/>
    </row>
    <row r="243" customFormat="false" ht="15" hidden="false" customHeight="false" outlineLevel="0" collapsed="false">
      <c r="B243" s="68" t="str">
        <f aca="false">IF(C243="","",ROW()-13)</f>
        <v/>
      </c>
      <c r="C243" s="143"/>
      <c r="D243" s="89"/>
      <c r="E243" s="90"/>
      <c r="F243" s="89"/>
      <c r="G243" s="144"/>
      <c r="H243" s="144"/>
      <c r="I243" s="144"/>
      <c r="J243" s="78" t="str">
        <f aca="false">IF(OR(G243="",H243="",I243=""),"",IFERROR(ROUND(IF(F243="Short",G243-I243,I243-G243)/ABS(G243-H243),2),""))</f>
        <v/>
      </c>
      <c r="K243" s="68" t="str">
        <f aca="false">IF(J243="","",IF(ABS(J243)&lt;=Settings!$C$6,"BE",IF(J243&gt;0,"Win","Loss")))</f>
        <v/>
      </c>
      <c r="L243" s="78" t="str">
        <f aca="false">IF(J243="","",ROUND(SUM(J$14:J243),2))</f>
        <v/>
      </c>
      <c r="M243" s="90"/>
    </row>
    <row r="244" customFormat="false" ht="15" hidden="false" customHeight="false" outlineLevel="0" collapsed="false">
      <c r="B244" s="68" t="str">
        <f aca="false">IF(C244="","",ROW()-13)</f>
        <v/>
      </c>
      <c r="C244" s="143"/>
      <c r="D244" s="89"/>
      <c r="E244" s="90"/>
      <c r="F244" s="89"/>
      <c r="G244" s="144"/>
      <c r="H244" s="144"/>
      <c r="I244" s="144"/>
      <c r="J244" s="78" t="str">
        <f aca="false">IF(OR(G244="",H244="",I244=""),"",IFERROR(ROUND(IF(F244="Short",G244-I244,I244-G244)/ABS(G244-H244),2),""))</f>
        <v/>
      </c>
      <c r="K244" s="68" t="str">
        <f aca="false">IF(J244="","",IF(ABS(J244)&lt;=Settings!$C$6,"BE",IF(J244&gt;0,"Win","Loss")))</f>
        <v/>
      </c>
      <c r="L244" s="78" t="str">
        <f aca="false">IF(J244="","",ROUND(SUM(J$14:J244),2))</f>
        <v/>
      </c>
      <c r="M244" s="90"/>
    </row>
    <row r="245" customFormat="false" ht="15" hidden="false" customHeight="false" outlineLevel="0" collapsed="false">
      <c r="B245" s="68" t="str">
        <f aca="false">IF(C245="","",ROW()-13)</f>
        <v/>
      </c>
      <c r="C245" s="143"/>
      <c r="D245" s="89"/>
      <c r="E245" s="90"/>
      <c r="F245" s="89"/>
      <c r="G245" s="144"/>
      <c r="H245" s="144"/>
      <c r="I245" s="144"/>
      <c r="J245" s="78" t="str">
        <f aca="false">IF(OR(G245="",H245="",I245=""),"",IFERROR(ROUND(IF(F245="Short",G245-I245,I245-G245)/ABS(G245-H245),2),""))</f>
        <v/>
      </c>
      <c r="K245" s="68" t="str">
        <f aca="false">IF(J245="","",IF(ABS(J245)&lt;=Settings!$C$6,"BE",IF(J245&gt;0,"Win","Loss")))</f>
        <v/>
      </c>
      <c r="L245" s="78" t="str">
        <f aca="false">IF(J245="","",ROUND(SUM(J$14:J245),2))</f>
        <v/>
      </c>
      <c r="M245" s="90"/>
    </row>
    <row r="246" customFormat="false" ht="15" hidden="false" customHeight="false" outlineLevel="0" collapsed="false">
      <c r="B246" s="68" t="str">
        <f aca="false">IF(C246="","",ROW()-13)</f>
        <v/>
      </c>
      <c r="C246" s="143"/>
      <c r="D246" s="89"/>
      <c r="E246" s="90"/>
      <c r="F246" s="89"/>
      <c r="G246" s="144"/>
      <c r="H246" s="144"/>
      <c r="I246" s="144"/>
      <c r="J246" s="78" t="str">
        <f aca="false">IF(OR(G246="",H246="",I246=""),"",IFERROR(ROUND(IF(F246="Short",G246-I246,I246-G246)/ABS(G246-H246),2),""))</f>
        <v/>
      </c>
      <c r="K246" s="68" t="str">
        <f aca="false">IF(J246="","",IF(ABS(J246)&lt;=Settings!$C$6,"BE",IF(J246&gt;0,"Win","Loss")))</f>
        <v/>
      </c>
      <c r="L246" s="78" t="str">
        <f aca="false">IF(J246="","",ROUND(SUM(J$14:J246),2))</f>
        <v/>
      </c>
      <c r="M246" s="90"/>
    </row>
    <row r="247" customFormat="false" ht="15" hidden="false" customHeight="false" outlineLevel="0" collapsed="false">
      <c r="B247" s="68" t="str">
        <f aca="false">IF(C247="","",ROW()-13)</f>
        <v/>
      </c>
      <c r="C247" s="143"/>
      <c r="D247" s="89"/>
      <c r="E247" s="90"/>
      <c r="F247" s="89"/>
      <c r="G247" s="144"/>
      <c r="H247" s="144"/>
      <c r="I247" s="144"/>
      <c r="J247" s="78" t="str">
        <f aca="false">IF(OR(G247="",H247="",I247=""),"",IFERROR(ROUND(IF(F247="Short",G247-I247,I247-G247)/ABS(G247-H247),2),""))</f>
        <v/>
      </c>
      <c r="K247" s="68" t="str">
        <f aca="false">IF(J247="","",IF(ABS(J247)&lt;=Settings!$C$6,"BE",IF(J247&gt;0,"Win","Loss")))</f>
        <v/>
      </c>
      <c r="L247" s="78" t="str">
        <f aca="false">IF(J247="","",ROUND(SUM(J$14:J247),2))</f>
        <v/>
      </c>
      <c r="M247" s="90"/>
    </row>
    <row r="248" customFormat="false" ht="15" hidden="false" customHeight="false" outlineLevel="0" collapsed="false">
      <c r="B248" s="68" t="str">
        <f aca="false">IF(C248="","",ROW()-13)</f>
        <v/>
      </c>
      <c r="C248" s="143"/>
      <c r="D248" s="89"/>
      <c r="E248" s="90"/>
      <c r="F248" s="89"/>
      <c r="G248" s="144"/>
      <c r="H248" s="144"/>
      <c r="I248" s="144"/>
      <c r="J248" s="78" t="str">
        <f aca="false">IF(OR(G248="",H248="",I248=""),"",IFERROR(ROUND(IF(F248="Short",G248-I248,I248-G248)/ABS(G248-H248),2),""))</f>
        <v/>
      </c>
      <c r="K248" s="68" t="str">
        <f aca="false">IF(J248="","",IF(ABS(J248)&lt;=Settings!$C$6,"BE",IF(J248&gt;0,"Win","Loss")))</f>
        <v/>
      </c>
      <c r="L248" s="78" t="str">
        <f aca="false">IF(J248="","",ROUND(SUM(J$14:J248),2))</f>
        <v/>
      </c>
      <c r="M248" s="90"/>
    </row>
    <row r="249" customFormat="false" ht="15" hidden="false" customHeight="false" outlineLevel="0" collapsed="false">
      <c r="B249" s="68" t="str">
        <f aca="false">IF(C249="","",ROW()-13)</f>
        <v/>
      </c>
      <c r="C249" s="143"/>
      <c r="D249" s="89"/>
      <c r="E249" s="90"/>
      <c r="F249" s="89"/>
      <c r="G249" s="144"/>
      <c r="H249" s="144"/>
      <c r="I249" s="144"/>
      <c r="J249" s="78" t="str">
        <f aca="false">IF(OR(G249="",H249="",I249=""),"",IFERROR(ROUND(IF(F249="Short",G249-I249,I249-G249)/ABS(G249-H249),2),""))</f>
        <v/>
      </c>
      <c r="K249" s="68" t="str">
        <f aca="false">IF(J249="","",IF(ABS(J249)&lt;=Settings!$C$6,"BE",IF(J249&gt;0,"Win","Loss")))</f>
        <v/>
      </c>
      <c r="L249" s="78" t="str">
        <f aca="false">IF(J249="","",ROUND(SUM(J$14:J249),2))</f>
        <v/>
      </c>
      <c r="M249" s="90"/>
    </row>
    <row r="250" customFormat="false" ht="15" hidden="false" customHeight="false" outlineLevel="0" collapsed="false">
      <c r="B250" s="68" t="str">
        <f aca="false">IF(C250="","",ROW()-13)</f>
        <v/>
      </c>
      <c r="C250" s="143"/>
      <c r="D250" s="89"/>
      <c r="E250" s="90"/>
      <c r="F250" s="89"/>
      <c r="G250" s="144"/>
      <c r="H250" s="144"/>
      <c r="I250" s="144"/>
      <c r="J250" s="78" t="str">
        <f aca="false">IF(OR(G250="",H250="",I250=""),"",IFERROR(ROUND(IF(F250="Short",G250-I250,I250-G250)/ABS(G250-H250),2),""))</f>
        <v/>
      </c>
      <c r="K250" s="68" t="str">
        <f aca="false">IF(J250="","",IF(ABS(J250)&lt;=Settings!$C$6,"BE",IF(J250&gt;0,"Win","Loss")))</f>
        <v/>
      </c>
      <c r="L250" s="78" t="str">
        <f aca="false">IF(J250="","",ROUND(SUM(J$14:J250),2))</f>
        <v/>
      </c>
      <c r="M250" s="90"/>
    </row>
    <row r="251" customFormat="false" ht="15" hidden="false" customHeight="false" outlineLevel="0" collapsed="false">
      <c r="B251" s="68" t="str">
        <f aca="false">IF(C251="","",ROW()-13)</f>
        <v/>
      </c>
      <c r="C251" s="143"/>
      <c r="D251" s="89"/>
      <c r="E251" s="90"/>
      <c r="F251" s="89"/>
      <c r="G251" s="144"/>
      <c r="H251" s="144"/>
      <c r="I251" s="144"/>
      <c r="J251" s="78" t="str">
        <f aca="false">IF(OR(G251="",H251="",I251=""),"",IFERROR(ROUND(IF(F251="Short",G251-I251,I251-G251)/ABS(G251-H251),2),""))</f>
        <v/>
      </c>
      <c r="K251" s="68" t="str">
        <f aca="false">IF(J251="","",IF(ABS(J251)&lt;=Settings!$C$6,"BE",IF(J251&gt;0,"Win","Loss")))</f>
        <v/>
      </c>
      <c r="L251" s="78" t="str">
        <f aca="false">IF(J251="","",ROUND(SUM(J$14:J251),2))</f>
        <v/>
      </c>
      <c r="M251" s="90"/>
    </row>
    <row r="252" customFormat="false" ht="15" hidden="false" customHeight="false" outlineLevel="0" collapsed="false">
      <c r="B252" s="68" t="str">
        <f aca="false">IF(C252="","",ROW()-13)</f>
        <v/>
      </c>
      <c r="C252" s="143"/>
      <c r="D252" s="89"/>
      <c r="E252" s="90"/>
      <c r="F252" s="89"/>
      <c r="G252" s="144"/>
      <c r="H252" s="144"/>
      <c r="I252" s="144"/>
      <c r="J252" s="78" t="str">
        <f aca="false">IF(OR(G252="",H252="",I252=""),"",IFERROR(ROUND(IF(F252="Short",G252-I252,I252-G252)/ABS(G252-H252),2),""))</f>
        <v/>
      </c>
      <c r="K252" s="68" t="str">
        <f aca="false">IF(J252="","",IF(ABS(J252)&lt;=Settings!$C$6,"BE",IF(J252&gt;0,"Win","Loss")))</f>
        <v/>
      </c>
      <c r="L252" s="78" t="str">
        <f aca="false">IF(J252="","",ROUND(SUM(J$14:J252),2))</f>
        <v/>
      </c>
      <c r="M252" s="90"/>
    </row>
    <row r="253" customFormat="false" ht="15" hidden="false" customHeight="false" outlineLevel="0" collapsed="false">
      <c r="B253" s="68" t="str">
        <f aca="false">IF(C253="","",ROW()-13)</f>
        <v/>
      </c>
      <c r="C253" s="143"/>
      <c r="D253" s="89"/>
      <c r="E253" s="90"/>
      <c r="F253" s="89"/>
      <c r="G253" s="144"/>
      <c r="H253" s="144"/>
      <c r="I253" s="144"/>
      <c r="J253" s="78" t="str">
        <f aca="false">IF(OR(G253="",H253="",I253=""),"",IFERROR(ROUND(IF(F253="Short",G253-I253,I253-G253)/ABS(G253-H253),2),""))</f>
        <v/>
      </c>
      <c r="K253" s="68" t="str">
        <f aca="false">IF(J253="","",IF(ABS(J253)&lt;=Settings!$C$6,"BE",IF(J253&gt;0,"Win","Loss")))</f>
        <v/>
      </c>
      <c r="L253" s="78" t="str">
        <f aca="false">IF(J253="","",ROUND(SUM(J$14:J253),2))</f>
        <v/>
      </c>
      <c r="M253" s="90"/>
    </row>
    <row r="254" customFormat="false" ht="15" hidden="false" customHeight="false" outlineLevel="0" collapsed="false">
      <c r="B254" s="68" t="str">
        <f aca="false">IF(C254="","",ROW()-13)</f>
        <v/>
      </c>
      <c r="C254" s="143"/>
      <c r="D254" s="89"/>
      <c r="E254" s="90"/>
      <c r="F254" s="89"/>
      <c r="G254" s="144"/>
      <c r="H254" s="144"/>
      <c r="I254" s="144"/>
      <c r="J254" s="78" t="str">
        <f aca="false">IF(OR(G254="",H254="",I254=""),"",IFERROR(ROUND(IF(F254="Short",G254-I254,I254-G254)/ABS(G254-H254),2),""))</f>
        <v/>
      </c>
      <c r="K254" s="68" t="str">
        <f aca="false">IF(J254="","",IF(ABS(J254)&lt;=Settings!$C$6,"BE",IF(J254&gt;0,"Win","Loss")))</f>
        <v/>
      </c>
      <c r="L254" s="78" t="str">
        <f aca="false">IF(J254="","",ROUND(SUM(J$14:J254),2))</f>
        <v/>
      </c>
      <c r="M254" s="90"/>
    </row>
    <row r="255" customFormat="false" ht="15" hidden="false" customHeight="false" outlineLevel="0" collapsed="false">
      <c r="B255" s="68" t="str">
        <f aca="false">IF(C255="","",ROW()-13)</f>
        <v/>
      </c>
      <c r="C255" s="143"/>
      <c r="D255" s="89"/>
      <c r="E255" s="90"/>
      <c r="F255" s="89"/>
      <c r="G255" s="144"/>
      <c r="H255" s="144"/>
      <c r="I255" s="144"/>
      <c r="J255" s="78" t="str">
        <f aca="false">IF(OR(G255="",H255="",I255=""),"",IFERROR(ROUND(IF(F255="Short",G255-I255,I255-G255)/ABS(G255-H255),2),""))</f>
        <v/>
      </c>
      <c r="K255" s="68" t="str">
        <f aca="false">IF(J255="","",IF(ABS(J255)&lt;=Settings!$C$6,"BE",IF(J255&gt;0,"Win","Loss")))</f>
        <v/>
      </c>
      <c r="L255" s="78" t="str">
        <f aca="false">IF(J255="","",ROUND(SUM(J$14:J255),2))</f>
        <v/>
      </c>
      <c r="M255" s="90"/>
    </row>
    <row r="256" customFormat="false" ht="15" hidden="false" customHeight="false" outlineLevel="0" collapsed="false">
      <c r="B256" s="68" t="str">
        <f aca="false">IF(C256="","",ROW()-13)</f>
        <v/>
      </c>
      <c r="C256" s="143"/>
      <c r="D256" s="89"/>
      <c r="E256" s="90"/>
      <c r="F256" s="89"/>
      <c r="G256" s="144"/>
      <c r="H256" s="144"/>
      <c r="I256" s="144"/>
      <c r="J256" s="78" t="str">
        <f aca="false">IF(OR(G256="",H256="",I256=""),"",IFERROR(ROUND(IF(F256="Short",G256-I256,I256-G256)/ABS(G256-H256),2),""))</f>
        <v/>
      </c>
      <c r="K256" s="68" t="str">
        <f aca="false">IF(J256="","",IF(ABS(J256)&lt;=Settings!$C$6,"BE",IF(J256&gt;0,"Win","Loss")))</f>
        <v/>
      </c>
      <c r="L256" s="78" t="str">
        <f aca="false">IF(J256="","",ROUND(SUM(J$14:J256),2))</f>
        <v/>
      </c>
      <c r="M256" s="90"/>
    </row>
    <row r="257" customFormat="false" ht="15" hidden="false" customHeight="false" outlineLevel="0" collapsed="false">
      <c r="B257" s="68" t="str">
        <f aca="false">IF(C257="","",ROW()-13)</f>
        <v/>
      </c>
      <c r="C257" s="143"/>
      <c r="D257" s="89"/>
      <c r="E257" s="90"/>
      <c r="F257" s="89"/>
      <c r="G257" s="144"/>
      <c r="H257" s="144"/>
      <c r="I257" s="144"/>
      <c r="J257" s="78" t="str">
        <f aca="false">IF(OR(G257="",H257="",I257=""),"",IFERROR(ROUND(IF(F257="Short",G257-I257,I257-G257)/ABS(G257-H257),2),""))</f>
        <v/>
      </c>
      <c r="K257" s="68" t="str">
        <f aca="false">IF(J257="","",IF(ABS(J257)&lt;=Settings!$C$6,"BE",IF(J257&gt;0,"Win","Loss")))</f>
        <v/>
      </c>
      <c r="L257" s="78" t="str">
        <f aca="false">IF(J257="","",ROUND(SUM(J$14:J257),2))</f>
        <v/>
      </c>
      <c r="M257" s="90"/>
    </row>
    <row r="258" customFormat="false" ht="15" hidden="false" customHeight="false" outlineLevel="0" collapsed="false">
      <c r="B258" s="68" t="str">
        <f aca="false">IF(C258="","",ROW()-13)</f>
        <v/>
      </c>
      <c r="C258" s="143"/>
      <c r="D258" s="89"/>
      <c r="E258" s="90"/>
      <c r="F258" s="89"/>
      <c r="G258" s="144"/>
      <c r="H258" s="144"/>
      <c r="I258" s="144"/>
      <c r="J258" s="78" t="str">
        <f aca="false">IF(OR(G258="",H258="",I258=""),"",IFERROR(ROUND(IF(F258="Short",G258-I258,I258-G258)/ABS(G258-H258),2),""))</f>
        <v/>
      </c>
      <c r="K258" s="68" t="str">
        <f aca="false">IF(J258="","",IF(ABS(J258)&lt;=Settings!$C$6,"BE",IF(J258&gt;0,"Win","Loss")))</f>
        <v/>
      </c>
      <c r="L258" s="78" t="str">
        <f aca="false">IF(J258="","",ROUND(SUM(J$14:J258),2))</f>
        <v/>
      </c>
      <c r="M258" s="90"/>
    </row>
    <row r="259" customFormat="false" ht="15" hidden="false" customHeight="false" outlineLevel="0" collapsed="false">
      <c r="B259" s="68" t="str">
        <f aca="false">IF(C259="","",ROW()-13)</f>
        <v/>
      </c>
      <c r="C259" s="143"/>
      <c r="D259" s="89"/>
      <c r="E259" s="90"/>
      <c r="F259" s="89"/>
      <c r="G259" s="144"/>
      <c r="H259" s="144"/>
      <c r="I259" s="144"/>
      <c r="J259" s="78" t="str">
        <f aca="false">IF(OR(G259="",H259="",I259=""),"",IFERROR(ROUND(IF(F259="Short",G259-I259,I259-G259)/ABS(G259-H259),2),""))</f>
        <v/>
      </c>
      <c r="K259" s="68" t="str">
        <f aca="false">IF(J259="","",IF(ABS(J259)&lt;=Settings!$C$6,"BE",IF(J259&gt;0,"Win","Loss")))</f>
        <v/>
      </c>
      <c r="L259" s="78" t="str">
        <f aca="false">IF(J259="","",ROUND(SUM(J$14:J259),2))</f>
        <v/>
      </c>
      <c r="M259" s="90"/>
    </row>
    <row r="260" customFormat="false" ht="15" hidden="false" customHeight="false" outlineLevel="0" collapsed="false">
      <c r="B260" s="68" t="str">
        <f aca="false">IF(C260="","",ROW()-13)</f>
        <v/>
      </c>
      <c r="C260" s="143"/>
      <c r="D260" s="89"/>
      <c r="E260" s="90"/>
      <c r="F260" s="89"/>
      <c r="G260" s="144"/>
      <c r="H260" s="144"/>
      <c r="I260" s="144"/>
      <c r="J260" s="78" t="str">
        <f aca="false">IF(OR(G260="",H260="",I260=""),"",IFERROR(ROUND(IF(F260="Short",G260-I260,I260-G260)/ABS(G260-H260),2),""))</f>
        <v/>
      </c>
      <c r="K260" s="68" t="str">
        <f aca="false">IF(J260="","",IF(ABS(J260)&lt;=Settings!$C$6,"BE",IF(J260&gt;0,"Win","Loss")))</f>
        <v/>
      </c>
      <c r="L260" s="78" t="str">
        <f aca="false">IF(J260="","",ROUND(SUM(J$14:J260),2))</f>
        <v/>
      </c>
      <c r="M260" s="90"/>
    </row>
    <row r="261" customFormat="false" ht="15" hidden="false" customHeight="false" outlineLevel="0" collapsed="false">
      <c r="B261" s="68" t="str">
        <f aca="false">IF(C261="","",ROW()-13)</f>
        <v/>
      </c>
      <c r="C261" s="143"/>
      <c r="D261" s="89"/>
      <c r="E261" s="90"/>
      <c r="F261" s="89"/>
      <c r="G261" s="144"/>
      <c r="H261" s="144"/>
      <c r="I261" s="144"/>
      <c r="J261" s="78" t="str">
        <f aca="false">IF(OR(G261="",H261="",I261=""),"",IFERROR(ROUND(IF(F261="Short",G261-I261,I261-G261)/ABS(G261-H261),2),""))</f>
        <v/>
      </c>
      <c r="K261" s="68" t="str">
        <f aca="false">IF(J261="","",IF(ABS(J261)&lt;=Settings!$C$6,"BE",IF(J261&gt;0,"Win","Loss")))</f>
        <v/>
      </c>
      <c r="L261" s="78" t="str">
        <f aca="false">IF(J261="","",ROUND(SUM(J$14:J261),2))</f>
        <v/>
      </c>
      <c r="M261" s="90"/>
    </row>
    <row r="262" customFormat="false" ht="15" hidden="false" customHeight="false" outlineLevel="0" collapsed="false">
      <c r="B262" s="68" t="str">
        <f aca="false">IF(C262="","",ROW()-13)</f>
        <v/>
      </c>
      <c r="C262" s="143"/>
      <c r="D262" s="89"/>
      <c r="E262" s="90"/>
      <c r="F262" s="89"/>
      <c r="G262" s="144"/>
      <c r="H262" s="144"/>
      <c r="I262" s="144"/>
      <c r="J262" s="78" t="str">
        <f aca="false">IF(OR(G262="",H262="",I262=""),"",IFERROR(ROUND(IF(F262="Short",G262-I262,I262-G262)/ABS(G262-H262),2),""))</f>
        <v/>
      </c>
      <c r="K262" s="68" t="str">
        <f aca="false">IF(J262="","",IF(ABS(J262)&lt;=Settings!$C$6,"BE",IF(J262&gt;0,"Win","Loss")))</f>
        <v/>
      </c>
      <c r="L262" s="78" t="str">
        <f aca="false">IF(J262="","",ROUND(SUM(J$14:J262),2))</f>
        <v/>
      </c>
      <c r="M262" s="90"/>
    </row>
    <row r="263" customFormat="false" ht="15" hidden="false" customHeight="false" outlineLevel="0" collapsed="false">
      <c r="B263" s="68" t="str">
        <f aca="false">IF(C263="","",ROW()-13)</f>
        <v/>
      </c>
      <c r="C263" s="143"/>
      <c r="D263" s="89"/>
      <c r="E263" s="90"/>
      <c r="F263" s="89"/>
      <c r="G263" s="144"/>
      <c r="H263" s="144"/>
      <c r="I263" s="144"/>
      <c r="J263" s="78" t="str">
        <f aca="false">IF(OR(G263="",H263="",I263=""),"",IFERROR(ROUND(IF(F263="Short",G263-I263,I263-G263)/ABS(G263-H263),2),""))</f>
        <v/>
      </c>
      <c r="K263" s="68" t="str">
        <f aca="false">IF(J263="","",IF(ABS(J263)&lt;=Settings!$C$6,"BE",IF(J263&gt;0,"Win","Loss")))</f>
        <v/>
      </c>
      <c r="L263" s="78" t="str">
        <f aca="false">IF(J263="","",ROUND(SUM(J$14:J263),2))</f>
        <v/>
      </c>
      <c r="M263" s="90"/>
    </row>
    <row r="264" customFormat="false" ht="15" hidden="false" customHeight="false" outlineLevel="0" collapsed="false">
      <c r="B264" s="68" t="str">
        <f aca="false">IF(C264="","",ROW()-13)</f>
        <v/>
      </c>
      <c r="C264" s="143"/>
      <c r="D264" s="89"/>
      <c r="E264" s="90"/>
      <c r="F264" s="89"/>
      <c r="G264" s="144"/>
      <c r="H264" s="144"/>
      <c r="I264" s="144"/>
      <c r="J264" s="78" t="str">
        <f aca="false">IF(OR(G264="",H264="",I264=""),"",IFERROR(ROUND(IF(F264="Short",G264-I264,I264-G264)/ABS(G264-H264),2),""))</f>
        <v/>
      </c>
      <c r="K264" s="68" t="str">
        <f aca="false">IF(J264="","",IF(ABS(J264)&lt;=Settings!$C$6,"BE",IF(J264&gt;0,"Win","Loss")))</f>
        <v/>
      </c>
      <c r="L264" s="78" t="str">
        <f aca="false">IF(J264="","",ROUND(SUM(J$14:J264),2))</f>
        <v/>
      </c>
      <c r="M264" s="90"/>
    </row>
    <row r="265" customFormat="false" ht="15" hidden="false" customHeight="false" outlineLevel="0" collapsed="false">
      <c r="B265" s="68" t="str">
        <f aca="false">IF(C265="","",ROW()-13)</f>
        <v/>
      </c>
      <c r="C265" s="143"/>
      <c r="D265" s="89"/>
      <c r="E265" s="90"/>
      <c r="F265" s="89"/>
      <c r="G265" s="144"/>
      <c r="H265" s="144"/>
      <c r="I265" s="144"/>
      <c r="J265" s="78" t="str">
        <f aca="false">IF(OR(G265="",H265="",I265=""),"",IFERROR(ROUND(IF(F265="Short",G265-I265,I265-G265)/ABS(G265-H265),2),""))</f>
        <v/>
      </c>
      <c r="K265" s="68" t="str">
        <f aca="false">IF(J265="","",IF(ABS(J265)&lt;=Settings!$C$6,"BE",IF(J265&gt;0,"Win","Loss")))</f>
        <v/>
      </c>
      <c r="L265" s="78" t="str">
        <f aca="false">IF(J265="","",ROUND(SUM(J$14:J265),2))</f>
        <v/>
      </c>
      <c r="M265" s="90"/>
    </row>
    <row r="266" customFormat="false" ht="15" hidden="false" customHeight="false" outlineLevel="0" collapsed="false">
      <c r="B266" s="68" t="str">
        <f aca="false">IF(C266="","",ROW()-13)</f>
        <v/>
      </c>
      <c r="C266" s="143"/>
      <c r="D266" s="89"/>
      <c r="E266" s="90"/>
      <c r="F266" s="89"/>
      <c r="G266" s="144"/>
      <c r="H266" s="144"/>
      <c r="I266" s="144"/>
      <c r="J266" s="78" t="str">
        <f aca="false">IF(OR(G266="",H266="",I266=""),"",IFERROR(ROUND(IF(F266="Short",G266-I266,I266-G266)/ABS(G266-H266),2),""))</f>
        <v/>
      </c>
      <c r="K266" s="68" t="str">
        <f aca="false">IF(J266="","",IF(ABS(J266)&lt;=Settings!$C$6,"BE",IF(J266&gt;0,"Win","Loss")))</f>
        <v/>
      </c>
      <c r="L266" s="78" t="str">
        <f aca="false">IF(J266="","",ROUND(SUM(J$14:J266),2))</f>
        <v/>
      </c>
      <c r="M266" s="90"/>
    </row>
    <row r="267" customFormat="false" ht="15" hidden="false" customHeight="false" outlineLevel="0" collapsed="false">
      <c r="B267" s="68" t="str">
        <f aca="false">IF(C267="","",ROW()-13)</f>
        <v/>
      </c>
      <c r="C267" s="143"/>
      <c r="D267" s="89"/>
      <c r="E267" s="90"/>
      <c r="F267" s="89"/>
      <c r="G267" s="144"/>
      <c r="H267" s="144"/>
      <c r="I267" s="144"/>
      <c r="J267" s="78" t="str">
        <f aca="false">IF(OR(G267="",H267="",I267=""),"",IFERROR(ROUND(IF(F267="Short",G267-I267,I267-G267)/ABS(G267-H267),2),""))</f>
        <v/>
      </c>
      <c r="K267" s="68" t="str">
        <f aca="false">IF(J267="","",IF(ABS(J267)&lt;=Settings!$C$6,"BE",IF(J267&gt;0,"Win","Loss")))</f>
        <v/>
      </c>
      <c r="L267" s="78" t="str">
        <f aca="false">IF(J267="","",ROUND(SUM(J$14:J267),2))</f>
        <v/>
      </c>
      <c r="M267" s="90"/>
    </row>
    <row r="268" customFormat="false" ht="15" hidden="false" customHeight="false" outlineLevel="0" collapsed="false">
      <c r="B268" s="68" t="str">
        <f aca="false">IF(C268="","",ROW()-13)</f>
        <v/>
      </c>
      <c r="C268" s="143"/>
      <c r="D268" s="89"/>
      <c r="E268" s="90"/>
      <c r="F268" s="89"/>
      <c r="G268" s="144"/>
      <c r="H268" s="144"/>
      <c r="I268" s="144"/>
      <c r="J268" s="78" t="str">
        <f aca="false">IF(OR(G268="",H268="",I268=""),"",IFERROR(ROUND(IF(F268="Short",G268-I268,I268-G268)/ABS(G268-H268),2),""))</f>
        <v/>
      </c>
      <c r="K268" s="68" t="str">
        <f aca="false">IF(J268="","",IF(ABS(J268)&lt;=Settings!$C$6,"BE",IF(J268&gt;0,"Win","Loss")))</f>
        <v/>
      </c>
      <c r="L268" s="78" t="str">
        <f aca="false">IF(J268="","",ROUND(SUM(J$14:J268),2))</f>
        <v/>
      </c>
      <c r="M268" s="90"/>
    </row>
    <row r="269" customFormat="false" ht="15" hidden="false" customHeight="false" outlineLevel="0" collapsed="false">
      <c r="B269" s="68" t="str">
        <f aca="false">IF(C269="","",ROW()-13)</f>
        <v/>
      </c>
      <c r="C269" s="143"/>
      <c r="D269" s="89"/>
      <c r="E269" s="90"/>
      <c r="F269" s="89"/>
      <c r="G269" s="144"/>
      <c r="H269" s="144"/>
      <c r="I269" s="144"/>
      <c r="J269" s="78" t="str">
        <f aca="false">IF(OR(G269="",H269="",I269=""),"",IFERROR(ROUND(IF(F269="Short",G269-I269,I269-G269)/ABS(G269-H269),2),""))</f>
        <v/>
      </c>
      <c r="K269" s="68" t="str">
        <f aca="false">IF(J269="","",IF(ABS(J269)&lt;=Settings!$C$6,"BE",IF(J269&gt;0,"Win","Loss")))</f>
        <v/>
      </c>
      <c r="L269" s="78" t="str">
        <f aca="false">IF(J269="","",ROUND(SUM(J$14:J269),2))</f>
        <v/>
      </c>
      <c r="M269" s="90"/>
    </row>
    <row r="270" customFormat="false" ht="15" hidden="false" customHeight="false" outlineLevel="0" collapsed="false">
      <c r="B270" s="68" t="str">
        <f aca="false">IF(C270="","",ROW()-13)</f>
        <v/>
      </c>
      <c r="C270" s="143"/>
      <c r="D270" s="89"/>
      <c r="E270" s="90"/>
      <c r="F270" s="89"/>
      <c r="G270" s="144"/>
      <c r="H270" s="144"/>
      <c r="I270" s="144"/>
      <c r="J270" s="78" t="str">
        <f aca="false">IF(OR(G270="",H270="",I270=""),"",IFERROR(ROUND(IF(F270="Short",G270-I270,I270-G270)/ABS(G270-H270),2),""))</f>
        <v/>
      </c>
      <c r="K270" s="68" t="str">
        <f aca="false">IF(J270="","",IF(ABS(J270)&lt;=Settings!$C$6,"BE",IF(J270&gt;0,"Win","Loss")))</f>
        <v/>
      </c>
      <c r="L270" s="78" t="str">
        <f aca="false">IF(J270="","",ROUND(SUM(J$14:J270),2))</f>
        <v/>
      </c>
      <c r="M270" s="90"/>
    </row>
    <row r="271" customFormat="false" ht="15" hidden="false" customHeight="false" outlineLevel="0" collapsed="false">
      <c r="B271" s="68" t="str">
        <f aca="false">IF(C271="","",ROW()-13)</f>
        <v/>
      </c>
      <c r="C271" s="143"/>
      <c r="D271" s="89"/>
      <c r="E271" s="90"/>
      <c r="F271" s="89"/>
      <c r="G271" s="144"/>
      <c r="H271" s="144"/>
      <c r="I271" s="144"/>
      <c r="J271" s="78" t="str">
        <f aca="false">IF(OR(G271="",H271="",I271=""),"",IFERROR(ROUND(IF(F271="Short",G271-I271,I271-G271)/ABS(G271-H271),2),""))</f>
        <v/>
      </c>
      <c r="K271" s="68" t="str">
        <f aca="false">IF(J271="","",IF(ABS(J271)&lt;=Settings!$C$6,"BE",IF(J271&gt;0,"Win","Loss")))</f>
        <v/>
      </c>
      <c r="L271" s="78" t="str">
        <f aca="false">IF(J271="","",ROUND(SUM(J$14:J271),2))</f>
        <v/>
      </c>
      <c r="M271" s="90"/>
    </row>
    <row r="272" customFormat="false" ht="15" hidden="false" customHeight="false" outlineLevel="0" collapsed="false">
      <c r="B272" s="68" t="str">
        <f aca="false">IF(C272="","",ROW()-13)</f>
        <v/>
      </c>
      <c r="C272" s="143"/>
      <c r="D272" s="89"/>
      <c r="E272" s="90"/>
      <c r="F272" s="89"/>
      <c r="G272" s="144"/>
      <c r="H272" s="144"/>
      <c r="I272" s="144"/>
      <c r="J272" s="78" t="str">
        <f aca="false">IF(OR(G272="",H272="",I272=""),"",IFERROR(ROUND(IF(F272="Short",G272-I272,I272-G272)/ABS(G272-H272),2),""))</f>
        <v/>
      </c>
      <c r="K272" s="68" t="str">
        <f aca="false">IF(J272="","",IF(ABS(J272)&lt;=Settings!$C$6,"BE",IF(J272&gt;0,"Win","Loss")))</f>
        <v/>
      </c>
      <c r="L272" s="78" t="str">
        <f aca="false">IF(J272="","",ROUND(SUM(J$14:J272),2))</f>
        <v/>
      </c>
      <c r="M272" s="90"/>
    </row>
    <row r="273" customFormat="false" ht="15" hidden="false" customHeight="false" outlineLevel="0" collapsed="false">
      <c r="B273" s="68" t="str">
        <f aca="false">IF(C273="","",ROW()-13)</f>
        <v/>
      </c>
      <c r="C273" s="143"/>
      <c r="D273" s="89"/>
      <c r="E273" s="90"/>
      <c r="F273" s="89"/>
      <c r="G273" s="144"/>
      <c r="H273" s="144"/>
      <c r="I273" s="144"/>
      <c r="J273" s="78" t="str">
        <f aca="false">IF(OR(G273="",H273="",I273=""),"",IFERROR(ROUND(IF(F273="Short",G273-I273,I273-G273)/ABS(G273-H273),2),""))</f>
        <v/>
      </c>
      <c r="K273" s="68" t="str">
        <f aca="false">IF(J273="","",IF(ABS(J273)&lt;=Settings!$C$6,"BE",IF(J273&gt;0,"Win","Loss")))</f>
        <v/>
      </c>
      <c r="L273" s="78" t="str">
        <f aca="false">IF(J273="","",ROUND(SUM(J$14:J273),2))</f>
        <v/>
      </c>
      <c r="M273" s="90"/>
    </row>
    <row r="274" customFormat="false" ht="15" hidden="false" customHeight="false" outlineLevel="0" collapsed="false">
      <c r="B274" s="68" t="str">
        <f aca="false">IF(C274="","",ROW()-13)</f>
        <v/>
      </c>
      <c r="C274" s="143"/>
      <c r="D274" s="89"/>
      <c r="E274" s="90"/>
      <c r="F274" s="89"/>
      <c r="G274" s="144"/>
      <c r="H274" s="144"/>
      <c r="I274" s="144"/>
      <c r="J274" s="78" t="str">
        <f aca="false">IF(OR(G274="",H274="",I274=""),"",IFERROR(ROUND(IF(F274="Short",G274-I274,I274-G274)/ABS(G274-H274),2),""))</f>
        <v/>
      </c>
      <c r="K274" s="68" t="str">
        <f aca="false">IF(J274="","",IF(ABS(J274)&lt;=Settings!$C$6,"BE",IF(J274&gt;0,"Win","Loss")))</f>
        <v/>
      </c>
      <c r="L274" s="78" t="str">
        <f aca="false">IF(J274="","",ROUND(SUM(J$14:J274),2))</f>
        <v/>
      </c>
      <c r="M274" s="90"/>
    </row>
    <row r="275" customFormat="false" ht="15" hidden="false" customHeight="false" outlineLevel="0" collapsed="false">
      <c r="B275" s="68" t="str">
        <f aca="false">IF(C275="","",ROW()-13)</f>
        <v/>
      </c>
      <c r="C275" s="143"/>
      <c r="D275" s="89"/>
      <c r="E275" s="90"/>
      <c r="F275" s="89"/>
      <c r="G275" s="144"/>
      <c r="H275" s="144"/>
      <c r="I275" s="144"/>
      <c r="J275" s="78" t="str">
        <f aca="false">IF(OR(G275="",H275="",I275=""),"",IFERROR(ROUND(IF(F275="Short",G275-I275,I275-G275)/ABS(G275-H275),2),""))</f>
        <v/>
      </c>
      <c r="K275" s="68" t="str">
        <f aca="false">IF(J275="","",IF(ABS(J275)&lt;=Settings!$C$6,"BE",IF(J275&gt;0,"Win","Loss")))</f>
        <v/>
      </c>
      <c r="L275" s="78" t="str">
        <f aca="false">IF(J275="","",ROUND(SUM(J$14:J275),2))</f>
        <v/>
      </c>
      <c r="M275" s="90"/>
    </row>
    <row r="276" customFormat="false" ht="15" hidden="false" customHeight="false" outlineLevel="0" collapsed="false">
      <c r="B276" s="68" t="str">
        <f aca="false">IF(C276="","",ROW()-13)</f>
        <v/>
      </c>
      <c r="C276" s="143"/>
      <c r="D276" s="89"/>
      <c r="E276" s="90"/>
      <c r="F276" s="89"/>
      <c r="G276" s="144"/>
      <c r="H276" s="144"/>
      <c r="I276" s="144"/>
      <c r="J276" s="78" t="str">
        <f aca="false">IF(OR(G276="",H276="",I276=""),"",IFERROR(ROUND(IF(F276="Short",G276-I276,I276-G276)/ABS(G276-H276),2),""))</f>
        <v/>
      </c>
      <c r="K276" s="68" t="str">
        <f aca="false">IF(J276="","",IF(ABS(J276)&lt;=Settings!$C$6,"BE",IF(J276&gt;0,"Win","Loss")))</f>
        <v/>
      </c>
      <c r="L276" s="78" t="str">
        <f aca="false">IF(J276="","",ROUND(SUM(J$14:J276),2))</f>
        <v/>
      </c>
      <c r="M276" s="90"/>
    </row>
    <row r="277" customFormat="false" ht="15" hidden="false" customHeight="false" outlineLevel="0" collapsed="false">
      <c r="B277" s="68" t="str">
        <f aca="false">IF(C277="","",ROW()-13)</f>
        <v/>
      </c>
      <c r="C277" s="143"/>
      <c r="D277" s="89"/>
      <c r="E277" s="90"/>
      <c r="F277" s="89"/>
      <c r="G277" s="144"/>
      <c r="H277" s="144"/>
      <c r="I277" s="144"/>
      <c r="J277" s="78" t="str">
        <f aca="false">IF(OR(G277="",H277="",I277=""),"",IFERROR(ROUND(IF(F277="Short",G277-I277,I277-G277)/ABS(G277-H277),2),""))</f>
        <v/>
      </c>
      <c r="K277" s="68" t="str">
        <f aca="false">IF(J277="","",IF(ABS(J277)&lt;=Settings!$C$6,"BE",IF(J277&gt;0,"Win","Loss")))</f>
        <v/>
      </c>
      <c r="L277" s="78" t="str">
        <f aca="false">IF(J277="","",ROUND(SUM(J$14:J277),2))</f>
        <v/>
      </c>
      <c r="M277" s="90"/>
    </row>
    <row r="278" customFormat="false" ht="15" hidden="false" customHeight="false" outlineLevel="0" collapsed="false">
      <c r="B278" s="68" t="str">
        <f aca="false">IF(C278="","",ROW()-13)</f>
        <v/>
      </c>
      <c r="C278" s="143"/>
      <c r="D278" s="89"/>
      <c r="E278" s="90"/>
      <c r="F278" s="89"/>
      <c r="G278" s="144"/>
      <c r="H278" s="144"/>
      <c r="I278" s="144"/>
      <c r="J278" s="78" t="str">
        <f aca="false">IF(OR(G278="",H278="",I278=""),"",IFERROR(ROUND(IF(F278="Short",G278-I278,I278-G278)/ABS(G278-H278),2),""))</f>
        <v/>
      </c>
      <c r="K278" s="68" t="str">
        <f aca="false">IF(J278="","",IF(ABS(J278)&lt;=Settings!$C$6,"BE",IF(J278&gt;0,"Win","Loss")))</f>
        <v/>
      </c>
      <c r="L278" s="78" t="str">
        <f aca="false">IF(J278="","",ROUND(SUM(J$14:J278),2))</f>
        <v/>
      </c>
      <c r="M278" s="90"/>
    </row>
    <row r="279" customFormat="false" ht="15" hidden="false" customHeight="false" outlineLevel="0" collapsed="false">
      <c r="B279" s="68" t="str">
        <f aca="false">IF(C279="","",ROW()-13)</f>
        <v/>
      </c>
      <c r="C279" s="143"/>
      <c r="D279" s="89"/>
      <c r="E279" s="90"/>
      <c r="F279" s="89"/>
      <c r="G279" s="144"/>
      <c r="H279" s="144"/>
      <c r="I279" s="144"/>
      <c r="J279" s="78" t="str">
        <f aca="false">IF(OR(G279="",H279="",I279=""),"",IFERROR(ROUND(IF(F279="Short",G279-I279,I279-G279)/ABS(G279-H279),2),""))</f>
        <v/>
      </c>
      <c r="K279" s="68" t="str">
        <f aca="false">IF(J279="","",IF(ABS(J279)&lt;=Settings!$C$6,"BE",IF(J279&gt;0,"Win","Loss")))</f>
        <v/>
      </c>
      <c r="L279" s="78" t="str">
        <f aca="false">IF(J279="","",ROUND(SUM(J$14:J279),2))</f>
        <v/>
      </c>
      <c r="M279" s="90"/>
    </row>
    <row r="280" customFormat="false" ht="15" hidden="false" customHeight="false" outlineLevel="0" collapsed="false">
      <c r="B280" s="68" t="str">
        <f aca="false">IF(C280="","",ROW()-13)</f>
        <v/>
      </c>
      <c r="C280" s="143"/>
      <c r="D280" s="89"/>
      <c r="E280" s="90"/>
      <c r="F280" s="89"/>
      <c r="G280" s="144"/>
      <c r="H280" s="144"/>
      <c r="I280" s="144"/>
      <c r="J280" s="78" t="str">
        <f aca="false">IF(OR(G280="",H280="",I280=""),"",IFERROR(ROUND(IF(F280="Short",G280-I280,I280-G280)/ABS(G280-H280),2),""))</f>
        <v/>
      </c>
      <c r="K280" s="68" t="str">
        <f aca="false">IF(J280="","",IF(ABS(J280)&lt;=Settings!$C$6,"BE",IF(J280&gt;0,"Win","Loss")))</f>
        <v/>
      </c>
      <c r="L280" s="78" t="str">
        <f aca="false">IF(J280="","",ROUND(SUM(J$14:J280),2))</f>
        <v/>
      </c>
      <c r="M280" s="90"/>
    </row>
    <row r="281" customFormat="false" ht="15" hidden="false" customHeight="false" outlineLevel="0" collapsed="false">
      <c r="B281" s="68" t="str">
        <f aca="false">IF(C281="","",ROW()-13)</f>
        <v/>
      </c>
      <c r="C281" s="143"/>
      <c r="D281" s="89"/>
      <c r="E281" s="90"/>
      <c r="F281" s="89"/>
      <c r="G281" s="144"/>
      <c r="H281" s="144"/>
      <c r="I281" s="144"/>
      <c r="J281" s="78" t="str">
        <f aca="false">IF(OR(G281="",H281="",I281=""),"",IFERROR(ROUND(IF(F281="Short",G281-I281,I281-G281)/ABS(G281-H281),2),""))</f>
        <v/>
      </c>
      <c r="K281" s="68" t="str">
        <f aca="false">IF(J281="","",IF(ABS(J281)&lt;=Settings!$C$6,"BE",IF(J281&gt;0,"Win","Loss")))</f>
        <v/>
      </c>
      <c r="L281" s="78" t="str">
        <f aca="false">IF(J281="","",ROUND(SUM(J$14:J281),2))</f>
        <v/>
      </c>
      <c r="M281" s="90"/>
    </row>
    <row r="282" customFormat="false" ht="15" hidden="false" customHeight="false" outlineLevel="0" collapsed="false">
      <c r="B282" s="68" t="str">
        <f aca="false">IF(C282="","",ROW()-13)</f>
        <v/>
      </c>
      <c r="C282" s="143"/>
      <c r="D282" s="89"/>
      <c r="E282" s="90"/>
      <c r="F282" s="89"/>
      <c r="G282" s="144"/>
      <c r="H282" s="144"/>
      <c r="I282" s="144"/>
      <c r="J282" s="78" t="str">
        <f aca="false">IF(OR(G282="",H282="",I282=""),"",IFERROR(ROUND(IF(F282="Short",G282-I282,I282-G282)/ABS(G282-H282),2),""))</f>
        <v/>
      </c>
      <c r="K282" s="68" t="str">
        <f aca="false">IF(J282="","",IF(ABS(J282)&lt;=Settings!$C$6,"BE",IF(J282&gt;0,"Win","Loss")))</f>
        <v/>
      </c>
      <c r="L282" s="78" t="str">
        <f aca="false">IF(J282="","",ROUND(SUM(J$14:J282),2))</f>
        <v/>
      </c>
      <c r="M282" s="90"/>
    </row>
    <row r="283" customFormat="false" ht="15" hidden="false" customHeight="false" outlineLevel="0" collapsed="false">
      <c r="B283" s="68" t="str">
        <f aca="false">IF(C283="","",ROW()-13)</f>
        <v/>
      </c>
      <c r="C283" s="143"/>
      <c r="D283" s="89"/>
      <c r="E283" s="90"/>
      <c r="F283" s="89"/>
      <c r="G283" s="144"/>
      <c r="H283" s="144"/>
      <c r="I283" s="144"/>
      <c r="J283" s="78" t="str">
        <f aca="false">IF(OR(G283="",H283="",I283=""),"",IFERROR(ROUND(IF(F283="Short",G283-I283,I283-G283)/ABS(G283-H283),2),""))</f>
        <v/>
      </c>
      <c r="K283" s="68" t="str">
        <f aca="false">IF(J283="","",IF(ABS(J283)&lt;=Settings!$C$6,"BE",IF(J283&gt;0,"Win","Loss")))</f>
        <v/>
      </c>
      <c r="L283" s="78" t="str">
        <f aca="false">IF(J283="","",ROUND(SUM(J$14:J283),2))</f>
        <v/>
      </c>
      <c r="M283" s="90"/>
    </row>
    <row r="284" customFormat="false" ht="15" hidden="false" customHeight="false" outlineLevel="0" collapsed="false">
      <c r="B284" s="68" t="str">
        <f aca="false">IF(C284="","",ROW()-13)</f>
        <v/>
      </c>
      <c r="C284" s="143"/>
      <c r="D284" s="89"/>
      <c r="E284" s="90"/>
      <c r="F284" s="89"/>
      <c r="G284" s="144"/>
      <c r="H284" s="144"/>
      <c r="I284" s="144"/>
      <c r="J284" s="78" t="str">
        <f aca="false">IF(OR(G284="",H284="",I284=""),"",IFERROR(ROUND(IF(F284="Short",G284-I284,I284-G284)/ABS(G284-H284),2),""))</f>
        <v/>
      </c>
      <c r="K284" s="68" t="str">
        <f aca="false">IF(J284="","",IF(ABS(J284)&lt;=Settings!$C$6,"BE",IF(J284&gt;0,"Win","Loss")))</f>
        <v/>
      </c>
      <c r="L284" s="78" t="str">
        <f aca="false">IF(J284="","",ROUND(SUM(J$14:J284),2))</f>
        <v/>
      </c>
      <c r="M284" s="90"/>
    </row>
    <row r="285" customFormat="false" ht="15" hidden="false" customHeight="false" outlineLevel="0" collapsed="false">
      <c r="B285" s="68" t="str">
        <f aca="false">IF(C285="","",ROW()-13)</f>
        <v/>
      </c>
      <c r="C285" s="143"/>
      <c r="D285" s="89"/>
      <c r="E285" s="90"/>
      <c r="F285" s="89"/>
      <c r="G285" s="144"/>
      <c r="H285" s="144"/>
      <c r="I285" s="144"/>
      <c r="J285" s="78" t="str">
        <f aca="false">IF(OR(G285="",H285="",I285=""),"",IFERROR(ROUND(IF(F285="Short",G285-I285,I285-G285)/ABS(G285-H285),2),""))</f>
        <v/>
      </c>
      <c r="K285" s="68" t="str">
        <f aca="false">IF(J285="","",IF(ABS(J285)&lt;=Settings!$C$6,"BE",IF(J285&gt;0,"Win","Loss")))</f>
        <v/>
      </c>
      <c r="L285" s="78" t="str">
        <f aca="false">IF(J285="","",ROUND(SUM(J$14:J285),2))</f>
        <v/>
      </c>
      <c r="M285" s="90"/>
    </row>
    <row r="286" customFormat="false" ht="15" hidden="false" customHeight="false" outlineLevel="0" collapsed="false">
      <c r="B286" s="68" t="str">
        <f aca="false">IF(C286="","",ROW()-13)</f>
        <v/>
      </c>
      <c r="C286" s="143"/>
      <c r="D286" s="89"/>
      <c r="E286" s="90"/>
      <c r="F286" s="89"/>
      <c r="G286" s="144"/>
      <c r="H286" s="144"/>
      <c r="I286" s="144"/>
      <c r="J286" s="78" t="str">
        <f aca="false">IF(OR(G286="",H286="",I286=""),"",IFERROR(ROUND(IF(F286="Short",G286-I286,I286-G286)/ABS(G286-H286),2),""))</f>
        <v/>
      </c>
      <c r="K286" s="68" t="str">
        <f aca="false">IF(J286="","",IF(ABS(J286)&lt;=Settings!$C$6,"BE",IF(J286&gt;0,"Win","Loss")))</f>
        <v/>
      </c>
      <c r="L286" s="78" t="str">
        <f aca="false">IF(J286="","",ROUND(SUM(J$14:J286),2))</f>
        <v/>
      </c>
      <c r="M286" s="90"/>
    </row>
    <row r="287" customFormat="false" ht="15" hidden="false" customHeight="false" outlineLevel="0" collapsed="false">
      <c r="B287" s="68" t="str">
        <f aca="false">IF(C287="","",ROW()-13)</f>
        <v/>
      </c>
      <c r="C287" s="143"/>
      <c r="D287" s="89"/>
      <c r="E287" s="90"/>
      <c r="F287" s="89"/>
      <c r="G287" s="144"/>
      <c r="H287" s="144"/>
      <c r="I287" s="144"/>
      <c r="J287" s="78" t="str">
        <f aca="false">IF(OR(G287="",H287="",I287=""),"",IFERROR(ROUND(IF(F287="Short",G287-I287,I287-G287)/ABS(G287-H287),2),""))</f>
        <v/>
      </c>
      <c r="K287" s="68" t="str">
        <f aca="false">IF(J287="","",IF(ABS(J287)&lt;=Settings!$C$6,"BE",IF(J287&gt;0,"Win","Loss")))</f>
        <v/>
      </c>
      <c r="L287" s="78" t="str">
        <f aca="false">IF(J287="","",ROUND(SUM(J$14:J287),2))</f>
        <v/>
      </c>
      <c r="M287" s="90"/>
    </row>
    <row r="288" customFormat="false" ht="15" hidden="false" customHeight="false" outlineLevel="0" collapsed="false">
      <c r="B288" s="68" t="str">
        <f aca="false">IF(C288="","",ROW()-13)</f>
        <v/>
      </c>
      <c r="C288" s="143"/>
      <c r="D288" s="89"/>
      <c r="E288" s="90"/>
      <c r="F288" s="89"/>
      <c r="G288" s="144"/>
      <c r="H288" s="144"/>
      <c r="I288" s="144"/>
      <c r="J288" s="78" t="str">
        <f aca="false">IF(OR(G288="",H288="",I288=""),"",IFERROR(ROUND(IF(F288="Short",G288-I288,I288-G288)/ABS(G288-H288),2),""))</f>
        <v/>
      </c>
      <c r="K288" s="68" t="str">
        <f aca="false">IF(J288="","",IF(ABS(J288)&lt;=Settings!$C$6,"BE",IF(J288&gt;0,"Win","Loss")))</f>
        <v/>
      </c>
      <c r="L288" s="78" t="str">
        <f aca="false">IF(J288="","",ROUND(SUM(J$14:J288),2))</f>
        <v/>
      </c>
      <c r="M288" s="90"/>
    </row>
    <row r="289" customFormat="false" ht="15" hidden="false" customHeight="false" outlineLevel="0" collapsed="false">
      <c r="B289" s="68" t="str">
        <f aca="false">IF(C289="","",ROW()-13)</f>
        <v/>
      </c>
      <c r="C289" s="143"/>
      <c r="D289" s="89"/>
      <c r="E289" s="90"/>
      <c r="F289" s="89"/>
      <c r="G289" s="144"/>
      <c r="H289" s="144"/>
      <c r="I289" s="144"/>
      <c r="J289" s="78" t="str">
        <f aca="false">IF(OR(G289="",H289="",I289=""),"",IFERROR(ROUND(IF(F289="Short",G289-I289,I289-G289)/ABS(G289-H289),2),""))</f>
        <v/>
      </c>
      <c r="K289" s="68" t="str">
        <f aca="false">IF(J289="","",IF(ABS(J289)&lt;=Settings!$C$6,"BE",IF(J289&gt;0,"Win","Loss")))</f>
        <v/>
      </c>
      <c r="L289" s="78" t="str">
        <f aca="false">IF(J289="","",ROUND(SUM(J$14:J289),2))</f>
        <v/>
      </c>
      <c r="M289" s="90"/>
    </row>
    <row r="290" customFormat="false" ht="15" hidden="false" customHeight="false" outlineLevel="0" collapsed="false">
      <c r="B290" s="68" t="str">
        <f aca="false">IF(C290="","",ROW()-13)</f>
        <v/>
      </c>
      <c r="C290" s="143"/>
      <c r="D290" s="89"/>
      <c r="E290" s="90"/>
      <c r="F290" s="89"/>
      <c r="G290" s="144"/>
      <c r="H290" s="144"/>
      <c r="I290" s="144"/>
      <c r="J290" s="78" t="str">
        <f aca="false">IF(OR(G290="",H290="",I290=""),"",IFERROR(ROUND(IF(F290="Short",G290-I290,I290-G290)/ABS(G290-H290),2),""))</f>
        <v/>
      </c>
      <c r="K290" s="68" t="str">
        <f aca="false">IF(J290="","",IF(ABS(J290)&lt;=Settings!$C$6,"BE",IF(J290&gt;0,"Win","Loss")))</f>
        <v/>
      </c>
      <c r="L290" s="78" t="str">
        <f aca="false">IF(J290="","",ROUND(SUM(J$14:J290),2))</f>
        <v/>
      </c>
      <c r="M290" s="90"/>
    </row>
    <row r="291" customFormat="false" ht="15" hidden="false" customHeight="false" outlineLevel="0" collapsed="false">
      <c r="B291" s="68" t="str">
        <f aca="false">IF(C291="","",ROW()-13)</f>
        <v/>
      </c>
      <c r="C291" s="143"/>
      <c r="D291" s="89"/>
      <c r="E291" s="90"/>
      <c r="F291" s="89"/>
      <c r="G291" s="144"/>
      <c r="H291" s="144"/>
      <c r="I291" s="144"/>
      <c r="J291" s="78" t="str">
        <f aca="false">IF(OR(G291="",H291="",I291=""),"",IFERROR(ROUND(IF(F291="Short",G291-I291,I291-G291)/ABS(G291-H291),2),""))</f>
        <v/>
      </c>
      <c r="K291" s="68" t="str">
        <f aca="false">IF(J291="","",IF(ABS(J291)&lt;=Settings!$C$6,"BE",IF(J291&gt;0,"Win","Loss")))</f>
        <v/>
      </c>
      <c r="L291" s="78" t="str">
        <f aca="false">IF(J291="","",ROUND(SUM(J$14:J291),2))</f>
        <v/>
      </c>
      <c r="M291" s="90"/>
    </row>
    <row r="292" customFormat="false" ht="15" hidden="false" customHeight="false" outlineLevel="0" collapsed="false">
      <c r="B292" s="68" t="str">
        <f aca="false">IF(C292="","",ROW()-13)</f>
        <v/>
      </c>
      <c r="C292" s="143"/>
      <c r="D292" s="89"/>
      <c r="E292" s="90"/>
      <c r="F292" s="89"/>
      <c r="G292" s="144"/>
      <c r="H292" s="144"/>
      <c r="I292" s="144"/>
      <c r="J292" s="78" t="str">
        <f aca="false">IF(OR(G292="",H292="",I292=""),"",IFERROR(ROUND(IF(F292="Short",G292-I292,I292-G292)/ABS(G292-H292),2),""))</f>
        <v/>
      </c>
      <c r="K292" s="68" t="str">
        <f aca="false">IF(J292="","",IF(ABS(J292)&lt;=Settings!$C$6,"BE",IF(J292&gt;0,"Win","Loss")))</f>
        <v/>
      </c>
      <c r="L292" s="78" t="str">
        <f aca="false">IF(J292="","",ROUND(SUM(J$14:J292),2))</f>
        <v/>
      </c>
      <c r="M292" s="90"/>
    </row>
    <row r="293" customFormat="false" ht="15" hidden="false" customHeight="false" outlineLevel="0" collapsed="false">
      <c r="B293" s="68" t="str">
        <f aca="false">IF(C293="","",ROW()-13)</f>
        <v/>
      </c>
      <c r="C293" s="143"/>
      <c r="D293" s="89"/>
      <c r="E293" s="90"/>
      <c r="F293" s="89"/>
      <c r="G293" s="144"/>
      <c r="H293" s="144"/>
      <c r="I293" s="144"/>
      <c r="J293" s="78" t="str">
        <f aca="false">IF(OR(G293="",H293="",I293=""),"",IFERROR(ROUND(IF(F293="Short",G293-I293,I293-G293)/ABS(G293-H293),2),""))</f>
        <v/>
      </c>
      <c r="K293" s="68" t="str">
        <f aca="false">IF(J293="","",IF(ABS(J293)&lt;=Settings!$C$6,"BE",IF(J293&gt;0,"Win","Loss")))</f>
        <v/>
      </c>
      <c r="L293" s="78" t="str">
        <f aca="false">IF(J293="","",ROUND(SUM(J$14:J293),2))</f>
        <v/>
      </c>
      <c r="M293" s="90"/>
    </row>
    <row r="294" customFormat="false" ht="15" hidden="false" customHeight="false" outlineLevel="0" collapsed="false">
      <c r="B294" s="68" t="str">
        <f aca="false">IF(C294="","",ROW()-13)</f>
        <v/>
      </c>
      <c r="C294" s="143"/>
      <c r="D294" s="89"/>
      <c r="E294" s="90"/>
      <c r="F294" s="89"/>
      <c r="G294" s="144"/>
      <c r="H294" s="144"/>
      <c r="I294" s="144"/>
      <c r="J294" s="78" t="str">
        <f aca="false">IF(OR(G294="",H294="",I294=""),"",IFERROR(ROUND(IF(F294="Short",G294-I294,I294-G294)/ABS(G294-H294),2),""))</f>
        <v/>
      </c>
      <c r="K294" s="68" t="str">
        <f aca="false">IF(J294="","",IF(ABS(J294)&lt;=Settings!$C$6,"BE",IF(J294&gt;0,"Win","Loss")))</f>
        <v/>
      </c>
      <c r="L294" s="78" t="str">
        <f aca="false">IF(J294="","",ROUND(SUM(J$14:J294),2))</f>
        <v/>
      </c>
      <c r="M294" s="90"/>
    </row>
    <row r="295" customFormat="false" ht="15" hidden="false" customHeight="false" outlineLevel="0" collapsed="false">
      <c r="B295" s="68" t="str">
        <f aca="false">IF(C295="","",ROW()-13)</f>
        <v/>
      </c>
      <c r="C295" s="143"/>
      <c r="D295" s="89"/>
      <c r="E295" s="90"/>
      <c r="F295" s="89"/>
      <c r="G295" s="144"/>
      <c r="H295" s="144"/>
      <c r="I295" s="144"/>
      <c r="J295" s="78" t="str">
        <f aca="false">IF(OR(G295="",H295="",I295=""),"",IFERROR(ROUND(IF(F295="Short",G295-I295,I295-G295)/ABS(G295-H295),2),""))</f>
        <v/>
      </c>
      <c r="K295" s="68" t="str">
        <f aca="false">IF(J295="","",IF(ABS(J295)&lt;=Settings!$C$6,"BE",IF(J295&gt;0,"Win","Loss")))</f>
        <v/>
      </c>
      <c r="L295" s="78" t="str">
        <f aca="false">IF(J295="","",ROUND(SUM(J$14:J295),2))</f>
        <v/>
      </c>
      <c r="M295" s="90"/>
    </row>
    <row r="296" customFormat="false" ht="15" hidden="false" customHeight="false" outlineLevel="0" collapsed="false">
      <c r="B296" s="68" t="str">
        <f aca="false">IF(C296="","",ROW()-13)</f>
        <v/>
      </c>
      <c r="C296" s="143"/>
      <c r="D296" s="89"/>
      <c r="E296" s="90"/>
      <c r="F296" s="89"/>
      <c r="G296" s="144"/>
      <c r="H296" s="144"/>
      <c r="I296" s="144"/>
      <c r="J296" s="78" t="str">
        <f aca="false">IF(OR(G296="",H296="",I296=""),"",IFERROR(ROUND(IF(F296="Short",G296-I296,I296-G296)/ABS(G296-H296),2),""))</f>
        <v/>
      </c>
      <c r="K296" s="68" t="str">
        <f aca="false">IF(J296="","",IF(ABS(J296)&lt;=Settings!$C$6,"BE",IF(J296&gt;0,"Win","Loss")))</f>
        <v/>
      </c>
      <c r="L296" s="78" t="str">
        <f aca="false">IF(J296="","",ROUND(SUM(J$14:J296),2))</f>
        <v/>
      </c>
      <c r="M296" s="90"/>
    </row>
    <row r="297" customFormat="false" ht="15" hidden="false" customHeight="false" outlineLevel="0" collapsed="false">
      <c r="B297" s="68" t="str">
        <f aca="false">IF(C297="","",ROW()-13)</f>
        <v/>
      </c>
      <c r="C297" s="143"/>
      <c r="D297" s="89"/>
      <c r="E297" s="90"/>
      <c r="F297" s="89"/>
      <c r="G297" s="144"/>
      <c r="H297" s="144"/>
      <c r="I297" s="144"/>
      <c r="J297" s="78" t="str">
        <f aca="false">IF(OR(G297="",H297="",I297=""),"",IFERROR(ROUND(IF(F297="Short",G297-I297,I297-G297)/ABS(G297-H297),2),""))</f>
        <v/>
      </c>
      <c r="K297" s="68" t="str">
        <f aca="false">IF(J297="","",IF(ABS(J297)&lt;=Settings!$C$6,"BE",IF(J297&gt;0,"Win","Loss")))</f>
        <v/>
      </c>
      <c r="L297" s="78" t="str">
        <f aca="false">IF(J297="","",ROUND(SUM(J$14:J297),2))</f>
        <v/>
      </c>
      <c r="M297" s="90"/>
    </row>
    <row r="298" customFormat="false" ht="15" hidden="false" customHeight="false" outlineLevel="0" collapsed="false">
      <c r="B298" s="68" t="str">
        <f aca="false">IF(C298="","",ROW()-13)</f>
        <v/>
      </c>
      <c r="C298" s="143"/>
      <c r="D298" s="89"/>
      <c r="E298" s="90"/>
      <c r="F298" s="89"/>
      <c r="G298" s="144"/>
      <c r="H298" s="144"/>
      <c r="I298" s="144"/>
      <c r="J298" s="78" t="str">
        <f aca="false">IF(OR(G298="",H298="",I298=""),"",IFERROR(ROUND(IF(F298="Short",G298-I298,I298-G298)/ABS(G298-H298),2),""))</f>
        <v/>
      </c>
      <c r="K298" s="68" t="str">
        <f aca="false">IF(J298="","",IF(ABS(J298)&lt;=Settings!$C$6,"BE",IF(J298&gt;0,"Win","Loss")))</f>
        <v/>
      </c>
      <c r="L298" s="78" t="str">
        <f aca="false">IF(J298="","",ROUND(SUM(J$14:J298),2))</f>
        <v/>
      </c>
      <c r="M298" s="90"/>
    </row>
    <row r="299" customFormat="false" ht="15" hidden="false" customHeight="false" outlineLevel="0" collapsed="false">
      <c r="B299" s="68" t="str">
        <f aca="false">IF(C299="","",ROW()-13)</f>
        <v/>
      </c>
      <c r="C299" s="143"/>
      <c r="D299" s="89"/>
      <c r="E299" s="90"/>
      <c r="F299" s="89"/>
      <c r="G299" s="144"/>
      <c r="H299" s="144"/>
      <c r="I299" s="144"/>
      <c r="J299" s="78" t="str">
        <f aca="false">IF(OR(G299="",H299="",I299=""),"",IFERROR(ROUND(IF(F299="Short",G299-I299,I299-G299)/ABS(G299-H299),2),""))</f>
        <v/>
      </c>
      <c r="K299" s="68" t="str">
        <f aca="false">IF(J299="","",IF(ABS(J299)&lt;=Settings!$C$6,"BE",IF(J299&gt;0,"Win","Loss")))</f>
        <v/>
      </c>
      <c r="L299" s="78" t="str">
        <f aca="false">IF(J299="","",ROUND(SUM(J$14:J299),2))</f>
        <v/>
      </c>
      <c r="M299" s="90"/>
    </row>
    <row r="300" customFormat="false" ht="15" hidden="false" customHeight="false" outlineLevel="0" collapsed="false">
      <c r="B300" s="68" t="str">
        <f aca="false">IF(C300="","",ROW()-13)</f>
        <v/>
      </c>
      <c r="C300" s="143"/>
      <c r="D300" s="89"/>
      <c r="E300" s="90"/>
      <c r="F300" s="89"/>
      <c r="G300" s="144"/>
      <c r="H300" s="144"/>
      <c r="I300" s="144"/>
      <c r="J300" s="78" t="str">
        <f aca="false">IF(OR(G300="",H300="",I300=""),"",IFERROR(ROUND(IF(F300="Short",G300-I300,I300-G300)/ABS(G300-H300),2),""))</f>
        <v/>
      </c>
      <c r="K300" s="68" t="str">
        <f aca="false">IF(J300="","",IF(ABS(J300)&lt;=Settings!$C$6,"BE",IF(J300&gt;0,"Win","Loss")))</f>
        <v/>
      </c>
      <c r="L300" s="78" t="str">
        <f aca="false">IF(J300="","",ROUND(SUM(J$14:J300),2))</f>
        <v/>
      </c>
      <c r="M300" s="90"/>
    </row>
    <row r="301" customFormat="false" ht="15" hidden="false" customHeight="false" outlineLevel="0" collapsed="false">
      <c r="B301" s="68" t="str">
        <f aca="false">IF(C301="","",ROW()-13)</f>
        <v/>
      </c>
      <c r="C301" s="143"/>
      <c r="D301" s="89"/>
      <c r="E301" s="90"/>
      <c r="F301" s="89"/>
      <c r="G301" s="144"/>
      <c r="H301" s="144"/>
      <c r="I301" s="144"/>
      <c r="J301" s="78" t="str">
        <f aca="false">IF(OR(G301="",H301="",I301=""),"",IFERROR(ROUND(IF(F301="Short",G301-I301,I301-G301)/ABS(G301-H301),2),""))</f>
        <v/>
      </c>
      <c r="K301" s="68" t="str">
        <f aca="false">IF(J301="","",IF(ABS(J301)&lt;=Settings!$C$6,"BE",IF(J301&gt;0,"Win","Loss")))</f>
        <v/>
      </c>
      <c r="L301" s="78" t="str">
        <f aca="false">IF(J301="","",ROUND(SUM(J$14:J301),2))</f>
        <v/>
      </c>
      <c r="M301" s="90"/>
    </row>
    <row r="302" customFormat="false" ht="15" hidden="false" customHeight="false" outlineLevel="0" collapsed="false">
      <c r="B302" s="68" t="str">
        <f aca="false">IF(C302="","",ROW()-13)</f>
        <v/>
      </c>
      <c r="C302" s="143"/>
      <c r="D302" s="89"/>
      <c r="E302" s="90"/>
      <c r="F302" s="89"/>
      <c r="G302" s="144"/>
      <c r="H302" s="144"/>
      <c r="I302" s="144"/>
      <c r="J302" s="78" t="str">
        <f aca="false">IF(OR(G302="",H302="",I302=""),"",IFERROR(ROUND(IF(F302="Short",G302-I302,I302-G302)/ABS(G302-H302),2),""))</f>
        <v/>
      </c>
      <c r="K302" s="68" t="str">
        <f aca="false">IF(J302="","",IF(ABS(J302)&lt;=Settings!$C$6,"BE",IF(J302&gt;0,"Win","Loss")))</f>
        <v/>
      </c>
      <c r="L302" s="78" t="str">
        <f aca="false">IF(J302="","",ROUND(SUM(J$14:J302),2))</f>
        <v/>
      </c>
      <c r="M302" s="90"/>
    </row>
    <row r="303" customFormat="false" ht="15" hidden="false" customHeight="false" outlineLevel="0" collapsed="false">
      <c r="B303" s="68" t="str">
        <f aca="false">IF(C303="","",ROW()-13)</f>
        <v/>
      </c>
      <c r="C303" s="143"/>
      <c r="D303" s="89"/>
      <c r="E303" s="90"/>
      <c r="F303" s="89"/>
      <c r="G303" s="144"/>
      <c r="H303" s="144"/>
      <c r="I303" s="144"/>
      <c r="J303" s="78" t="str">
        <f aca="false">IF(OR(G303="",H303="",I303=""),"",IFERROR(ROUND(IF(F303="Short",G303-I303,I303-G303)/ABS(G303-H303),2),""))</f>
        <v/>
      </c>
      <c r="K303" s="68" t="str">
        <f aca="false">IF(J303="","",IF(ABS(J303)&lt;=Settings!$C$6,"BE",IF(J303&gt;0,"Win","Loss")))</f>
        <v/>
      </c>
      <c r="L303" s="78" t="str">
        <f aca="false">IF(J303="","",ROUND(SUM(J$14:J303),2))</f>
        <v/>
      </c>
      <c r="M303" s="90"/>
    </row>
    <row r="304" customFormat="false" ht="15" hidden="false" customHeight="false" outlineLevel="0" collapsed="false">
      <c r="B304" s="68" t="str">
        <f aca="false">IF(C304="","",ROW()-13)</f>
        <v/>
      </c>
      <c r="C304" s="143"/>
      <c r="D304" s="89"/>
      <c r="E304" s="90"/>
      <c r="F304" s="89"/>
      <c r="G304" s="144"/>
      <c r="H304" s="144"/>
      <c r="I304" s="144"/>
      <c r="J304" s="78" t="str">
        <f aca="false">IF(OR(G304="",H304="",I304=""),"",IFERROR(ROUND(IF(F304="Short",G304-I304,I304-G304)/ABS(G304-H304),2),""))</f>
        <v/>
      </c>
      <c r="K304" s="68" t="str">
        <f aca="false">IF(J304="","",IF(ABS(J304)&lt;=Settings!$C$6,"BE",IF(J304&gt;0,"Win","Loss")))</f>
        <v/>
      </c>
      <c r="L304" s="78" t="str">
        <f aca="false">IF(J304="","",ROUND(SUM(J$14:J304),2))</f>
        <v/>
      </c>
      <c r="M304" s="90"/>
    </row>
    <row r="305" customFormat="false" ht="15" hidden="false" customHeight="false" outlineLevel="0" collapsed="false">
      <c r="B305" s="68" t="str">
        <f aca="false">IF(C305="","",ROW()-13)</f>
        <v/>
      </c>
      <c r="C305" s="143"/>
      <c r="D305" s="89"/>
      <c r="E305" s="90"/>
      <c r="F305" s="89"/>
      <c r="G305" s="144"/>
      <c r="H305" s="144"/>
      <c r="I305" s="144"/>
      <c r="J305" s="78" t="str">
        <f aca="false">IF(OR(G305="",H305="",I305=""),"",IFERROR(ROUND(IF(F305="Short",G305-I305,I305-G305)/ABS(G305-H305),2),""))</f>
        <v/>
      </c>
      <c r="K305" s="68" t="str">
        <f aca="false">IF(J305="","",IF(ABS(J305)&lt;=Settings!$C$6,"BE",IF(J305&gt;0,"Win","Loss")))</f>
        <v/>
      </c>
      <c r="L305" s="78" t="str">
        <f aca="false">IF(J305="","",ROUND(SUM(J$14:J305),2))</f>
        <v/>
      </c>
      <c r="M305" s="90"/>
    </row>
    <row r="306" customFormat="false" ht="15" hidden="false" customHeight="false" outlineLevel="0" collapsed="false">
      <c r="B306" s="68" t="str">
        <f aca="false">IF(C306="","",ROW()-13)</f>
        <v/>
      </c>
      <c r="C306" s="143"/>
      <c r="D306" s="89"/>
      <c r="E306" s="90"/>
      <c r="F306" s="89"/>
      <c r="G306" s="144"/>
      <c r="H306" s="144"/>
      <c r="I306" s="144"/>
      <c r="J306" s="78" t="str">
        <f aca="false">IF(OR(G306="",H306="",I306=""),"",IFERROR(ROUND(IF(F306="Short",G306-I306,I306-G306)/ABS(G306-H306),2),""))</f>
        <v/>
      </c>
      <c r="K306" s="68" t="str">
        <f aca="false">IF(J306="","",IF(ABS(J306)&lt;=Settings!$C$6,"BE",IF(J306&gt;0,"Win","Loss")))</f>
        <v/>
      </c>
      <c r="L306" s="78" t="str">
        <f aca="false">IF(J306="","",ROUND(SUM(J$14:J306),2))</f>
        <v/>
      </c>
      <c r="M306" s="90"/>
    </row>
    <row r="307" customFormat="false" ht="15" hidden="false" customHeight="false" outlineLevel="0" collapsed="false">
      <c r="B307" s="68" t="str">
        <f aca="false">IF(C307="","",ROW()-13)</f>
        <v/>
      </c>
      <c r="C307" s="143"/>
      <c r="D307" s="89"/>
      <c r="E307" s="90"/>
      <c r="F307" s="89"/>
      <c r="G307" s="144"/>
      <c r="H307" s="144"/>
      <c r="I307" s="144"/>
      <c r="J307" s="78" t="str">
        <f aca="false">IF(OR(G307="",H307="",I307=""),"",IFERROR(ROUND(IF(F307="Short",G307-I307,I307-G307)/ABS(G307-H307),2),""))</f>
        <v/>
      </c>
      <c r="K307" s="68" t="str">
        <f aca="false">IF(J307="","",IF(ABS(J307)&lt;=Settings!$C$6,"BE",IF(J307&gt;0,"Win","Loss")))</f>
        <v/>
      </c>
      <c r="L307" s="78" t="str">
        <f aca="false">IF(J307="","",ROUND(SUM(J$14:J307),2))</f>
        <v/>
      </c>
      <c r="M307" s="90"/>
    </row>
    <row r="308" customFormat="false" ht="15" hidden="false" customHeight="false" outlineLevel="0" collapsed="false">
      <c r="B308" s="68" t="str">
        <f aca="false">IF(C308="","",ROW()-13)</f>
        <v/>
      </c>
      <c r="C308" s="143"/>
      <c r="D308" s="89"/>
      <c r="E308" s="90"/>
      <c r="F308" s="89"/>
      <c r="G308" s="144"/>
      <c r="H308" s="144"/>
      <c r="I308" s="144"/>
      <c r="J308" s="78" t="str">
        <f aca="false">IF(OR(G308="",H308="",I308=""),"",IFERROR(ROUND(IF(F308="Short",G308-I308,I308-G308)/ABS(G308-H308),2),""))</f>
        <v/>
      </c>
      <c r="K308" s="68" t="str">
        <f aca="false">IF(J308="","",IF(ABS(J308)&lt;=Settings!$C$6,"BE",IF(J308&gt;0,"Win","Loss")))</f>
        <v/>
      </c>
      <c r="L308" s="78" t="str">
        <f aca="false">IF(J308="","",ROUND(SUM(J$14:J308),2))</f>
        <v/>
      </c>
      <c r="M308" s="90"/>
    </row>
    <row r="309" customFormat="false" ht="15" hidden="false" customHeight="false" outlineLevel="0" collapsed="false">
      <c r="B309" s="68" t="str">
        <f aca="false">IF(C309="","",ROW()-13)</f>
        <v/>
      </c>
      <c r="C309" s="143"/>
      <c r="D309" s="89"/>
      <c r="E309" s="90"/>
      <c r="F309" s="89"/>
      <c r="G309" s="144"/>
      <c r="H309" s="144"/>
      <c r="I309" s="144"/>
      <c r="J309" s="78" t="str">
        <f aca="false">IF(OR(G309="",H309="",I309=""),"",IFERROR(ROUND(IF(F309="Short",G309-I309,I309-G309)/ABS(G309-H309),2),""))</f>
        <v/>
      </c>
      <c r="K309" s="68" t="str">
        <f aca="false">IF(J309="","",IF(ABS(J309)&lt;=Settings!$C$6,"BE",IF(J309&gt;0,"Win","Loss")))</f>
        <v/>
      </c>
      <c r="L309" s="78" t="str">
        <f aca="false">IF(J309="","",ROUND(SUM(J$14:J309),2))</f>
        <v/>
      </c>
      <c r="M309" s="90"/>
    </row>
    <row r="310" customFormat="false" ht="15" hidden="false" customHeight="false" outlineLevel="0" collapsed="false">
      <c r="B310" s="68" t="str">
        <f aca="false">IF(C310="","",ROW()-13)</f>
        <v/>
      </c>
      <c r="C310" s="143"/>
      <c r="D310" s="89"/>
      <c r="E310" s="90"/>
      <c r="F310" s="89"/>
      <c r="G310" s="144"/>
      <c r="H310" s="144"/>
      <c r="I310" s="144"/>
      <c r="J310" s="78" t="str">
        <f aca="false">IF(OR(G310="",H310="",I310=""),"",IFERROR(ROUND(IF(F310="Short",G310-I310,I310-G310)/ABS(G310-H310),2),""))</f>
        <v/>
      </c>
      <c r="K310" s="68" t="str">
        <f aca="false">IF(J310="","",IF(ABS(J310)&lt;=Settings!$C$6,"BE",IF(J310&gt;0,"Win","Loss")))</f>
        <v/>
      </c>
      <c r="L310" s="78" t="str">
        <f aca="false">IF(J310="","",ROUND(SUM(J$14:J310),2))</f>
        <v/>
      </c>
      <c r="M310" s="90"/>
    </row>
    <row r="311" customFormat="false" ht="15" hidden="false" customHeight="false" outlineLevel="0" collapsed="false">
      <c r="B311" s="68" t="str">
        <f aca="false">IF(C311="","",ROW()-13)</f>
        <v/>
      </c>
      <c r="C311" s="143"/>
      <c r="D311" s="89"/>
      <c r="E311" s="90"/>
      <c r="F311" s="89"/>
      <c r="G311" s="144"/>
      <c r="H311" s="144"/>
      <c r="I311" s="144"/>
      <c r="J311" s="78" t="str">
        <f aca="false">IF(OR(G311="",H311="",I311=""),"",IFERROR(ROUND(IF(F311="Short",G311-I311,I311-G311)/ABS(G311-H311),2),""))</f>
        <v/>
      </c>
      <c r="K311" s="68" t="str">
        <f aca="false">IF(J311="","",IF(ABS(J311)&lt;=Settings!$C$6,"BE",IF(J311&gt;0,"Win","Loss")))</f>
        <v/>
      </c>
      <c r="L311" s="78" t="str">
        <f aca="false">IF(J311="","",ROUND(SUM(J$14:J311),2))</f>
        <v/>
      </c>
      <c r="M311" s="90"/>
    </row>
    <row r="312" customFormat="false" ht="15" hidden="false" customHeight="false" outlineLevel="0" collapsed="false">
      <c r="B312" s="68" t="str">
        <f aca="false">IF(C312="","",ROW()-13)</f>
        <v/>
      </c>
      <c r="C312" s="143"/>
      <c r="D312" s="89"/>
      <c r="E312" s="90"/>
      <c r="F312" s="89"/>
      <c r="G312" s="144"/>
      <c r="H312" s="144"/>
      <c r="I312" s="144"/>
      <c r="J312" s="78" t="str">
        <f aca="false">IF(OR(G312="",H312="",I312=""),"",IFERROR(ROUND(IF(F312="Short",G312-I312,I312-G312)/ABS(G312-H312),2),""))</f>
        <v/>
      </c>
      <c r="K312" s="68" t="str">
        <f aca="false">IF(J312="","",IF(ABS(J312)&lt;=Settings!$C$6,"BE",IF(J312&gt;0,"Win","Loss")))</f>
        <v/>
      </c>
      <c r="L312" s="78" t="str">
        <f aca="false">IF(J312="","",ROUND(SUM(J$14:J312),2))</f>
        <v/>
      </c>
      <c r="M312" s="90"/>
    </row>
    <row r="313" customFormat="false" ht="15" hidden="false" customHeight="false" outlineLevel="0" collapsed="false">
      <c r="B313" s="68" t="str">
        <f aca="false">IF(C313="","",ROW()-13)</f>
        <v/>
      </c>
      <c r="C313" s="143"/>
      <c r="D313" s="89"/>
      <c r="E313" s="90"/>
      <c r="F313" s="89"/>
      <c r="G313" s="144"/>
      <c r="H313" s="144"/>
      <c r="I313" s="144"/>
      <c r="J313" s="78" t="str">
        <f aca="false">IF(OR(G313="",H313="",I313=""),"",IFERROR(ROUND(IF(F313="Short",G313-I313,I313-G313)/ABS(G313-H313),2),""))</f>
        <v/>
      </c>
      <c r="K313" s="68" t="str">
        <f aca="false">IF(J313="","",IF(ABS(J313)&lt;=Settings!$C$6,"BE",IF(J313&gt;0,"Win","Loss")))</f>
        <v/>
      </c>
      <c r="L313" s="78" t="str">
        <f aca="false">IF(J313="","",ROUND(SUM(J$14:J313),2))</f>
        <v/>
      </c>
      <c r="M313" s="90"/>
    </row>
  </sheetData>
  <mergeCells count="10">
    <mergeCell ref="C6:D6"/>
    <mergeCell ref="E6:F6"/>
    <mergeCell ref="G6:H6"/>
    <mergeCell ref="I6:J6"/>
    <mergeCell ref="K6:L6"/>
    <mergeCell ref="C7:D7"/>
    <mergeCell ref="E7:F7"/>
    <mergeCell ref="G7:H7"/>
    <mergeCell ref="I7:J7"/>
    <mergeCell ref="K7:L7"/>
  </mergeCells>
  <conditionalFormatting sqref="K14:K313">
    <cfRule type="cellIs" priority="2" operator="equal" aboveAverage="0" equalAverage="0" bottom="0" percent="0" rank="0" text="" dxfId="21">
      <formula>"Win"</formula>
    </cfRule>
    <cfRule type="cellIs" priority="3" operator="equal" aboveAverage="0" equalAverage="0" bottom="0" percent="0" rank="0" text="" dxfId="22">
      <formula>"Loss"</formula>
    </cfRule>
    <cfRule type="cellIs" priority="4" operator="equal" aboveAverage="0" equalAverage="0" bottom="0" percent="0" rank="0" text="" dxfId="23">
      <formula>"BE"</formula>
    </cfRule>
  </conditionalFormatting>
  <dataValidations count="3">
    <dataValidation allowBlank="true" errorStyle="stop" operator="between" showDropDown="false" showErrorMessage="false" showInputMessage="false" sqref="D14:D313" type="list">
      <formula1>Lists!$B$6:$B$17</formula1>
      <formula2>0</formula2>
    </dataValidation>
    <dataValidation allowBlank="true" errorStyle="stop" operator="between" showDropDown="false" showErrorMessage="false" showInputMessage="false" sqref="E14:E313" type="list">
      <formula1>Lists!$G$6:$G$17</formula1>
      <formula2>0</formula2>
    </dataValidation>
    <dataValidation allowBlank="true" errorStyle="stop" operator="between" showDropDown="false" showErrorMessage="false" showInputMessage="false" sqref="F14:F313" type="list">
      <formula1>Lists!$M$6:$M$7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62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33.75" hidden="false" customHeight="true" outlineLevel="0" collapsed="false">
      <c r="A1" s="6"/>
      <c r="B1" s="49" t="s">
        <v>371</v>
      </c>
      <c r="C1" s="6"/>
      <c r="D1" s="6"/>
      <c r="E1" s="6"/>
      <c r="F1" s="6"/>
      <c r="G1" s="6"/>
      <c r="H1" s="6"/>
    </row>
    <row r="2" customFormat="false" ht="18" hidden="false" customHeight="true" outlineLevel="0" collapsed="false">
      <c r="A2" s="6"/>
      <c r="B2" s="22" t="s">
        <v>372</v>
      </c>
      <c r="C2" s="6"/>
      <c r="D2" s="6"/>
      <c r="E2" s="6"/>
      <c r="F2" s="6"/>
      <c r="G2" s="6"/>
      <c r="H2" s="6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B4" s="5" t="s">
        <v>373</v>
      </c>
      <c r="C4" s="6"/>
      <c r="D4" s="6"/>
      <c r="F4" s="59" t="s">
        <v>131</v>
      </c>
      <c r="G4" s="59" t="s">
        <v>374</v>
      </c>
      <c r="H4" s="59" t="s">
        <v>375</v>
      </c>
    </row>
    <row r="5" customFormat="false" ht="15" hidden="false" customHeight="false" outlineLevel="0" collapsed="false">
      <c r="B5" s="145" t="s">
        <v>376</v>
      </c>
      <c r="C5" s="146" t="n">
        <v>0.01</v>
      </c>
      <c r="D5" s="147" t="s">
        <v>377</v>
      </c>
      <c r="F5" s="137" t="s">
        <v>201</v>
      </c>
      <c r="G5" s="148" t="n">
        <v>10000</v>
      </c>
      <c r="H5" s="149" t="s">
        <v>378</v>
      </c>
    </row>
    <row r="6" customFormat="false" ht="15" hidden="false" customHeight="false" outlineLevel="0" collapsed="false">
      <c r="B6" s="145" t="s">
        <v>379</v>
      </c>
      <c r="C6" s="150" t="n">
        <v>0.1</v>
      </c>
      <c r="D6" s="147" t="s">
        <v>380</v>
      </c>
      <c r="F6" s="137" t="s">
        <v>381</v>
      </c>
      <c r="G6" s="148" t="n">
        <v>50000</v>
      </c>
      <c r="H6" s="149" t="s">
        <v>378</v>
      </c>
    </row>
    <row r="7" customFormat="false" ht="15" hidden="false" customHeight="false" outlineLevel="0" collapsed="false">
      <c r="B7" s="145" t="s">
        <v>382</v>
      </c>
      <c r="C7" s="151" t="n">
        <v>46293</v>
      </c>
      <c r="D7" s="147" t="s">
        <v>383</v>
      </c>
      <c r="F7" s="137"/>
      <c r="G7" s="148"/>
      <c r="H7" s="149"/>
    </row>
    <row r="8" customFormat="false" ht="15" hidden="false" customHeight="false" outlineLevel="0" collapsed="false">
      <c r="F8" s="137"/>
      <c r="G8" s="148"/>
      <c r="H8" s="149"/>
    </row>
    <row r="9" customFormat="false" ht="19.5" hidden="false" customHeight="true" outlineLevel="0" collapsed="false">
      <c r="B9" s="5" t="s">
        <v>384</v>
      </c>
      <c r="C9" s="6"/>
      <c r="D9" s="6"/>
      <c r="F9" s="137"/>
      <c r="G9" s="148"/>
      <c r="H9" s="149"/>
    </row>
    <row r="10" customFormat="false" ht="15" hidden="false" customHeight="false" outlineLevel="0" collapsed="false">
      <c r="B10" s="145" t="s">
        <v>385</v>
      </c>
      <c r="C10" s="152" t="n">
        <v>3</v>
      </c>
      <c r="D10" s="147" t="s">
        <v>386</v>
      </c>
      <c r="F10" s="137"/>
      <c r="G10" s="148"/>
      <c r="H10" s="149"/>
    </row>
    <row r="11" customFormat="false" ht="15" hidden="false" customHeight="false" outlineLevel="0" collapsed="false">
      <c r="B11" s="145" t="s">
        <v>387</v>
      </c>
      <c r="C11" s="146" t="n">
        <v>0.03</v>
      </c>
      <c r="D11" s="147" t="s">
        <v>388</v>
      </c>
      <c r="F11" s="121" t="s">
        <v>389</v>
      </c>
    </row>
    <row r="12" customFormat="false" ht="15" hidden="false" customHeight="false" outlineLevel="0" collapsed="false">
      <c r="B12" s="145" t="s">
        <v>390</v>
      </c>
      <c r="C12" s="146" t="n">
        <v>0.06</v>
      </c>
      <c r="D12" s="147" t="s">
        <v>391</v>
      </c>
    </row>
    <row r="13" customFormat="false" ht="19.5" hidden="false" customHeight="true" outlineLevel="0" collapsed="false">
      <c r="B13" s="145" t="s">
        <v>392</v>
      </c>
      <c r="C13" s="132" t="n">
        <v>0.1</v>
      </c>
      <c r="D13" s="147" t="s">
        <v>393</v>
      </c>
      <c r="F13" s="5" t="s">
        <v>394</v>
      </c>
      <c r="G13" s="6"/>
      <c r="H13" s="6"/>
    </row>
    <row r="14" customFormat="false" ht="15" hidden="false" customHeight="false" outlineLevel="0" collapsed="false">
      <c r="F14" s="59" t="s">
        <v>132</v>
      </c>
      <c r="G14" s="59" t="s">
        <v>395</v>
      </c>
      <c r="H14" s="59" t="s">
        <v>375</v>
      </c>
    </row>
    <row r="15" customFormat="false" ht="19.5" hidden="false" customHeight="true" outlineLevel="0" collapsed="false">
      <c r="B15" s="5" t="s">
        <v>396</v>
      </c>
      <c r="C15" s="6"/>
      <c r="D15" s="6"/>
      <c r="F15" s="8" t="s">
        <v>397</v>
      </c>
      <c r="G15" s="8" t="s">
        <v>398</v>
      </c>
      <c r="H15" s="8" t="s">
        <v>399</v>
      </c>
    </row>
    <row r="16" customFormat="false" ht="15" hidden="false" customHeight="false" outlineLevel="0" collapsed="false">
      <c r="B16" s="145" t="s">
        <v>400</v>
      </c>
      <c r="C16" s="152" t="n">
        <v>6</v>
      </c>
      <c r="D16" s="147"/>
      <c r="F16" s="8" t="s">
        <v>202</v>
      </c>
      <c r="G16" s="8" t="s">
        <v>401</v>
      </c>
      <c r="H16" s="8" t="s">
        <v>402</v>
      </c>
    </row>
    <row r="17" customFormat="false" ht="15" hidden="false" customHeight="false" outlineLevel="0" collapsed="false">
      <c r="B17" s="145" t="s">
        <v>403</v>
      </c>
      <c r="C17" s="152" t="n">
        <v>5</v>
      </c>
      <c r="D17" s="147"/>
      <c r="F17" s="8" t="s">
        <v>404</v>
      </c>
      <c r="G17" s="8" t="s">
        <v>405</v>
      </c>
      <c r="H17" s="8" t="s">
        <v>406</v>
      </c>
    </row>
    <row r="18" customFormat="false" ht="15" hidden="false" customHeight="false" outlineLevel="0" collapsed="false">
      <c r="B18" s="145" t="s">
        <v>407</v>
      </c>
      <c r="C18" s="152" t="n">
        <v>3</v>
      </c>
      <c r="D18" s="147" t="s">
        <v>408</v>
      </c>
      <c r="F18" s="8" t="s">
        <v>409</v>
      </c>
      <c r="G18" s="8" t="s">
        <v>410</v>
      </c>
      <c r="H18" s="8" t="s">
        <v>411</v>
      </c>
    </row>
    <row r="20" customFormat="false" ht="19.5" hidden="false" customHeight="true" outlineLevel="0" collapsed="false">
      <c r="B20" s="5" t="s">
        <v>412</v>
      </c>
      <c r="C20" s="6"/>
      <c r="D20" s="6"/>
    </row>
    <row r="21" customFormat="false" ht="15" hidden="false" customHeight="false" outlineLevel="0" collapsed="false">
      <c r="B21" s="145" t="s">
        <v>413</v>
      </c>
      <c r="C21" s="153" t="s">
        <v>381</v>
      </c>
      <c r="D21" s="147" t="s">
        <v>414</v>
      </c>
    </row>
    <row r="22" customFormat="false" ht="15" hidden="false" customHeight="false" outlineLevel="0" collapsed="false">
      <c r="B22" s="145" t="s">
        <v>415</v>
      </c>
      <c r="C22" s="146" t="n">
        <v>0.08</v>
      </c>
      <c r="D22" s="147" t="s">
        <v>416</v>
      </c>
    </row>
    <row r="23" customFormat="false" ht="15" hidden="false" customHeight="false" outlineLevel="0" collapsed="false">
      <c r="B23" s="145" t="s">
        <v>417</v>
      </c>
      <c r="C23" s="146" t="n">
        <v>0.05</v>
      </c>
      <c r="D23" s="147" t="s">
        <v>418</v>
      </c>
    </row>
    <row r="24" customFormat="false" ht="15" hidden="false" customHeight="false" outlineLevel="0" collapsed="false">
      <c r="B24" s="145" t="s">
        <v>419</v>
      </c>
      <c r="C24" s="146" t="n">
        <v>0.1</v>
      </c>
      <c r="D24" s="147" t="s">
        <v>420</v>
      </c>
    </row>
    <row r="25" customFormat="false" ht="15" hidden="false" customHeight="false" outlineLevel="0" collapsed="false">
      <c r="B25" s="145" t="s">
        <v>421</v>
      </c>
      <c r="C25" s="151" t="n">
        <v>46387</v>
      </c>
      <c r="D25" s="147" t="s">
        <v>416</v>
      </c>
    </row>
    <row r="27" customFormat="false" ht="19.5" hidden="false" customHeight="true" outlineLevel="0" collapsed="false">
      <c r="B27" s="5" t="s">
        <v>422</v>
      </c>
      <c r="C27" s="6"/>
      <c r="D27" s="6"/>
    </row>
    <row r="28" customFormat="false" ht="15" hidden="false" customHeight="false" outlineLevel="0" collapsed="false">
      <c r="B28" s="145" t="s">
        <v>423</v>
      </c>
      <c r="C28" s="154" t="str">
        <f aca="false">Dashboard!$L$1</f>
        <v>All Accounts</v>
      </c>
      <c r="D28" s="147" t="s">
        <v>424</v>
      </c>
    </row>
    <row r="29" customFormat="false" ht="15" hidden="false" customHeight="false" outlineLevel="0" collapsed="false">
      <c r="B29" s="145" t="s">
        <v>425</v>
      </c>
      <c r="C29" s="155" t="n">
        <f aca="false">IF(C28="All Accounts",SUM(G5:G10),IFERROR(INDEX(G5:G10,MATCH(C28,F5:F10,0)),SUM(G5:G10)))</f>
        <v>60000</v>
      </c>
      <c r="D29" s="147" t="s">
        <v>426</v>
      </c>
    </row>
  </sheetData>
  <dataValidations count="1">
    <dataValidation allowBlank="true" errorStyle="stop" operator="between" showDropDown="false" showErrorMessage="false" showInputMessage="false" sqref="C21" type="list">
      <formula1>Settings!$F$5:$F$10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false"/>
  </sheetPr>
  <dimension ref="A1:Q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18"/>
    <col collapsed="false" customWidth="true" hidden="false" outlineLevel="0" max="17" min="17" style="0" width="22"/>
  </cols>
  <sheetData>
    <row r="1" customFormat="false" ht="33.75" hidden="false" customHeight="true" outlineLevel="0" collapsed="false">
      <c r="A1" s="6"/>
      <c r="B1" s="49" t="s">
        <v>427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18" hidden="false" customHeight="true" outlineLevel="0" collapsed="false">
      <c r="A2" s="6"/>
      <c r="B2" s="22" t="s">
        <v>428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5" customFormat="false" ht="23.85" hidden="false" customHeight="false" outlineLevel="0" collapsed="false">
      <c r="B5" s="51" t="s">
        <v>135</v>
      </c>
      <c r="C5" s="51" t="s">
        <v>190</v>
      </c>
      <c r="D5" s="51" t="s">
        <v>429</v>
      </c>
      <c r="F5" s="51" t="s">
        <v>132</v>
      </c>
      <c r="G5" s="51" t="s">
        <v>138</v>
      </c>
      <c r="H5" s="51" t="s">
        <v>139</v>
      </c>
      <c r="I5" s="51" t="s">
        <v>141</v>
      </c>
      <c r="J5" s="51" t="s">
        <v>137</v>
      </c>
      <c r="K5" s="51" t="s">
        <v>238</v>
      </c>
      <c r="L5" s="51" t="s">
        <v>183</v>
      </c>
      <c r="M5" s="51" t="s">
        <v>430</v>
      </c>
      <c r="N5" s="51" t="s">
        <v>431</v>
      </c>
      <c r="O5" s="51" t="s">
        <v>432</v>
      </c>
      <c r="P5" s="51" t="s">
        <v>433</v>
      </c>
      <c r="Q5" s="51" t="s">
        <v>434</v>
      </c>
    </row>
    <row r="6" customFormat="false" ht="15" hidden="false" customHeight="false" outlineLevel="0" collapsed="false">
      <c r="B6" s="156" t="s">
        <v>203</v>
      </c>
      <c r="C6" s="157" t="n">
        <v>0.1</v>
      </c>
      <c r="D6" s="158" t="n">
        <v>10</v>
      </c>
      <c r="F6" s="156" t="s">
        <v>397</v>
      </c>
      <c r="G6" s="156" t="s">
        <v>206</v>
      </c>
      <c r="H6" s="156" t="s">
        <v>207</v>
      </c>
      <c r="I6" s="156" t="s">
        <v>435</v>
      </c>
      <c r="J6" s="156" t="s">
        <v>436</v>
      </c>
      <c r="K6" s="156" t="s">
        <v>212</v>
      </c>
      <c r="L6" s="156" t="s">
        <v>213</v>
      </c>
      <c r="M6" s="156" t="s">
        <v>252</v>
      </c>
      <c r="N6" s="156" t="s">
        <v>208</v>
      </c>
      <c r="O6" s="159" t="s">
        <v>74</v>
      </c>
      <c r="P6" s="156" t="s">
        <v>437</v>
      </c>
      <c r="Q6" s="159" t="s">
        <v>269</v>
      </c>
    </row>
    <row r="7" customFormat="false" ht="15" hidden="false" customHeight="false" outlineLevel="0" collapsed="false">
      <c r="B7" s="156" t="s">
        <v>438</v>
      </c>
      <c r="C7" s="157" t="n">
        <v>0.0001</v>
      </c>
      <c r="D7" s="158" t="n">
        <v>10</v>
      </c>
      <c r="F7" s="156" t="s">
        <v>202</v>
      </c>
      <c r="G7" s="156" t="s">
        <v>439</v>
      </c>
      <c r="H7" s="156" t="s">
        <v>440</v>
      </c>
      <c r="I7" s="156" t="s">
        <v>209</v>
      </c>
      <c r="J7" s="156" t="s">
        <v>205</v>
      </c>
      <c r="K7" s="156" t="s">
        <v>441</v>
      </c>
      <c r="L7" s="156" t="s">
        <v>442</v>
      </c>
      <c r="M7" s="156" t="s">
        <v>204</v>
      </c>
      <c r="N7" s="156" t="s">
        <v>211</v>
      </c>
      <c r="O7" s="159" t="str">
        <f aca="false">IF(Settings!$F$5="","",Settings!$F$5)</f>
        <v>Main Account</v>
      </c>
      <c r="P7" s="156" t="s">
        <v>443</v>
      </c>
      <c r="Q7" s="159" t="s">
        <v>38</v>
      </c>
    </row>
    <row r="8" customFormat="false" ht="15" hidden="false" customHeight="false" outlineLevel="0" collapsed="false">
      <c r="B8" s="156" t="s">
        <v>444</v>
      </c>
      <c r="C8" s="157" t="n">
        <v>0.0001</v>
      </c>
      <c r="D8" s="158" t="n">
        <v>10</v>
      </c>
      <c r="F8" s="156" t="s">
        <v>404</v>
      </c>
      <c r="G8" s="156" t="s">
        <v>445</v>
      </c>
      <c r="H8" s="156" t="s">
        <v>446</v>
      </c>
      <c r="I8" s="156" t="s">
        <v>447</v>
      </c>
      <c r="J8" s="156" t="s">
        <v>448</v>
      </c>
      <c r="K8" s="156" t="s">
        <v>449</v>
      </c>
      <c r="L8" s="156" t="s">
        <v>450</v>
      </c>
      <c r="O8" s="159" t="str">
        <f aca="false">IF(Settings!$F$6="","",Settings!$F$6)</f>
        <v>Prop Challenge</v>
      </c>
      <c r="P8" s="156" t="s">
        <v>451</v>
      </c>
      <c r="Q8" s="159" t="s">
        <v>40</v>
      </c>
    </row>
    <row r="9" customFormat="false" ht="15" hidden="false" customHeight="false" outlineLevel="0" collapsed="false">
      <c r="B9" s="156" t="s">
        <v>452</v>
      </c>
      <c r="C9" s="157" t="n">
        <v>0.01</v>
      </c>
      <c r="D9" s="158" t="n">
        <v>6.7</v>
      </c>
      <c r="F9" s="156" t="s">
        <v>409</v>
      </c>
      <c r="G9" s="156" t="s">
        <v>453</v>
      </c>
      <c r="H9" s="156" t="s">
        <v>145</v>
      </c>
      <c r="I9" s="156" t="s">
        <v>454</v>
      </c>
      <c r="J9" s="156"/>
      <c r="K9" s="156" t="s">
        <v>455</v>
      </c>
      <c r="L9" s="156" t="s">
        <v>456</v>
      </c>
      <c r="O9" s="159" t="str">
        <f aca="false">IF(Settings!$F$7="","",Settings!$F$7)</f>
        <v/>
      </c>
      <c r="P9" s="156" t="s">
        <v>457</v>
      </c>
      <c r="Q9" s="159" t="s">
        <v>42</v>
      </c>
    </row>
    <row r="10" customFormat="false" ht="15" hidden="false" customHeight="false" outlineLevel="0" collapsed="false">
      <c r="B10" s="156" t="s">
        <v>458</v>
      </c>
      <c r="C10" s="157" t="n">
        <v>0.01</v>
      </c>
      <c r="D10" s="158" t="n">
        <v>6.7</v>
      </c>
      <c r="F10" s="156"/>
      <c r="G10" s="156" t="s">
        <v>459</v>
      </c>
      <c r="H10" s="156" t="s">
        <v>459</v>
      </c>
      <c r="I10" s="156" t="s">
        <v>460</v>
      </c>
      <c r="K10" s="156" t="s">
        <v>461</v>
      </c>
      <c r="L10" s="156" t="s">
        <v>462</v>
      </c>
      <c r="O10" s="159" t="str">
        <f aca="false">IF(Settings!$F$8="","",Settings!$F$8)</f>
        <v/>
      </c>
      <c r="P10" s="156" t="s">
        <v>463</v>
      </c>
      <c r="Q10" s="159" t="s">
        <v>44</v>
      </c>
    </row>
    <row r="11" customFormat="false" ht="15" hidden="false" customHeight="false" outlineLevel="0" collapsed="false">
      <c r="B11" s="156" t="s">
        <v>464</v>
      </c>
      <c r="C11" s="157" t="n">
        <v>0.0001</v>
      </c>
      <c r="D11" s="158" t="n">
        <v>10</v>
      </c>
      <c r="F11" s="156"/>
      <c r="G11" s="156" t="s">
        <v>465</v>
      </c>
      <c r="H11" s="156" t="s">
        <v>466</v>
      </c>
      <c r="I11" s="156" t="s">
        <v>467</v>
      </c>
      <c r="K11" s="156" t="s">
        <v>468</v>
      </c>
      <c r="L11" s="156" t="s">
        <v>469</v>
      </c>
      <c r="O11" s="159" t="str">
        <f aca="false">IF(Settings!$F$9="","",Settings!$F$9)</f>
        <v/>
      </c>
      <c r="P11" s="156" t="s">
        <v>470</v>
      </c>
    </row>
    <row r="12" customFormat="false" ht="15" hidden="false" customHeight="false" outlineLevel="0" collapsed="false">
      <c r="B12" s="156" t="s">
        <v>471</v>
      </c>
      <c r="C12" s="157" t="n">
        <v>0.0001</v>
      </c>
      <c r="D12" s="158" t="n">
        <v>7.3</v>
      </c>
      <c r="G12" s="156" t="s">
        <v>472</v>
      </c>
      <c r="H12" s="156" t="s">
        <v>473</v>
      </c>
      <c r="I12" s="156" t="s">
        <v>474</v>
      </c>
      <c r="K12" s="156" t="s">
        <v>475</v>
      </c>
      <c r="L12" s="156" t="s">
        <v>38</v>
      </c>
      <c r="O12" s="159" t="str">
        <f aca="false">IF(Settings!$F$10="","",Settings!$F$10)</f>
        <v/>
      </c>
    </row>
    <row r="13" customFormat="false" ht="15" hidden="false" customHeight="false" outlineLevel="0" collapsed="false">
      <c r="B13" s="156" t="s">
        <v>476</v>
      </c>
      <c r="C13" s="157" t="n">
        <v>0.0001</v>
      </c>
      <c r="D13" s="158" t="n">
        <v>10</v>
      </c>
      <c r="G13" s="156" t="s">
        <v>477</v>
      </c>
      <c r="H13" s="156" t="s">
        <v>478</v>
      </c>
      <c r="I13" s="156" t="s">
        <v>479</v>
      </c>
      <c r="K13" s="156" t="s">
        <v>480</v>
      </c>
      <c r="L13" s="156" t="s">
        <v>481</v>
      </c>
    </row>
    <row r="14" customFormat="false" ht="15" hidden="false" customHeight="false" outlineLevel="0" collapsed="false">
      <c r="B14" s="156" t="s">
        <v>482</v>
      </c>
      <c r="C14" s="157" t="n">
        <v>0.0001</v>
      </c>
      <c r="D14" s="158" t="n">
        <v>11</v>
      </c>
      <c r="G14" s="156" t="s">
        <v>483</v>
      </c>
      <c r="L14" s="156" t="s">
        <v>40</v>
      </c>
    </row>
    <row r="15" customFormat="false" ht="15" hidden="false" customHeight="false" outlineLevel="0" collapsed="false">
      <c r="B15" s="156" t="s">
        <v>484</v>
      </c>
      <c r="C15" s="157" t="n">
        <v>0.01</v>
      </c>
      <c r="D15" s="158" t="n">
        <v>6.7</v>
      </c>
      <c r="G15" s="156" t="s">
        <v>485</v>
      </c>
      <c r="L15" s="156" t="s">
        <v>486</v>
      </c>
    </row>
    <row r="16" customFormat="false" ht="15" hidden="false" customHeight="false" outlineLevel="0" collapsed="false">
      <c r="B16" s="156"/>
      <c r="C16" s="157"/>
      <c r="D16" s="158"/>
      <c r="G16" s="156"/>
    </row>
    <row r="17" customFormat="false" ht="15" hidden="false" customHeight="false" outlineLevel="0" collapsed="false">
      <c r="B17" s="156"/>
      <c r="C17" s="157"/>
      <c r="D17" s="158"/>
      <c r="G17" s="156"/>
    </row>
    <row r="19" customFormat="false" ht="15" hidden="false" customHeight="false" outlineLevel="0" collapsed="false">
      <c r="B19" s="121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FA6"/>
    <pageSetUpPr fitToPage="false"/>
  </sheetPr>
  <dimension ref="A1:AN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8" min="5" style="0" width="12"/>
    <col collapsed="false" customWidth="true" hidden="false" outlineLevel="0" max="9" min="9" style="0" width="3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3" style="0" width="22"/>
    <col collapsed="false" customWidth="true" hidden="false" outlineLevel="0" max="15" min="14" style="0" width="11"/>
    <col collapsed="false" customWidth="true" hidden="false" outlineLevel="0" max="17" min="17" style="0" width="22"/>
    <col collapsed="false" customWidth="true" hidden="false" outlineLevel="0" max="19" min="18" style="0" width="11"/>
    <col collapsed="false" customWidth="true" hidden="false" outlineLevel="0" max="21" min="21" style="0" width="22"/>
    <col collapsed="false" customWidth="true" hidden="false" outlineLevel="0" max="23" min="22" style="0" width="11"/>
    <col collapsed="false" customWidth="true" hidden="false" outlineLevel="0" max="25" min="25" style="0" width="14"/>
    <col collapsed="false" customWidth="true" hidden="false" outlineLevel="0" max="27" min="27" style="0" width="22"/>
    <col collapsed="false" customWidth="true" hidden="false" outlineLevel="0" max="29" min="28" style="0" width="11"/>
    <col collapsed="false" customWidth="true" hidden="false" outlineLevel="0" max="31" min="31" style="0" width="14"/>
    <col collapsed="false" customWidth="true" hidden="false" outlineLevel="0" max="33" min="33" style="0" width="22"/>
    <col collapsed="false" customWidth="true" hidden="false" outlineLevel="0" max="35" min="34" style="0" width="11"/>
  </cols>
  <sheetData>
    <row r="1" customFormat="false" ht="33.75" hidden="false" customHeight="true" outlineLevel="0" collapsed="false">
      <c r="A1" s="1"/>
      <c r="B1" s="2" t="s">
        <v>488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18" hidden="false" customHeight="true" outlineLevel="0" collapsed="false">
      <c r="A2" s="1"/>
      <c r="B2" s="3" t="s">
        <v>489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customFormat="false" ht="19.5" hidden="false" customHeight="true" outlineLevel="0" collapsed="false">
      <c r="B4" s="5" t="s">
        <v>490</v>
      </c>
      <c r="C4" s="6"/>
      <c r="E4" s="5" t="s">
        <v>491</v>
      </c>
      <c r="F4" s="6"/>
      <c r="G4" s="6"/>
      <c r="H4" s="6"/>
      <c r="J4" s="5" t="s">
        <v>492</v>
      </c>
      <c r="K4" s="6"/>
      <c r="M4" s="5" t="s">
        <v>493</v>
      </c>
      <c r="N4" s="6"/>
      <c r="O4" s="6"/>
      <c r="Q4" s="5" t="s">
        <v>494</v>
      </c>
      <c r="R4" s="6"/>
      <c r="S4" s="6"/>
      <c r="U4" s="5" t="s">
        <v>495</v>
      </c>
      <c r="V4" s="6"/>
      <c r="W4" s="6"/>
      <c r="Y4" s="5" t="s">
        <v>496</v>
      </c>
      <c r="AA4" s="5" t="s">
        <v>497</v>
      </c>
      <c r="AB4" s="6"/>
      <c r="AC4" s="6"/>
      <c r="AE4" s="5" t="s">
        <v>498</v>
      </c>
      <c r="AG4" s="5" t="s">
        <v>499</v>
      </c>
      <c r="AH4" s="6"/>
      <c r="AI4" s="6"/>
    </row>
    <row r="5" customFormat="false" ht="15" hidden="false" customHeight="false" outlineLevel="0" collapsed="false">
      <c r="B5" s="13" t="s">
        <v>500</v>
      </c>
      <c r="C5" s="128" t="n">
        <f aca="false">SUM(Journal!$BP$6:$BP$505)</f>
        <v>1</v>
      </c>
      <c r="E5" s="59" t="s">
        <v>501</v>
      </c>
      <c r="F5" s="59" t="s">
        <v>127</v>
      </c>
      <c r="G5" s="59" t="s">
        <v>166</v>
      </c>
      <c r="H5" s="59" t="s">
        <v>502</v>
      </c>
      <c r="J5" s="59" t="s">
        <v>164</v>
      </c>
      <c r="K5" s="59" t="s">
        <v>218</v>
      </c>
      <c r="M5" s="59" t="s">
        <v>503</v>
      </c>
      <c r="N5" s="59" t="s">
        <v>504</v>
      </c>
      <c r="O5" s="59" t="s">
        <v>505</v>
      </c>
      <c r="Q5" s="59" t="s">
        <v>503</v>
      </c>
      <c r="R5" s="59" t="s">
        <v>504</v>
      </c>
      <c r="S5" s="59" t="s">
        <v>505</v>
      </c>
      <c r="U5" s="59" t="s">
        <v>503</v>
      </c>
      <c r="V5" s="59" t="s">
        <v>504</v>
      </c>
      <c r="W5" s="59" t="s">
        <v>505</v>
      </c>
      <c r="Y5" s="59" t="s">
        <v>506</v>
      </c>
      <c r="AA5" s="59" t="s">
        <v>503</v>
      </c>
      <c r="AB5" s="59" t="s">
        <v>504</v>
      </c>
      <c r="AC5" s="59" t="s">
        <v>505</v>
      </c>
      <c r="AE5" s="59" t="s">
        <v>506</v>
      </c>
      <c r="AG5" s="59" t="s">
        <v>503</v>
      </c>
      <c r="AH5" s="59" t="s">
        <v>504</v>
      </c>
      <c r="AI5" s="59" t="s">
        <v>505</v>
      </c>
    </row>
    <row r="6" customFormat="false" ht="15" hidden="false" customHeight="false" outlineLevel="0" collapsed="false">
      <c r="B6" s="13" t="s">
        <v>227</v>
      </c>
      <c r="C6" s="128" t="n">
        <f aca="false">COUNTIFS(Journal!$BP$6:$BP$505,1,Journal!$AL$6:$AL$505,"Win")</f>
        <v>1</v>
      </c>
      <c r="E6" s="160" t="n">
        <v>0</v>
      </c>
      <c r="F6" s="160" t="s">
        <v>507</v>
      </c>
      <c r="G6" s="161" t="n">
        <f aca="false">IF(Dashboard!$L$27&lt;=1,$C$17,IFERROR(INDEX(Journal!$BR$6:$BR$505,MATCH(Dashboard!$L$27-1,Journal!$BQ$6:$BQ$505,0)),$C$17))</f>
        <v>60000</v>
      </c>
      <c r="H6" s="162" t="n">
        <f aca="false">IF(Dashboard!$L$27&lt;=1,0,IFERROR(INDEX(Journal!$BT$6:$BT$505,MATCH(Dashboard!$L$27-1,Journal!$BQ$6:$BQ$505,0)),0))</f>
        <v>0</v>
      </c>
      <c r="J6" s="119" t="s">
        <v>508</v>
      </c>
      <c r="K6" s="128" t="n">
        <f aca="false">$C$6</f>
        <v>1</v>
      </c>
      <c r="M6" s="163" t="str">
        <f aca="false">Analytics!$B$7</f>
        <v>Asia</v>
      </c>
      <c r="N6" s="122" t="n">
        <f aca="false">MAX(0,N(Analytics!$J$7))</f>
        <v>0</v>
      </c>
      <c r="O6" s="122" t="n">
        <f aca="false">MIN(0,N(Analytics!$J$7))</f>
        <v>0</v>
      </c>
      <c r="Q6" s="163" t="str">
        <f aca="false">Analytics!$B$101</f>
        <v>Mon</v>
      </c>
      <c r="R6" s="122" t="n">
        <f aca="false">MAX(0,N(Analytics!$J$101))</f>
        <v>229.5</v>
      </c>
      <c r="S6" s="122" t="n">
        <f aca="false">MIN(0,N(Analytics!$J$101))</f>
        <v>0</v>
      </c>
      <c r="U6" s="163" t="str">
        <f aca="false">Analytics!$B$160</f>
        <v>None (Followed Plan)</v>
      </c>
      <c r="V6" s="122" t="n">
        <f aca="false">MAX(0,N(Analytics!$J$160))</f>
        <v>229.5</v>
      </c>
      <c r="W6" s="122" t="n">
        <f aca="false">MIN(0,N(Analytics!$J$160))</f>
        <v>0</v>
      </c>
      <c r="Y6" s="164" t="n">
        <f aca="false">IF(OR(Analytics!$B$33="",N(Analytics!$C$33)=0),"",Analytics!$J$33+ROW()*0.000000001)</f>
        <v>229.500000006</v>
      </c>
      <c r="AA6" s="163" t="str">
        <f aca="false">IFERROR(INDEX(Analytics!$B$33:$B$44,MATCH(LARGE($Y$6:$Y$17,1),$Y$6:$Y$17,0)),"")</f>
        <v>Liquidity Sweep Reversal</v>
      </c>
      <c r="AB6" s="122" t="n">
        <f aca="false">MAX(0,IFERROR(INDEX(Analytics!$J$33:$J$44,MATCH(LARGE($Y$6:$Y$17,1),$Y$6:$Y$17,0)),0))</f>
        <v>229.5</v>
      </c>
      <c r="AC6" s="122" t="n">
        <f aca="false">MIN(0,IFERROR(INDEX(Analytics!$J$33:$J$44,MATCH(LARGE($Y$6:$Y$17,1),$Y$6:$Y$17,0)),0))</f>
        <v>0</v>
      </c>
      <c r="AE6" s="164" t="n">
        <f aca="false">IF(OR(Analytics!$B$17="",N(Analytics!$C$17)=0),"",Analytics!$J$17+ROW()*0.000000001)</f>
        <v>229.500000006</v>
      </c>
      <c r="AG6" s="163" t="str">
        <f aca="false">IFERROR(INDEX(Analytics!$B$17:$B$28,MATCH(LARGE($AE$6:$AE$17,1),$AE$6:$AE$17,0)),"")</f>
        <v>XAUUSD</v>
      </c>
      <c r="AH6" s="122" t="n">
        <f aca="false">MAX(0,IFERROR(INDEX(Analytics!$J$17:$J$28,MATCH(LARGE($AE$6:$AE$17,1),$AE$6:$AE$17,0)),0))</f>
        <v>229.5</v>
      </c>
      <c r="AI6" s="122" t="n">
        <f aca="false">MIN(0,IFERROR(INDEX(Analytics!$J$17:$J$28,MATCH(LARGE($AE$6:$AE$17,1),$AE$6:$AE$17,0)),0))</f>
        <v>0</v>
      </c>
    </row>
    <row r="7" customFormat="false" ht="15" hidden="false" customHeight="false" outlineLevel="0" collapsed="false">
      <c r="B7" s="13" t="s">
        <v>228</v>
      </c>
      <c r="C7" s="128" t="n">
        <f aca="false">COUNTIFS(Journal!$BP$6:$BP$505,1,Journal!$AL$6:$AL$505,"Loss")</f>
        <v>0</v>
      </c>
      <c r="E7" s="160" t="n">
        <v>1</v>
      </c>
      <c r="F7" s="160" t="n">
        <f aca="false">IF((Dashboard!$L$27+E7-1)&lt;=$C$5,(Dashboard!$L$27+E7-1),"")</f>
        <v>1</v>
      </c>
      <c r="G7" s="161" t="n">
        <f aca="false">IF((Dashboard!$L$27+E7-1)&lt;=$C$5,INDEX(Journal!$BR$6:$BR$505,MATCH((Dashboard!$L$27+E7-1),Journal!$BQ$6:$BQ$505,0)),G6)</f>
        <v>60229.5</v>
      </c>
      <c r="H7" s="162" t="n">
        <f aca="false">IF((Dashboard!$L$27+E7-1)&lt;=$C$5,INDEX(Journal!$BT$6:$BT$505,MATCH((Dashboard!$L$27+E7-1),Journal!$BQ$6:$BQ$505,0)),H6)</f>
        <v>0</v>
      </c>
      <c r="J7" s="119" t="s">
        <v>505</v>
      </c>
      <c r="K7" s="128" t="n">
        <f aca="false">$C$7</f>
        <v>0</v>
      </c>
      <c r="M7" s="163" t="str">
        <f aca="false">Analytics!$B$8</f>
        <v>London</v>
      </c>
      <c r="N7" s="122" t="n">
        <f aca="false">MAX(0,N(Analytics!$J$8))</f>
        <v>229.5</v>
      </c>
      <c r="O7" s="122" t="n">
        <f aca="false">MIN(0,N(Analytics!$J$8))</f>
        <v>0</v>
      </c>
      <c r="Q7" s="163" t="str">
        <f aca="false">Analytics!$B$102</f>
        <v>Tue</v>
      </c>
      <c r="R7" s="122" t="n">
        <f aca="false">MAX(0,N(Analytics!$J$102))</f>
        <v>0</v>
      </c>
      <c r="S7" s="122" t="n">
        <f aca="false">MIN(0,N(Analytics!$J$102))</f>
        <v>0</v>
      </c>
      <c r="U7" s="163" t="str">
        <f aca="false">Analytics!$B$161</f>
        <v>Entered Early</v>
      </c>
      <c r="V7" s="122" t="n">
        <f aca="false">MAX(0,N(Analytics!$J$161))</f>
        <v>0</v>
      </c>
      <c r="W7" s="122" t="n">
        <f aca="false">MIN(0,N(Analytics!$J$161))</f>
        <v>0</v>
      </c>
      <c r="Y7" s="164" t="str">
        <f aca="false">IF(OR(Analytics!$B$34="",N(Analytics!$C$34)=0),"",Analytics!$J$34+ROW()*0.000000001)</f>
        <v/>
      </c>
      <c r="AA7" s="163" t="str">
        <f aca="false">IFERROR(INDEX(Analytics!$B$33:$B$44,MATCH(LARGE($Y$6:$Y$17,2),$Y$6:$Y$17,0)),"")</f>
        <v/>
      </c>
      <c r="AB7" s="122" t="n">
        <f aca="false">MAX(0,IFERROR(INDEX(Analytics!$J$33:$J$44,MATCH(LARGE($Y$6:$Y$17,2),$Y$6:$Y$17,0)),0))</f>
        <v>0</v>
      </c>
      <c r="AC7" s="122" t="n">
        <f aca="false">MIN(0,IFERROR(INDEX(Analytics!$J$33:$J$44,MATCH(LARGE($Y$6:$Y$17,2),$Y$6:$Y$17,0)),0))</f>
        <v>0</v>
      </c>
      <c r="AE7" s="164" t="str">
        <f aca="false">IF(OR(Analytics!$B$18="",N(Analytics!$C$18)=0),"",Analytics!$J$18+ROW()*0.000000001)</f>
        <v/>
      </c>
      <c r="AG7" s="163" t="str">
        <f aca="false">IFERROR(INDEX(Analytics!$B$17:$B$28,MATCH(LARGE($AE$6:$AE$17,2),$AE$6:$AE$17,0)),"")</f>
        <v/>
      </c>
      <c r="AH7" s="122" t="n">
        <f aca="false">MAX(0,IFERROR(INDEX(Analytics!$J$17:$J$28,MATCH(LARGE($AE$6:$AE$17,2),$AE$6:$AE$17,0)),0))</f>
        <v>0</v>
      </c>
      <c r="AI7" s="122" t="n">
        <f aca="false">MIN(0,IFERROR(INDEX(Analytics!$J$17:$J$28,MATCH(LARGE($AE$6:$AE$17,2),$AE$6:$AE$17,0)),0))</f>
        <v>0</v>
      </c>
    </row>
    <row r="8" customFormat="false" ht="15" hidden="false" customHeight="false" outlineLevel="0" collapsed="false">
      <c r="B8" s="13" t="s">
        <v>509</v>
      </c>
      <c r="C8" s="128" t="n">
        <f aca="false">COUNTIFS(Journal!$BP$6:$BP$505,1,Journal!$AL$6:$AL$505,"BE")</f>
        <v>0</v>
      </c>
      <c r="E8" s="160" t="n">
        <v>2</v>
      </c>
      <c r="F8" s="160" t="str">
        <f aca="false">IF((Dashboard!$L$27+E8-1)&lt;=$C$5,(Dashboard!$L$27+E8-1),"")</f>
        <v/>
      </c>
      <c r="G8" s="161" t="n">
        <f aca="false">IF((Dashboard!$L$27+E8-1)&lt;=$C$5,INDEX(Journal!$BR$6:$BR$505,MATCH((Dashboard!$L$27+E8-1),Journal!$BQ$6:$BQ$505,0)),G7)</f>
        <v>60229.5</v>
      </c>
      <c r="H8" s="162" t="n">
        <f aca="false">IF((Dashboard!$L$27+E8-1)&lt;=$C$5,INDEX(Journal!$BT$6:$BT$505,MATCH((Dashboard!$L$27+E8-1),Journal!$BQ$6:$BQ$505,0)),H7)</f>
        <v>0</v>
      </c>
      <c r="J8" s="119" t="s">
        <v>509</v>
      </c>
      <c r="K8" s="128" t="n">
        <f aca="false">$C$8</f>
        <v>0</v>
      </c>
      <c r="M8" s="163" t="str">
        <f aca="false">Analytics!$B$9</f>
        <v>New York</v>
      </c>
      <c r="N8" s="122" t="n">
        <f aca="false">MAX(0,N(Analytics!$J$9))</f>
        <v>0</v>
      </c>
      <c r="O8" s="122" t="n">
        <f aca="false">MIN(0,N(Analytics!$J$9))</f>
        <v>0</v>
      </c>
      <c r="Q8" s="163" t="str">
        <f aca="false">Analytics!$B$103</f>
        <v>Wed</v>
      </c>
      <c r="R8" s="122" t="n">
        <f aca="false">MAX(0,N(Analytics!$J$103))</f>
        <v>0</v>
      </c>
      <c r="S8" s="122" t="n">
        <f aca="false">MIN(0,N(Analytics!$J$103))</f>
        <v>0</v>
      </c>
      <c r="U8" s="163" t="str">
        <f aca="false">Analytics!$B$162</f>
        <v>Chased Entry</v>
      </c>
      <c r="V8" s="122" t="n">
        <f aca="false">MAX(0,N(Analytics!$J$162))</f>
        <v>0</v>
      </c>
      <c r="W8" s="122" t="n">
        <f aca="false">MIN(0,N(Analytics!$J$162))</f>
        <v>0</v>
      </c>
      <c r="Y8" s="164" t="str">
        <f aca="false">IF(OR(Analytics!$B$35="",N(Analytics!$C$35)=0),"",Analytics!$J$35+ROW()*0.000000001)</f>
        <v/>
      </c>
      <c r="AA8" s="163" t="str">
        <f aca="false">IFERROR(INDEX(Analytics!$B$33:$B$44,MATCH(LARGE($Y$6:$Y$17,3),$Y$6:$Y$17,0)),"")</f>
        <v/>
      </c>
      <c r="AB8" s="122" t="n">
        <f aca="false">MAX(0,IFERROR(INDEX(Analytics!$J$33:$J$44,MATCH(LARGE($Y$6:$Y$17,3),$Y$6:$Y$17,0)),0))</f>
        <v>0</v>
      </c>
      <c r="AC8" s="122" t="n">
        <f aca="false">MIN(0,IFERROR(INDEX(Analytics!$J$33:$J$44,MATCH(LARGE($Y$6:$Y$17,3),$Y$6:$Y$17,0)),0))</f>
        <v>0</v>
      </c>
      <c r="AE8" s="164" t="str">
        <f aca="false">IF(OR(Analytics!$B$19="",N(Analytics!$C$19)=0),"",Analytics!$J$19+ROW()*0.000000001)</f>
        <v/>
      </c>
      <c r="AG8" s="163" t="str">
        <f aca="false">IFERROR(INDEX(Analytics!$B$17:$B$28,MATCH(LARGE($AE$6:$AE$17,3),$AE$6:$AE$17,0)),"")</f>
        <v/>
      </c>
      <c r="AH8" s="122" t="n">
        <f aca="false">MAX(0,IFERROR(INDEX(Analytics!$J$17:$J$28,MATCH(LARGE($AE$6:$AE$17,3),$AE$6:$AE$17,0)),0))</f>
        <v>0</v>
      </c>
      <c r="AI8" s="122" t="n">
        <f aca="false">MIN(0,IFERROR(INDEX(Analytics!$J$17:$J$28,MATCH(LARGE($AE$6:$AE$17,3),$AE$6:$AE$17,0)),0))</f>
        <v>0</v>
      </c>
    </row>
    <row r="9" customFormat="false" ht="15" hidden="false" customHeight="false" outlineLevel="0" collapsed="false">
      <c r="B9" s="13" t="s">
        <v>165</v>
      </c>
      <c r="C9" s="122" t="n">
        <f aca="false">SUMIFS(Journal!$AM$6:$AM$505,Journal!$BP$6:$BP$505,1)</f>
        <v>229.5</v>
      </c>
      <c r="E9" s="160" t="n">
        <v>3</v>
      </c>
      <c r="F9" s="160" t="str">
        <f aca="false">IF((Dashboard!$L$27+E9-1)&lt;=$C$5,(Dashboard!$L$27+E9-1),"")</f>
        <v/>
      </c>
      <c r="G9" s="161" t="n">
        <f aca="false">IF((Dashboard!$L$27+E9-1)&lt;=$C$5,INDEX(Journal!$BR$6:$BR$505,MATCH((Dashboard!$L$27+E9-1),Journal!$BQ$6:$BQ$505,0)),G8)</f>
        <v>60229.5</v>
      </c>
      <c r="H9" s="162" t="n">
        <f aca="false">IF((Dashboard!$L$27+E9-1)&lt;=$C$5,INDEX(Journal!$BT$6:$BT$505,MATCH((Dashboard!$L$27+E9-1),Journal!$BQ$6:$BQ$505,0)),H8)</f>
        <v>0</v>
      </c>
      <c r="M9" s="163" t="str">
        <f aca="false">Analytics!$B$10</f>
        <v>London-NY Overlap</v>
      </c>
      <c r="N9" s="122" t="n">
        <f aca="false">MAX(0,N(Analytics!$J$10))</f>
        <v>0</v>
      </c>
      <c r="O9" s="122" t="n">
        <f aca="false">MIN(0,N(Analytics!$J$10))</f>
        <v>0</v>
      </c>
      <c r="Q9" s="163" t="str">
        <f aca="false">Analytics!$B$104</f>
        <v>Thu</v>
      </c>
      <c r="R9" s="122" t="n">
        <f aca="false">MAX(0,N(Analytics!$J$104))</f>
        <v>0</v>
      </c>
      <c r="S9" s="122" t="n">
        <f aca="false">MIN(0,N(Analytics!$J$104))</f>
        <v>0</v>
      </c>
      <c r="U9" s="163" t="str">
        <f aca="false">Analytics!$B$163</f>
        <v>Moved Stop Loss</v>
      </c>
      <c r="V9" s="122" t="n">
        <f aca="false">MAX(0,N(Analytics!$J$163))</f>
        <v>0</v>
      </c>
      <c r="W9" s="122" t="n">
        <f aca="false">MIN(0,N(Analytics!$J$163))</f>
        <v>0</v>
      </c>
      <c r="Y9" s="164" t="str">
        <f aca="false">IF(OR(Analytics!$B$36="",N(Analytics!$C$36)=0),"",Analytics!$J$36+ROW()*0.000000001)</f>
        <v/>
      </c>
      <c r="AA9" s="163" t="str">
        <f aca="false">IFERROR(INDEX(Analytics!$B$33:$B$44,MATCH(LARGE($Y$6:$Y$17,4),$Y$6:$Y$17,0)),"")</f>
        <v/>
      </c>
      <c r="AB9" s="122" t="n">
        <f aca="false">MAX(0,IFERROR(INDEX(Analytics!$J$33:$J$44,MATCH(LARGE($Y$6:$Y$17,4),$Y$6:$Y$17,0)),0))</f>
        <v>0</v>
      </c>
      <c r="AC9" s="122" t="n">
        <f aca="false">MIN(0,IFERROR(INDEX(Analytics!$J$33:$J$44,MATCH(LARGE($Y$6:$Y$17,4),$Y$6:$Y$17,0)),0))</f>
        <v>0</v>
      </c>
      <c r="AE9" s="164" t="str">
        <f aca="false">IF(OR(Analytics!$B$20="",N(Analytics!$C$20)=0),"",Analytics!$J$20+ROW()*0.000000001)</f>
        <v/>
      </c>
      <c r="AG9" s="163" t="str">
        <f aca="false">IFERROR(INDEX(Analytics!$B$17:$B$28,MATCH(LARGE($AE$6:$AE$17,4),$AE$6:$AE$17,0)),"")</f>
        <v/>
      </c>
      <c r="AH9" s="122" t="n">
        <f aca="false">MAX(0,IFERROR(INDEX(Analytics!$J$17:$J$28,MATCH(LARGE($AE$6:$AE$17,4),$AE$6:$AE$17,0)),0))</f>
        <v>0</v>
      </c>
      <c r="AI9" s="122" t="n">
        <f aca="false">MIN(0,IFERROR(INDEX(Analytics!$J$17:$J$28,MATCH(LARGE($AE$6:$AE$17,4),$AE$6:$AE$17,0)),0))</f>
        <v>0</v>
      </c>
    </row>
    <row r="10" customFormat="false" ht="15" hidden="false" customHeight="false" outlineLevel="0" collapsed="false">
      <c r="B10" s="13" t="s">
        <v>510</v>
      </c>
      <c r="C10" s="122" t="n">
        <f aca="false">SUMIFS(Journal!$AM$6:$AM$505,Journal!$BP$6:$BP$505,1,Journal!$AM$6:$AM$505,"&gt;0")</f>
        <v>229.5</v>
      </c>
      <c r="E10" s="160" t="n">
        <v>4</v>
      </c>
      <c r="F10" s="160" t="str">
        <f aca="false">IF((Dashboard!$L$27+E10-1)&lt;=$C$5,(Dashboard!$L$27+E10-1),"")</f>
        <v/>
      </c>
      <c r="G10" s="161" t="n">
        <f aca="false">IF((Dashboard!$L$27+E10-1)&lt;=$C$5,INDEX(Journal!$BR$6:$BR$505,MATCH((Dashboard!$L$27+E10-1),Journal!$BQ$6:$BQ$505,0)),G9)</f>
        <v>60229.5</v>
      </c>
      <c r="H10" s="162" t="n">
        <f aca="false">IF((Dashboard!$L$27+E10-1)&lt;=$C$5,INDEX(Journal!$BT$6:$BT$505,MATCH((Dashboard!$L$27+E10-1),Journal!$BQ$6:$BQ$505,0)),H9)</f>
        <v>0</v>
      </c>
      <c r="Q10" s="163" t="str">
        <f aca="false">Analytics!$B$105</f>
        <v>Fri</v>
      </c>
      <c r="R10" s="122" t="n">
        <f aca="false">MAX(0,N(Analytics!$J$105))</f>
        <v>0</v>
      </c>
      <c r="S10" s="122" t="n">
        <f aca="false">MIN(0,N(Analytics!$J$105))</f>
        <v>0</v>
      </c>
      <c r="U10" s="163" t="str">
        <f aca="false">Analytics!$B$164</f>
        <v>Closed Early</v>
      </c>
      <c r="V10" s="122" t="n">
        <f aca="false">MAX(0,N(Analytics!$J$164))</f>
        <v>0</v>
      </c>
      <c r="W10" s="122" t="n">
        <f aca="false">MIN(0,N(Analytics!$J$164))</f>
        <v>0</v>
      </c>
      <c r="Y10" s="164" t="str">
        <f aca="false">IF(OR(Analytics!$B$37="",N(Analytics!$C$37)=0),"",Analytics!$J$37+ROW()*0.000000001)</f>
        <v/>
      </c>
      <c r="AA10" s="163" t="str">
        <f aca="false">IFERROR(INDEX(Analytics!$B$33:$B$44,MATCH(LARGE($Y$6:$Y$17,5),$Y$6:$Y$17,0)),"")</f>
        <v/>
      </c>
      <c r="AB10" s="122" t="n">
        <f aca="false">MAX(0,IFERROR(INDEX(Analytics!$J$33:$J$44,MATCH(LARGE($Y$6:$Y$17,5),$Y$6:$Y$17,0)),0))</f>
        <v>0</v>
      </c>
      <c r="AC10" s="122" t="n">
        <f aca="false">MIN(0,IFERROR(INDEX(Analytics!$J$33:$J$44,MATCH(LARGE($Y$6:$Y$17,5),$Y$6:$Y$17,0)),0))</f>
        <v>0</v>
      </c>
      <c r="AE10" s="164" t="str">
        <f aca="false">IF(OR(Analytics!$B$21="",N(Analytics!$C$21)=0),"",Analytics!$J$21+ROW()*0.000000001)</f>
        <v/>
      </c>
      <c r="AG10" s="163" t="str">
        <f aca="false">IFERROR(INDEX(Analytics!$B$17:$B$28,MATCH(LARGE($AE$6:$AE$17,5),$AE$6:$AE$17,0)),"")</f>
        <v/>
      </c>
      <c r="AH10" s="122" t="n">
        <f aca="false">MAX(0,IFERROR(INDEX(Analytics!$J$17:$J$28,MATCH(LARGE($AE$6:$AE$17,5),$AE$6:$AE$17,0)),0))</f>
        <v>0</v>
      </c>
      <c r="AI10" s="122" t="n">
        <f aca="false">MIN(0,IFERROR(INDEX(Analytics!$J$17:$J$28,MATCH(LARGE($AE$6:$AE$17,5),$AE$6:$AE$17,0)),0))</f>
        <v>0</v>
      </c>
    </row>
    <row r="11" customFormat="false" ht="15" hidden="false" customHeight="false" outlineLevel="0" collapsed="false">
      <c r="B11" s="13" t="s">
        <v>511</v>
      </c>
      <c r="C11" s="122" t="n">
        <f aca="false">ABS(SUMIFS(Journal!$AM$6:$AM$505,Journal!$BP$6:$BP$505,1,Journal!$AM$6:$AM$505,"&lt;0"))</f>
        <v>0</v>
      </c>
      <c r="E11" s="160" t="n">
        <v>5</v>
      </c>
      <c r="F11" s="160" t="str">
        <f aca="false">IF((Dashboard!$L$27+E11-1)&lt;=$C$5,(Dashboard!$L$27+E11-1),"")</f>
        <v/>
      </c>
      <c r="G11" s="161" t="n">
        <f aca="false">IF((Dashboard!$L$27+E11-1)&lt;=$C$5,INDEX(Journal!$BR$6:$BR$505,MATCH((Dashboard!$L$27+E11-1),Journal!$BQ$6:$BQ$505,0)),G10)</f>
        <v>60229.5</v>
      </c>
      <c r="H11" s="162" t="n">
        <f aca="false">IF((Dashboard!$L$27+E11-1)&lt;=$C$5,INDEX(Journal!$BT$6:$BT$505,MATCH((Dashboard!$L$27+E11-1),Journal!$BQ$6:$BQ$505,0)),H10)</f>
        <v>0</v>
      </c>
      <c r="U11" s="163" t="str">
        <f aca="false">Analytics!$B$165</f>
        <v>Held Too Long</v>
      </c>
      <c r="V11" s="122" t="n">
        <f aca="false">MAX(0,N(Analytics!$J$165))</f>
        <v>0</v>
      </c>
      <c r="W11" s="122" t="n">
        <f aca="false">MIN(0,N(Analytics!$J$165))</f>
        <v>0</v>
      </c>
      <c r="Y11" s="164" t="str">
        <f aca="false">IF(OR(Analytics!$B$38="",N(Analytics!$C$38)=0),"",Analytics!$J$38+ROW()*0.000000001)</f>
        <v/>
      </c>
      <c r="AA11" s="163" t="str">
        <f aca="false">IFERROR(INDEX(Analytics!$B$33:$B$44,MATCH(LARGE($Y$6:$Y$17,6),$Y$6:$Y$17,0)),"")</f>
        <v/>
      </c>
      <c r="AB11" s="122" t="n">
        <f aca="false">MAX(0,IFERROR(INDEX(Analytics!$J$33:$J$44,MATCH(LARGE($Y$6:$Y$17,6),$Y$6:$Y$17,0)),0))</f>
        <v>0</v>
      </c>
      <c r="AC11" s="122" t="n">
        <f aca="false">MIN(0,IFERROR(INDEX(Analytics!$J$33:$J$44,MATCH(LARGE($Y$6:$Y$17,6),$Y$6:$Y$17,0)),0))</f>
        <v>0</v>
      </c>
      <c r="AE11" s="164" t="str">
        <f aca="false">IF(OR(Analytics!$B$22="",N(Analytics!$C$22)=0),"",Analytics!$J$22+ROW()*0.000000001)</f>
        <v/>
      </c>
      <c r="AG11" s="163" t="str">
        <f aca="false">IFERROR(INDEX(Analytics!$B$17:$B$28,MATCH(LARGE($AE$6:$AE$17,6),$AE$6:$AE$17,0)),"")</f>
        <v/>
      </c>
      <c r="AH11" s="122" t="n">
        <f aca="false">MAX(0,IFERROR(INDEX(Analytics!$J$17:$J$28,MATCH(LARGE($AE$6:$AE$17,6),$AE$6:$AE$17,0)),0))</f>
        <v>0</v>
      </c>
      <c r="AI11" s="122" t="n">
        <f aca="false">MIN(0,IFERROR(INDEX(Analytics!$J$17:$J$28,MATCH(LARGE($AE$6:$AE$17,6),$AE$6:$AE$17,0)),0))</f>
        <v>0</v>
      </c>
    </row>
    <row r="12" customFormat="false" ht="15" hidden="false" customHeight="false" outlineLevel="0" collapsed="false">
      <c r="B12" s="13" t="s">
        <v>231</v>
      </c>
      <c r="C12" s="164" t="n">
        <f aca="false">SUMIFS(Journal!$AK$6:$AK$505,Journal!$BP$6:$BP$505,1)</f>
        <v>2.33</v>
      </c>
      <c r="E12" s="160" t="n">
        <v>6</v>
      </c>
      <c r="F12" s="160" t="str">
        <f aca="false">IF((Dashboard!$L$27+E12-1)&lt;=$C$5,(Dashboard!$L$27+E12-1),"")</f>
        <v/>
      </c>
      <c r="G12" s="161" t="n">
        <f aca="false">IF((Dashboard!$L$27+E12-1)&lt;=$C$5,INDEX(Journal!$BR$6:$BR$505,MATCH((Dashboard!$L$27+E12-1),Journal!$BQ$6:$BQ$505,0)),G11)</f>
        <v>60229.5</v>
      </c>
      <c r="H12" s="162" t="n">
        <f aca="false">IF((Dashboard!$L$27+E12-1)&lt;=$C$5,INDEX(Journal!$BT$6:$BT$505,MATCH((Dashboard!$L$27+E12-1),Journal!$BQ$6:$BQ$505,0)),H11)</f>
        <v>0</v>
      </c>
      <c r="U12" s="163" t="str">
        <f aca="false">Analytics!$B$166</f>
        <v>Oversized</v>
      </c>
      <c r="V12" s="122" t="n">
        <f aca="false">MAX(0,N(Analytics!$J$166))</f>
        <v>0</v>
      </c>
      <c r="W12" s="122" t="n">
        <f aca="false">MIN(0,N(Analytics!$J$166))</f>
        <v>0</v>
      </c>
      <c r="Y12" s="164" t="str">
        <f aca="false">IF(OR(Analytics!$B$39="",N(Analytics!$C$39)=0),"",Analytics!$J$39+ROW()*0.000000001)</f>
        <v/>
      </c>
      <c r="AE12" s="164" t="str">
        <f aca="false">IF(OR(Analytics!$B$23="",N(Analytics!$C$23)=0),"",Analytics!$J$23+ROW()*0.000000001)</f>
        <v/>
      </c>
    </row>
    <row r="13" customFormat="false" ht="15" hidden="false" customHeight="false" outlineLevel="0" collapsed="false">
      <c r="B13" s="13" t="s">
        <v>512</v>
      </c>
      <c r="C13" s="164" t="n">
        <f aca="false">IFERROR(AVERAGEIFS(Journal!$AK$6:$AK$505,Journal!$BP$6:$BP$505,1,Journal!$AL$6:$AL$505,"Win"),0)</f>
        <v>2.33</v>
      </c>
      <c r="E13" s="160" t="n">
        <v>7</v>
      </c>
      <c r="F13" s="160" t="str">
        <f aca="false">IF((Dashboard!$L$27+E13-1)&lt;=$C$5,(Dashboard!$L$27+E13-1),"")</f>
        <v/>
      </c>
      <c r="G13" s="161" t="n">
        <f aca="false">IF((Dashboard!$L$27+E13-1)&lt;=$C$5,INDEX(Journal!$BR$6:$BR$505,MATCH((Dashboard!$L$27+E13-1),Journal!$BQ$6:$BQ$505,0)),G12)</f>
        <v>60229.5</v>
      </c>
      <c r="H13" s="162" t="n">
        <f aca="false">IF((Dashboard!$L$27+E13-1)&lt;=$C$5,INDEX(Journal!$BT$6:$BT$505,MATCH((Dashboard!$L$27+E13-1),Journal!$BQ$6:$BQ$505,0)),H12)</f>
        <v>0</v>
      </c>
      <c r="U13" s="163" t="str">
        <f aca="false">Analytics!$B$167</f>
        <v>No Confirmation</v>
      </c>
      <c r="V13" s="122" t="n">
        <f aca="false">MAX(0,N(Analytics!$J$167))</f>
        <v>0</v>
      </c>
      <c r="W13" s="122" t="n">
        <f aca="false">MIN(0,N(Analytics!$J$167))</f>
        <v>0</v>
      </c>
      <c r="Y13" s="164" t="str">
        <f aca="false">IF(OR(Analytics!$B$40="",N(Analytics!$C$40)=0),"",Analytics!$J$40+ROW()*0.000000001)</f>
        <v/>
      </c>
      <c r="AE13" s="164" t="str">
        <f aca="false">IF(OR(Analytics!$B$24="",N(Analytics!$C$24)=0),"",Analytics!$J$24+ROW()*0.000000001)</f>
        <v/>
      </c>
    </row>
    <row r="14" customFormat="false" ht="15" hidden="false" customHeight="false" outlineLevel="0" collapsed="false">
      <c r="B14" s="13" t="s">
        <v>513</v>
      </c>
      <c r="C14" s="164" t="n">
        <f aca="false">IFERROR(AVERAGEIFS(Journal!$AK$6:$AK$505,Journal!$BP$6:$BP$505,1,Journal!$AL$6:$AL$505,"Loss"),0)</f>
        <v>0</v>
      </c>
      <c r="E14" s="160" t="n">
        <v>8</v>
      </c>
      <c r="F14" s="160" t="str">
        <f aca="false">IF((Dashboard!$L$27+E14-1)&lt;=$C$5,(Dashboard!$L$27+E14-1),"")</f>
        <v/>
      </c>
      <c r="G14" s="161" t="n">
        <f aca="false">IF((Dashboard!$L$27+E14-1)&lt;=$C$5,INDEX(Journal!$BR$6:$BR$505,MATCH((Dashboard!$L$27+E14-1),Journal!$BQ$6:$BQ$505,0)),G13)</f>
        <v>60229.5</v>
      </c>
      <c r="H14" s="162" t="n">
        <f aca="false">IF((Dashboard!$L$27+E14-1)&lt;=$C$5,INDEX(Journal!$BT$6:$BT$505,MATCH((Dashboard!$L$27+E14-1),Journal!$BQ$6:$BQ$505,0)),H13)</f>
        <v>0</v>
      </c>
      <c r="U14" s="163" t="str">
        <f aca="false">Analytics!$B$168</f>
        <v>Overtraded</v>
      </c>
      <c r="V14" s="122" t="n">
        <f aca="false">MAX(0,N(Analytics!$J$168))</f>
        <v>0</v>
      </c>
      <c r="W14" s="122" t="n">
        <f aca="false">MIN(0,N(Analytics!$J$168))</f>
        <v>0</v>
      </c>
      <c r="Y14" s="164" t="str">
        <f aca="false">IF(OR(Analytics!$B$41="",N(Analytics!$C$41)=0),"",Analytics!$J$41+ROW()*0.000000001)</f>
        <v/>
      </c>
      <c r="AE14" s="164" t="str">
        <f aca="false">IF(OR(Analytics!$B$25="",N(Analytics!$C$25)=0),"",Analytics!$J$25+ROW()*0.000000001)</f>
        <v/>
      </c>
    </row>
    <row r="15" customFormat="false" ht="15" hidden="false" customHeight="false" outlineLevel="0" collapsed="false">
      <c r="B15" s="13" t="s">
        <v>514</v>
      </c>
      <c r="C15" s="164" t="n">
        <f aca="false">_xlfn.MAXIFS(Journal!$AK$6:$AK$505,Journal!$BP$6:$BP$505,1)</f>
        <v>2.33</v>
      </c>
      <c r="E15" s="160" t="n">
        <v>9</v>
      </c>
      <c r="F15" s="160" t="str">
        <f aca="false">IF((Dashboard!$L$27+E15-1)&lt;=$C$5,(Dashboard!$L$27+E15-1),"")</f>
        <v/>
      </c>
      <c r="G15" s="161" t="n">
        <f aca="false">IF((Dashboard!$L$27+E15-1)&lt;=$C$5,INDEX(Journal!$BR$6:$BR$505,MATCH((Dashboard!$L$27+E15-1),Journal!$BQ$6:$BQ$505,0)),G14)</f>
        <v>60229.5</v>
      </c>
      <c r="H15" s="162" t="n">
        <f aca="false">IF((Dashboard!$L$27+E15-1)&lt;=$C$5,INDEX(Journal!$BT$6:$BT$505,MATCH((Dashboard!$L$27+E15-1),Journal!$BQ$6:$BQ$505,0)),H14)</f>
        <v>0</v>
      </c>
      <c r="U15" s="163" t="str">
        <f aca="false">Analytics!$B$169</f>
        <v>Traded News</v>
      </c>
      <c r="V15" s="122" t="n">
        <f aca="false">MAX(0,N(Analytics!$J$169))</f>
        <v>0</v>
      </c>
      <c r="W15" s="122" t="n">
        <f aca="false">MIN(0,N(Analytics!$J$169))</f>
        <v>0</v>
      </c>
      <c r="Y15" s="164" t="str">
        <f aca="false">IF(OR(Analytics!$B$42="",N(Analytics!$C$42)=0),"",Analytics!$J$42+ROW()*0.000000001)</f>
        <v/>
      </c>
      <c r="AE15" s="164" t="str">
        <f aca="false">IF(OR(Analytics!$B$26="",N(Analytics!$C$26)=0),"",Analytics!$J$26+ROW()*0.000000001)</f>
        <v/>
      </c>
    </row>
    <row r="16" customFormat="false" ht="15" hidden="false" customHeight="false" outlineLevel="0" collapsed="false">
      <c r="B16" s="13" t="s">
        <v>515</v>
      </c>
      <c r="C16" s="164" t="n">
        <f aca="false">_xlfn.MINIFS(Journal!$AK$6:$AK$505,Journal!$BP$6:$BP$505,1)</f>
        <v>2.33</v>
      </c>
      <c r="E16" s="160" t="n">
        <v>10</v>
      </c>
      <c r="F16" s="160" t="str">
        <f aca="false">IF((Dashboard!$L$27+E16-1)&lt;=$C$5,(Dashboard!$L$27+E16-1),"")</f>
        <v/>
      </c>
      <c r="G16" s="161" t="n">
        <f aca="false">IF((Dashboard!$L$27+E16-1)&lt;=$C$5,INDEX(Journal!$BR$6:$BR$505,MATCH((Dashboard!$L$27+E16-1),Journal!$BQ$6:$BQ$505,0)),G15)</f>
        <v>60229.5</v>
      </c>
      <c r="H16" s="162" t="n">
        <f aca="false">IF((Dashboard!$L$27+E16-1)&lt;=$C$5,INDEX(Journal!$BT$6:$BT$505,MATCH((Dashboard!$L$27+E16-1),Journal!$BQ$6:$BQ$505,0)),H15)</f>
        <v>0</v>
      </c>
      <c r="Y16" s="164" t="str">
        <f aca="false">IF(OR(Analytics!$B$43="",N(Analytics!$C$43)=0),"",Analytics!$J$43+ROW()*0.000000001)</f>
        <v/>
      </c>
      <c r="AE16" s="164" t="str">
        <f aca="false">IF(OR(Analytics!$B$27="",N(Analytics!$C$27)=0),"",Analytics!$J$27+ROW()*0.000000001)</f>
        <v/>
      </c>
    </row>
    <row r="17" customFormat="false" ht="15" hidden="false" customHeight="false" outlineLevel="0" collapsed="false">
      <c r="B17" s="13" t="s">
        <v>516</v>
      </c>
      <c r="C17" s="120" t="n">
        <f aca="false">Settings!$C$29</f>
        <v>60000</v>
      </c>
      <c r="E17" s="160" t="n">
        <v>11</v>
      </c>
      <c r="F17" s="160" t="str">
        <f aca="false">IF((Dashboard!$L$27+E17-1)&lt;=$C$5,(Dashboard!$L$27+E17-1),"")</f>
        <v/>
      </c>
      <c r="G17" s="161" t="n">
        <f aca="false">IF((Dashboard!$L$27+E17-1)&lt;=$C$5,INDEX(Journal!$BR$6:$BR$505,MATCH((Dashboard!$L$27+E17-1),Journal!$BQ$6:$BQ$505,0)),G16)</f>
        <v>60229.5</v>
      </c>
      <c r="H17" s="162" t="n">
        <f aca="false">IF((Dashboard!$L$27+E17-1)&lt;=$C$5,INDEX(Journal!$BT$6:$BT$505,MATCH((Dashboard!$L$27+E17-1),Journal!$BQ$6:$BQ$505,0)),H16)</f>
        <v>0</v>
      </c>
      <c r="Y17" s="164" t="str">
        <f aca="false">IF(OR(Analytics!$B$44="",N(Analytics!$C$44)=0),"",Analytics!$J$44+ROW()*0.000000001)</f>
        <v/>
      </c>
      <c r="AE17" s="164" t="str">
        <f aca="false">IF(OR(Analytics!$B$28="",N(Analytics!$C$28)=0),"",Analytics!$J$28+ROW()*0.000000001)</f>
        <v/>
      </c>
    </row>
    <row r="18" customFormat="false" ht="15" hidden="false" customHeight="false" outlineLevel="0" collapsed="false">
      <c r="B18" s="13" t="s">
        <v>517</v>
      </c>
      <c r="C18" s="120" t="n">
        <f aca="false">C17+C9</f>
        <v>60229.5</v>
      </c>
      <c r="E18" s="160" t="n">
        <v>12</v>
      </c>
      <c r="F18" s="160" t="str">
        <f aca="false">IF((Dashboard!$L$27+E18-1)&lt;=$C$5,(Dashboard!$L$27+E18-1),"")</f>
        <v/>
      </c>
      <c r="G18" s="161" t="n">
        <f aca="false">IF((Dashboard!$L$27+E18-1)&lt;=$C$5,INDEX(Journal!$BR$6:$BR$505,MATCH((Dashboard!$L$27+E18-1),Journal!$BQ$6:$BQ$505,0)),G17)</f>
        <v>60229.5</v>
      </c>
      <c r="H18" s="162" t="n">
        <f aca="false">IF((Dashboard!$L$27+E18-1)&lt;=$C$5,INDEX(Journal!$BT$6:$BT$505,MATCH((Dashboard!$L$27+E18-1),Journal!$BQ$6:$BQ$505,0)),H17)</f>
        <v>0</v>
      </c>
    </row>
    <row r="19" customFormat="false" ht="15" hidden="false" customHeight="false" outlineLevel="0" collapsed="false">
      <c r="B19" s="13" t="s">
        <v>518</v>
      </c>
      <c r="C19" s="124" t="n">
        <f aca="false">MIN(0,MIN(Journal!$BT$6:$BT$505))</f>
        <v>0</v>
      </c>
      <c r="E19" s="160" t="n">
        <v>13</v>
      </c>
      <c r="F19" s="160" t="str">
        <f aca="false">IF((Dashboard!$L$27+E19-1)&lt;=$C$5,(Dashboard!$L$27+E19-1),"")</f>
        <v/>
      </c>
      <c r="G19" s="161" t="n">
        <f aca="false">IF((Dashboard!$L$27+E19-1)&lt;=$C$5,INDEX(Journal!$BR$6:$BR$505,MATCH((Dashboard!$L$27+E19-1),Journal!$BQ$6:$BQ$505,0)),G18)</f>
        <v>60229.5</v>
      </c>
      <c r="H19" s="162" t="n">
        <f aca="false">IF((Dashboard!$L$27+E19-1)&lt;=$C$5,INDEX(Journal!$BT$6:$BT$505,MATCH((Dashboard!$L$27+E19-1),Journal!$BQ$6:$BQ$505,0)),H18)</f>
        <v>0</v>
      </c>
    </row>
    <row r="20" customFormat="false" ht="15" hidden="false" customHeight="false" outlineLevel="0" collapsed="false">
      <c r="B20" s="13" t="s">
        <v>519</v>
      </c>
      <c r="C20" s="128" t="n">
        <f aca="false">COUNTIFS(Journal!$BP$6:$BP$505,1,Journal!$BD$6:$BD$505,"Yes")</f>
        <v>1</v>
      </c>
      <c r="E20" s="160" t="n">
        <v>14</v>
      </c>
      <c r="F20" s="160" t="str">
        <f aca="false">IF((Dashboard!$L$27+E20-1)&lt;=$C$5,(Dashboard!$L$27+E20-1),"")</f>
        <v/>
      </c>
      <c r="G20" s="161" t="n">
        <f aca="false">IF((Dashboard!$L$27+E20-1)&lt;=$C$5,INDEX(Journal!$BR$6:$BR$505,MATCH((Dashboard!$L$27+E20-1),Journal!$BQ$6:$BQ$505,0)),G19)</f>
        <v>60229.5</v>
      </c>
      <c r="H20" s="162" t="n">
        <f aca="false">IF((Dashboard!$L$27+E20-1)&lt;=$C$5,INDEX(Journal!$BT$6:$BT$505,MATCH((Dashboard!$L$27+E20-1),Journal!$BQ$6:$BQ$505,0)),H19)</f>
        <v>0</v>
      </c>
    </row>
    <row r="21" customFormat="false" ht="15" hidden="false" customHeight="false" outlineLevel="0" collapsed="false">
      <c r="B21" s="13" t="s">
        <v>520</v>
      </c>
      <c r="C21" s="128" t="n">
        <f aca="false">COUNTIFS(Journal!$BP$6:$BP$505,1,Journal!$BD$6:$BD$505,"No")</f>
        <v>0</v>
      </c>
      <c r="E21" s="160" t="n">
        <v>15</v>
      </c>
      <c r="F21" s="160" t="str">
        <f aca="false">IF((Dashboard!$L$27+E21-1)&lt;=$C$5,(Dashboard!$L$27+E21-1),"")</f>
        <v/>
      </c>
      <c r="G21" s="161" t="n">
        <f aca="false">IF((Dashboard!$L$27+E21-1)&lt;=$C$5,INDEX(Journal!$BR$6:$BR$505,MATCH((Dashboard!$L$27+E21-1),Journal!$BQ$6:$BQ$505,0)),G20)</f>
        <v>60229.5</v>
      </c>
      <c r="H21" s="162" t="n">
        <f aca="false">IF((Dashboard!$L$27+E21-1)&lt;=$C$5,INDEX(Journal!$BT$6:$BT$505,MATCH((Dashboard!$L$27+E21-1),Journal!$BQ$6:$BQ$505,0)),H20)</f>
        <v>0</v>
      </c>
    </row>
    <row r="22" customFormat="false" ht="15" hidden="false" customHeight="false" outlineLevel="0" collapsed="false">
      <c r="B22" s="13" t="s">
        <v>521</v>
      </c>
      <c r="C22" s="128" t="n">
        <f aca="false">COUNTIFS(Journal!$BP$6:$BP$505,1,Journal!$BB$6:$BB$505,"Oversized")+COUNTIFS(Journal!$BP$6:$BP$505,1,Journal!$BB$6:$BB$505,"Overtraded")+COUNTIFS(Journal!$BP$6:$BP$505,1,Journal!$BB$6:$BB$505,"Daily loss hit")+COUNTIFS(Journal!$BP$6:$BP$505,1,Journal!$BB$6:$BB$505,"Weekly loss hit")</f>
        <v>0</v>
      </c>
      <c r="E22" s="160" t="n">
        <v>16</v>
      </c>
      <c r="F22" s="160" t="str">
        <f aca="false">IF((Dashboard!$L$27+E22-1)&lt;=$C$5,(Dashboard!$L$27+E22-1),"")</f>
        <v/>
      </c>
      <c r="G22" s="161" t="n">
        <f aca="false">IF((Dashboard!$L$27+E22-1)&lt;=$C$5,INDEX(Journal!$BR$6:$BR$505,MATCH((Dashboard!$L$27+E22-1),Journal!$BQ$6:$BQ$505,0)),G21)</f>
        <v>60229.5</v>
      </c>
      <c r="H22" s="162" t="n">
        <f aca="false">IF((Dashboard!$L$27+E22-1)&lt;=$C$5,INDEX(Journal!$BT$6:$BT$505,MATCH((Dashboard!$L$27+E22-1),Journal!$BQ$6:$BQ$505,0)),H21)</f>
        <v>0</v>
      </c>
    </row>
    <row r="23" customFormat="false" ht="15" hidden="false" customHeight="false" outlineLevel="0" collapsed="false">
      <c r="B23" s="13" t="s">
        <v>522</v>
      </c>
      <c r="C23" s="164" t="n">
        <f aca="false">IFERROR(AVERAGEIFS(Journal!$AJ$6:$AJ$505,Journal!$BP$6:$BP$505,1),0)</f>
        <v>3</v>
      </c>
      <c r="E23" s="160" t="n">
        <v>17</v>
      </c>
      <c r="F23" s="160" t="str">
        <f aca="false">IF((Dashboard!$L$27+E23-1)&lt;=$C$5,(Dashboard!$L$27+E23-1),"")</f>
        <v/>
      </c>
      <c r="G23" s="161" t="n">
        <f aca="false">IF((Dashboard!$L$27+E23-1)&lt;=$C$5,INDEX(Journal!$BR$6:$BR$505,MATCH((Dashboard!$L$27+E23-1),Journal!$BQ$6:$BQ$505,0)),G22)</f>
        <v>60229.5</v>
      </c>
      <c r="H23" s="162" t="n">
        <f aca="false">IF((Dashboard!$L$27+E23-1)&lt;=$C$5,INDEX(Journal!$BT$6:$BT$505,MATCH((Dashboard!$L$27+E23-1),Journal!$BQ$6:$BQ$505,0)),H22)</f>
        <v>0</v>
      </c>
    </row>
    <row r="24" customFormat="false" ht="15" hidden="false" customHeight="false" outlineLevel="0" collapsed="false">
      <c r="B24" s="13" t="s">
        <v>523</v>
      </c>
      <c r="C24" s="128" t="n">
        <f aca="false">MAX(Journal!$BU$6:$BU$505)</f>
        <v>1</v>
      </c>
      <c r="E24" s="160" t="n">
        <v>18</v>
      </c>
      <c r="F24" s="160" t="str">
        <f aca="false">IF((Dashboard!$L$27+E24-1)&lt;=$C$5,(Dashboard!$L$27+E24-1),"")</f>
        <v/>
      </c>
      <c r="G24" s="161" t="n">
        <f aca="false">IF((Dashboard!$L$27+E24-1)&lt;=$C$5,INDEX(Journal!$BR$6:$BR$505,MATCH((Dashboard!$L$27+E24-1),Journal!$BQ$6:$BQ$505,0)),G23)</f>
        <v>60229.5</v>
      </c>
      <c r="H24" s="162" t="n">
        <f aca="false">IF((Dashboard!$L$27+E24-1)&lt;=$C$5,INDEX(Journal!$BT$6:$BT$505,MATCH((Dashboard!$L$27+E24-1),Journal!$BQ$6:$BQ$505,0)),H23)</f>
        <v>0</v>
      </c>
    </row>
    <row r="25" customFormat="false" ht="15" hidden="false" customHeight="false" outlineLevel="0" collapsed="false">
      <c r="B25" s="13" t="s">
        <v>524</v>
      </c>
      <c r="C25" s="128" t="n">
        <f aca="false">MAX(Journal!$BV$6:$BV$505)</f>
        <v>0</v>
      </c>
      <c r="E25" s="160" t="n">
        <v>19</v>
      </c>
      <c r="F25" s="160" t="str">
        <f aca="false">IF((Dashboard!$L$27+E25-1)&lt;=$C$5,(Dashboard!$L$27+E25-1),"")</f>
        <v/>
      </c>
      <c r="G25" s="161" t="n">
        <f aca="false">IF((Dashboard!$L$27+E25-1)&lt;=$C$5,INDEX(Journal!$BR$6:$BR$505,MATCH((Dashboard!$L$27+E25-1),Journal!$BQ$6:$BQ$505,0)),G24)</f>
        <v>60229.5</v>
      </c>
      <c r="H25" s="162" t="n">
        <f aca="false">IF((Dashboard!$L$27+E25-1)&lt;=$C$5,INDEX(Journal!$BT$6:$BT$505,MATCH((Dashboard!$L$27+E25-1),Journal!$BQ$6:$BQ$505,0)),H24)</f>
        <v>0</v>
      </c>
    </row>
    <row r="26" customFormat="false" ht="15" hidden="false" customHeight="false" outlineLevel="0" collapsed="false">
      <c r="E26" s="160" t="n">
        <v>20</v>
      </c>
      <c r="F26" s="160" t="str">
        <f aca="false">IF((Dashboard!$L$27+E26-1)&lt;=$C$5,(Dashboard!$L$27+E26-1),"")</f>
        <v/>
      </c>
      <c r="G26" s="161" t="n">
        <f aca="false">IF((Dashboard!$L$27+E26-1)&lt;=$C$5,INDEX(Journal!$BR$6:$BR$505,MATCH((Dashboard!$L$27+E26-1),Journal!$BQ$6:$BQ$505,0)),G25)</f>
        <v>60229.5</v>
      </c>
      <c r="H26" s="162" t="n">
        <f aca="false">IF((Dashboard!$L$27+E26-1)&lt;=$C$5,INDEX(Journal!$BT$6:$BT$505,MATCH((Dashboard!$L$27+E26-1),Journal!$BQ$6:$BQ$505,0)),H25)</f>
        <v>0</v>
      </c>
    </row>
    <row r="27" customFormat="false" ht="19.5" hidden="false" customHeight="true" outlineLevel="0" collapsed="false">
      <c r="B27" s="5" t="s">
        <v>525</v>
      </c>
      <c r="C27" s="6"/>
      <c r="E27" s="160" t="n">
        <v>21</v>
      </c>
      <c r="F27" s="160" t="str">
        <f aca="false">IF((Dashboard!$L$27+E27-1)&lt;=$C$5,(Dashboard!$L$27+E27-1),"")</f>
        <v/>
      </c>
      <c r="G27" s="161" t="n">
        <f aca="false">IF((Dashboard!$L$27+E27-1)&lt;=$C$5,INDEX(Journal!$BR$6:$BR$505,MATCH((Dashboard!$L$27+E27-1),Journal!$BQ$6:$BQ$505,0)),G26)</f>
        <v>60229.5</v>
      </c>
      <c r="H27" s="162" t="n">
        <f aca="false">IF((Dashboard!$L$27+E27-1)&lt;=$C$5,INDEX(Journal!$BT$6:$BT$505,MATCH((Dashboard!$L$27+E27-1),Journal!$BQ$6:$BQ$505,0)),H26)</f>
        <v>0</v>
      </c>
    </row>
    <row r="28" customFormat="false" ht="15" hidden="false" customHeight="false" outlineLevel="0" collapsed="false">
      <c r="B28" s="13" t="s">
        <v>526</v>
      </c>
      <c r="C28" s="119" t="str">
        <f aca="false">IF(OR($C$5=0,MAX(Analytics!$J$7:$J$12)&lt;=0),"-",INDEX(Analytics!$B$7:$B$12,MATCH(MAX(Analytics!$J$7:$J$12),Analytics!$J$7:$J$12,0)))</f>
        <v>London</v>
      </c>
      <c r="E28" s="160" t="n">
        <v>22</v>
      </c>
      <c r="F28" s="160" t="str">
        <f aca="false">IF((Dashboard!$L$27+E28-1)&lt;=$C$5,(Dashboard!$L$27+E28-1),"")</f>
        <v/>
      </c>
      <c r="G28" s="161" t="n">
        <f aca="false">IF((Dashboard!$L$27+E28-1)&lt;=$C$5,INDEX(Journal!$BR$6:$BR$505,MATCH((Dashboard!$L$27+E28-1),Journal!$BQ$6:$BQ$505,0)),G27)</f>
        <v>60229.5</v>
      </c>
      <c r="H28" s="162" t="n">
        <f aca="false">IF((Dashboard!$L$27+E28-1)&lt;=$C$5,INDEX(Journal!$BT$6:$BT$505,MATCH((Dashboard!$L$27+E28-1),Journal!$BQ$6:$BQ$505,0)),H27)</f>
        <v>0</v>
      </c>
    </row>
    <row r="29" customFormat="false" ht="15" hidden="false" customHeight="false" outlineLevel="0" collapsed="false">
      <c r="B29" s="13" t="s">
        <v>527</v>
      </c>
      <c r="C29" s="122" t="n">
        <f aca="false">IF(C28="-",0,MAX(Analytics!$J$7:$J$12))</f>
        <v>229.5</v>
      </c>
      <c r="E29" s="160" t="n">
        <v>23</v>
      </c>
      <c r="F29" s="160" t="str">
        <f aca="false">IF((Dashboard!$L$27+E29-1)&lt;=$C$5,(Dashboard!$L$27+E29-1),"")</f>
        <v/>
      </c>
      <c r="G29" s="161" t="n">
        <f aca="false">IF((Dashboard!$L$27+E29-1)&lt;=$C$5,INDEX(Journal!$BR$6:$BR$505,MATCH((Dashboard!$L$27+E29-1),Journal!$BQ$6:$BQ$505,0)),G28)</f>
        <v>60229.5</v>
      </c>
      <c r="H29" s="162" t="n">
        <f aca="false">IF((Dashboard!$L$27+E29-1)&lt;=$C$5,INDEX(Journal!$BT$6:$BT$505,MATCH((Dashboard!$L$27+E29-1),Journal!$BQ$6:$BQ$505,0)),H28)</f>
        <v>0</v>
      </c>
    </row>
    <row r="30" customFormat="false" ht="23.85" hidden="false" customHeight="false" outlineLevel="0" collapsed="false">
      <c r="B30" s="13" t="s">
        <v>528</v>
      </c>
      <c r="C30" s="119" t="str">
        <f aca="false">IF(OR($C$5=0,MAX(Analytics!$J$33:$J$44)&lt;=0),"-",INDEX(Analytics!$B$33:$B$44,MATCH(MAX(Analytics!$J$33:$J$44),Analytics!$J$33:$J$44,0)))</f>
        <v>Liquidity Sweep Reversal</v>
      </c>
      <c r="E30" s="160" t="n">
        <v>24</v>
      </c>
      <c r="F30" s="160" t="str">
        <f aca="false">IF((Dashboard!$L$27+E30-1)&lt;=$C$5,(Dashboard!$L$27+E30-1),"")</f>
        <v/>
      </c>
      <c r="G30" s="161" t="n">
        <f aca="false">IF((Dashboard!$L$27+E30-1)&lt;=$C$5,INDEX(Journal!$BR$6:$BR$505,MATCH((Dashboard!$L$27+E30-1),Journal!$BQ$6:$BQ$505,0)),G29)</f>
        <v>60229.5</v>
      </c>
      <c r="H30" s="162" t="n">
        <f aca="false">IF((Dashboard!$L$27+E30-1)&lt;=$C$5,INDEX(Journal!$BT$6:$BT$505,MATCH((Dashboard!$L$27+E30-1),Journal!$BQ$6:$BQ$505,0)),H29)</f>
        <v>0</v>
      </c>
    </row>
    <row r="31" customFormat="false" ht="15" hidden="false" customHeight="false" outlineLevel="0" collapsed="false">
      <c r="B31" s="13" t="s">
        <v>529</v>
      </c>
      <c r="C31" s="122" t="n">
        <f aca="false">IF(C30="-",0,MAX(Analytics!$J$33:$J$44))</f>
        <v>229.5</v>
      </c>
      <c r="E31" s="160" t="n">
        <v>25</v>
      </c>
      <c r="F31" s="160" t="str">
        <f aca="false">IF((Dashboard!$L$27+E31-1)&lt;=$C$5,(Dashboard!$L$27+E31-1),"")</f>
        <v/>
      </c>
      <c r="G31" s="161" t="n">
        <f aca="false">IF((Dashboard!$L$27+E31-1)&lt;=$C$5,INDEX(Journal!$BR$6:$BR$505,MATCH((Dashboard!$L$27+E31-1),Journal!$BQ$6:$BQ$505,0)),G30)</f>
        <v>60229.5</v>
      </c>
      <c r="H31" s="162" t="n">
        <f aca="false">IF((Dashboard!$L$27+E31-1)&lt;=$C$5,INDEX(Journal!$BT$6:$BT$505,MATCH((Dashboard!$L$27+E31-1),Journal!$BQ$6:$BQ$505,0)),H30)</f>
        <v>0</v>
      </c>
    </row>
    <row r="32" customFormat="false" ht="15" hidden="false" customHeight="false" outlineLevel="0" collapsed="false">
      <c r="B32" s="13" t="s">
        <v>530</v>
      </c>
      <c r="C32" s="119" t="str">
        <f aca="false">IF(OR($C$5=0,MAX(Analytics!$J$17:$J$28)&lt;=0),"-",INDEX(Analytics!$B$17:$B$28,MATCH(MAX(Analytics!$J$17:$J$28),Analytics!$J$17:$J$28,0)))</f>
        <v>XAUUSD</v>
      </c>
      <c r="E32" s="160" t="n">
        <v>26</v>
      </c>
      <c r="F32" s="160" t="str">
        <f aca="false">IF((Dashboard!$L$27+E32-1)&lt;=$C$5,(Dashboard!$L$27+E32-1),"")</f>
        <v/>
      </c>
      <c r="G32" s="161" t="n">
        <f aca="false">IF((Dashboard!$L$27+E32-1)&lt;=$C$5,INDEX(Journal!$BR$6:$BR$505,MATCH((Dashboard!$L$27+E32-1),Journal!$BQ$6:$BQ$505,0)),G31)</f>
        <v>60229.5</v>
      </c>
      <c r="H32" s="162" t="n">
        <f aca="false">IF((Dashboard!$L$27+E32-1)&lt;=$C$5,INDEX(Journal!$BT$6:$BT$505,MATCH((Dashboard!$L$27+E32-1),Journal!$BQ$6:$BQ$505,0)),H31)</f>
        <v>0</v>
      </c>
    </row>
    <row r="33" customFormat="false" ht="15" hidden="false" customHeight="false" outlineLevel="0" collapsed="false">
      <c r="B33" s="13" t="s">
        <v>531</v>
      </c>
      <c r="C33" s="122" t="n">
        <f aca="false">IF(C32="-",0,MAX(Analytics!$J$17:$J$28))</f>
        <v>229.5</v>
      </c>
      <c r="E33" s="160" t="n">
        <v>27</v>
      </c>
      <c r="F33" s="160" t="str">
        <f aca="false">IF((Dashboard!$L$27+E33-1)&lt;=$C$5,(Dashboard!$L$27+E33-1),"")</f>
        <v/>
      </c>
      <c r="G33" s="161" t="n">
        <f aca="false">IF((Dashboard!$L$27+E33-1)&lt;=$C$5,INDEX(Journal!$BR$6:$BR$505,MATCH((Dashboard!$L$27+E33-1),Journal!$BQ$6:$BQ$505,0)),G32)</f>
        <v>60229.5</v>
      </c>
      <c r="H33" s="162" t="n">
        <f aca="false">IF((Dashboard!$L$27+E33-1)&lt;=$C$5,INDEX(Journal!$BT$6:$BT$505,MATCH((Dashboard!$L$27+E33-1),Journal!$BQ$6:$BQ$505,0)),H32)</f>
        <v>0</v>
      </c>
    </row>
    <row r="34" customFormat="false" ht="15" hidden="false" customHeight="false" outlineLevel="0" collapsed="false">
      <c r="B34" s="13" t="s">
        <v>532</v>
      </c>
      <c r="C34" s="119" t="str">
        <f aca="false">IF(OR($C$5=0,MAX(Analytics!$J$101:$J$107)&lt;=0),"-",INDEX(Analytics!$B$101:$B$107,MATCH(MAX(Analytics!$J$101:$J$107),Analytics!$J$101:$J$107,0)))</f>
        <v>Mon</v>
      </c>
      <c r="E34" s="160" t="n">
        <v>28</v>
      </c>
      <c r="F34" s="160" t="str">
        <f aca="false">IF((Dashboard!$L$27+E34-1)&lt;=$C$5,(Dashboard!$L$27+E34-1),"")</f>
        <v/>
      </c>
      <c r="G34" s="161" t="n">
        <f aca="false">IF((Dashboard!$L$27+E34-1)&lt;=$C$5,INDEX(Journal!$BR$6:$BR$505,MATCH((Dashboard!$L$27+E34-1),Journal!$BQ$6:$BQ$505,0)),G33)</f>
        <v>60229.5</v>
      </c>
      <c r="H34" s="162" t="n">
        <f aca="false">IF((Dashboard!$L$27+E34-1)&lt;=$C$5,INDEX(Journal!$BT$6:$BT$505,MATCH((Dashboard!$L$27+E34-1),Journal!$BQ$6:$BQ$505,0)),H33)</f>
        <v>0</v>
      </c>
    </row>
    <row r="35" customFormat="false" ht="15" hidden="false" customHeight="false" outlineLevel="0" collapsed="false">
      <c r="B35" s="13" t="s">
        <v>533</v>
      </c>
      <c r="C35" s="122" t="n">
        <f aca="false">IF(C34="-",0,MAX(Analytics!$J$101:$J$107))</f>
        <v>229.5</v>
      </c>
      <c r="E35" s="160" t="n">
        <v>29</v>
      </c>
      <c r="F35" s="160" t="str">
        <f aca="false">IF((Dashboard!$L$27+E35-1)&lt;=$C$5,(Dashboard!$L$27+E35-1),"")</f>
        <v/>
      </c>
      <c r="G35" s="161" t="n">
        <f aca="false">IF((Dashboard!$L$27+E35-1)&lt;=$C$5,INDEX(Journal!$BR$6:$BR$505,MATCH((Dashboard!$L$27+E35-1),Journal!$BQ$6:$BQ$505,0)),G34)</f>
        <v>60229.5</v>
      </c>
      <c r="H35" s="162" t="n">
        <f aca="false">IF((Dashboard!$L$27+E35-1)&lt;=$C$5,INDEX(Journal!$BT$6:$BT$505,MATCH((Dashboard!$L$27+E35-1),Journal!$BQ$6:$BQ$505,0)),H34)</f>
        <v>0</v>
      </c>
    </row>
    <row r="36" customFormat="false" ht="15" hidden="false" customHeight="false" outlineLevel="0" collapsed="false">
      <c r="B36" s="13" t="s">
        <v>534</v>
      </c>
      <c r="C36" s="119" t="str">
        <f aca="false">IF(OR($C$5=0,MIN(Analytics!$J$33:$J$44)&gt;=0),"None yet",INDEX(Analytics!$B$33:$B$44,MATCH(MIN(Analytics!$J$33:$J$44),Analytics!$J$33:$J$44,0)))</f>
        <v>None yet</v>
      </c>
      <c r="E36" s="160" t="n">
        <v>30</v>
      </c>
      <c r="F36" s="160" t="str">
        <f aca="false">IF((Dashboard!$L$27+E36-1)&lt;=$C$5,(Dashboard!$L$27+E36-1),"")</f>
        <v/>
      </c>
      <c r="G36" s="161" t="n">
        <f aca="false">IF((Dashboard!$L$27+E36-1)&lt;=$C$5,INDEX(Journal!$BR$6:$BR$505,MATCH((Dashboard!$L$27+E36-1),Journal!$BQ$6:$BQ$505,0)),G35)</f>
        <v>60229.5</v>
      </c>
      <c r="H36" s="162" t="n">
        <f aca="false">IF((Dashboard!$L$27+E36-1)&lt;=$C$5,INDEX(Journal!$BT$6:$BT$505,MATCH((Dashboard!$L$27+E36-1),Journal!$BQ$6:$BQ$505,0)),H35)</f>
        <v>0</v>
      </c>
    </row>
    <row r="37" customFormat="false" ht="15" hidden="false" customHeight="false" outlineLevel="0" collapsed="false">
      <c r="B37" s="13" t="s">
        <v>535</v>
      </c>
      <c r="C37" s="122" t="n">
        <f aca="false">IF(C36="None yet",0,MIN(Analytics!$J$33:$J$44))</f>
        <v>0</v>
      </c>
      <c r="E37" s="160" t="n">
        <v>31</v>
      </c>
      <c r="F37" s="160" t="str">
        <f aca="false">IF((Dashboard!$L$27+E37-1)&lt;=$C$5,(Dashboard!$L$27+E37-1),"")</f>
        <v/>
      </c>
      <c r="G37" s="161" t="n">
        <f aca="false">IF((Dashboard!$L$27+E37-1)&lt;=$C$5,INDEX(Journal!$BR$6:$BR$505,MATCH((Dashboard!$L$27+E37-1),Journal!$BQ$6:$BQ$505,0)),G36)</f>
        <v>60229.5</v>
      </c>
      <c r="H37" s="162" t="n">
        <f aca="false">IF((Dashboard!$L$27+E37-1)&lt;=$C$5,INDEX(Journal!$BT$6:$BT$505,MATCH((Dashboard!$L$27+E37-1),Journal!$BQ$6:$BQ$505,0)),H36)</f>
        <v>0</v>
      </c>
    </row>
    <row r="38" customFormat="false" ht="15" hidden="false" customHeight="false" outlineLevel="0" collapsed="false">
      <c r="B38" s="13" t="s">
        <v>536</v>
      </c>
      <c r="C38" s="119" t="str">
        <f aca="false">IF(OR($C$5=0,MIN(Analytics!$J$160:$J$169)&gt;=0),"None yet",INDEX(Analytics!$B$160:$B$169,MATCH(MIN(Analytics!$J$160:$J$169),Analytics!$J$160:$J$169,0)))</f>
        <v>None yet</v>
      </c>
      <c r="E38" s="160" t="n">
        <v>32</v>
      </c>
      <c r="F38" s="160" t="str">
        <f aca="false">IF((Dashboard!$L$27+E38-1)&lt;=$C$5,(Dashboard!$L$27+E38-1),"")</f>
        <v/>
      </c>
      <c r="G38" s="161" t="n">
        <f aca="false">IF((Dashboard!$L$27+E38-1)&lt;=$C$5,INDEX(Journal!$BR$6:$BR$505,MATCH((Dashboard!$L$27+E38-1),Journal!$BQ$6:$BQ$505,0)),G37)</f>
        <v>60229.5</v>
      </c>
      <c r="H38" s="162" t="n">
        <f aca="false">IF((Dashboard!$L$27+E38-1)&lt;=$C$5,INDEX(Journal!$BT$6:$BT$505,MATCH((Dashboard!$L$27+E38-1),Journal!$BQ$6:$BQ$505,0)),H37)</f>
        <v>0</v>
      </c>
    </row>
    <row r="39" customFormat="false" ht="15" hidden="false" customHeight="false" outlineLevel="0" collapsed="false">
      <c r="B39" s="13" t="s">
        <v>537</v>
      </c>
      <c r="C39" s="122" t="n">
        <f aca="false">IF(C38="None yet",0,MIN(Analytics!$J$160:$J$169))</f>
        <v>0</v>
      </c>
      <c r="E39" s="160" t="n">
        <v>33</v>
      </c>
      <c r="F39" s="160" t="str">
        <f aca="false">IF((Dashboard!$L$27+E39-1)&lt;=$C$5,(Dashboard!$L$27+E39-1),"")</f>
        <v/>
      </c>
      <c r="G39" s="161" t="n">
        <f aca="false">IF((Dashboard!$L$27+E39-1)&lt;=$C$5,INDEX(Journal!$BR$6:$BR$505,MATCH((Dashboard!$L$27+E39-1),Journal!$BQ$6:$BQ$505,0)),G38)</f>
        <v>60229.5</v>
      </c>
      <c r="H39" s="162" t="n">
        <f aca="false">IF((Dashboard!$L$27+E39-1)&lt;=$C$5,INDEX(Journal!$BT$6:$BT$505,MATCH((Dashboard!$L$27+E39-1),Journal!$BQ$6:$BQ$505,0)),H38)</f>
        <v>0</v>
      </c>
    </row>
    <row r="40" customFormat="false" ht="15" hidden="false" customHeight="false" outlineLevel="0" collapsed="false">
      <c r="E40" s="160" t="n">
        <v>34</v>
      </c>
      <c r="F40" s="160" t="str">
        <f aca="false">IF((Dashboard!$L$27+E40-1)&lt;=$C$5,(Dashboard!$L$27+E40-1),"")</f>
        <v/>
      </c>
      <c r="G40" s="161" t="n">
        <f aca="false">IF((Dashboard!$L$27+E40-1)&lt;=$C$5,INDEX(Journal!$BR$6:$BR$505,MATCH((Dashboard!$L$27+E40-1),Journal!$BQ$6:$BQ$505,0)),G39)</f>
        <v>60229.5</v>
      </c>
      <c r="H40" s="162" t="n">
        <f aca="false">IF((Dashboard!$L$27+E40-1)&lt;=$C$5,INDEX(Journal!$BT$6:$BT$505,MATCH((Dashboard!$L$27+E40-1),Journal!$BQ$6:$BQ$505,0)),H39)</f>
        <v>0</v>
      </c>
    </row>
    <row r="41" customFormat="false" ht="15" hidden="false" customHeight="false" outlineLevel="0" collapsed="false">
      <c r="E41" s="160" t="n">
        <v>35</v>
      </c>
      <c r="F41" s="160" t="str">
        <f aca="false">IF((Dashboard!$L$27+E41-1)&lt;=$C$5,(Dashboard!$L$27+E41-1),"")</f>
        <v/>
      </c>
      <c r="G41" s="161" t="n">
        <f aca="false">IF((Dashboard!$L$27+E41-1)&lt;=$C$5,INDEX(Journal!$BR$6:$BR$505,MATCH((Dashboard!$L$27+E41-1),Journal!$BQ$6:$BQ$505,0)),G40)</f>
        <v>60229.5</v>
      </c>
      <c r="H41" s="162" t="n">
        <f aca="false">IF((Dashboard!$L$27+E41-1)&lt;=$C$5,INDEX(Journal!$BT$6:$BT$505,MATCH((Dashboard!$L$27+E41-1),Journal!$BQ$6:$BQ$505,0)),H40)</f>
        <v>0</v>
      </c>
    </row>
    <row r="42" customFormat="false" ht="15" hidden="false" customHeight="false" outlineLevel="0" collapsed="false">
      <c r="E42" s="160" t="n">
        <v>36</v>
      </c>
      <c r="F42" s="160" t="str">
        <f aca="false">IF((Dashboard!$L$27+E42-1)&lt;=$C$5,(Dashboard!$L$27+E42-1),"")</f>
        <v/>
      </c>
      <c r="G42" s="161" t="n">
        <f aca="false">IF((Dashboard!$L$27+E42-1)&lt;=$C$5,INDEX(Journal!$BR$6:$BR$505,MATCH((Dashboard!$L$27+E42-1),Journal!$BQ$6:$BQ$505,0)),G41)</f>
        <v>60229.5</v>
      </c>
      <c r="H42" s="162" t="n">
        <f aca="false">IF((Dashboard!$L$27+E42-1)&lt;=$C$5,INDEX(Journal!$BT$6:$BT$505,MATCH((Dashboard!$L$27+E42-1),Journal!$BQ$6:$BQ$505,0)),H41)</f>
        <v>0</v>
      </c>
    </row>
    <row r="43" customFormat="false" ht="15" hidden="false" customHeight="false" outlineLevel="0" collapsed="false">
      <c r="E43" s="160" t="n">
        <v>37</v>
      </c>
      <c r="F43" s="160" t="str">
        <f aca="false">IF((Dashboard!$L$27+E43-1)&lt;=$C$5,(Dashboard!$L$27+E43-1),"")</f>
        <v/>
      </c>
      <c r="G43" s="161" t="n">
        <f aca="false">IF((Dashboard!$L$27+E43-1)&lt;=$C$5,INDEX(Journal!$BR$6:$BR$505,MATCH((Dashboard!$L$27+E43-1),Journal!$BQ$6:$BQ$505,0)),G42)</f>
        <v>60229.5</v>
      </c>
      <c r="H43" s="162" t="n">
        <f aca="false">IF((Dashboard!$L$27+E43-1)&lt;=$C$5,INDEX(Journal!$BT$6:$BT$505,MATCH((Dashboard!$L$27+E43-1),Journal!$BQ$6:$BQ$505,0)),H42)</f>
        <v>0</v>
      </c>
    </row>
    <row r="44" customFormat="false" ht="15" hidden="false" customHeight="false" outlineLevel="0" collapsed="false">
      <c r="E44" s="160" t="n">
        <v>38</v>
      </c>
      <c r="F44" s="160" t="str">
        <f aca="false">IF((Dashboard!$L$27+E44-1)&lt;=$C$5,(Dashboard!$L$27+E44-1),"")</f>
        <v/>
      </c>
      <c r="G44" s="161" t="n">
        <f aca="false">IF((Dashboard!$L$27+E44-1)&lt;=$C$5,INDEX(Journal!$BR$6:$BR$505,MATCH((Dashboard!$L$27+E44-1),Journal!$BQ$6:$BQ$505,0)),G43)</f>
        <v>60229.5</v>
      </c>
      <c r="H44" s="162" t="n">
        <f aca="false">IF((Dashboard!$L$27+E44-1)&lt;=$C$5,INDEX(Journal!$BT$6:$BT$505,MATCH((Dashboard!$L$27+E44-1),Journal!$BQ$6:$BQ$505,0)),H43)</f>
        <v>0</v>
      </c>
    </row>
    <row r="45" customFormat="false" ht="15" hidden="false" customHeight="false" outlineLevel="0" collapsed="false">
      <c r="E45" s="160" t="n">
        <v>39</v>
      </c>
      <c r="F45" s="160" t="str">
        <f aca="false">IF((Dashboard!$L$27+E45-1)&lt;=$C$5,(Dashboard!$L$27+E45-1),"")</f>
        <v/>
      </c>
      <c r="G45" s="161" t="n">
        <f aca="false">IF((Dashboard!$L$27+E45-1)&lt;=$C$5,INDEX(Journal!$BR$6:$BR$505,MATCH((Dashboard!$L$27+E45-1),Journal!$BQ$6:$BQ$505,0)),G44)</f>
        <v>60229.5</v>
      </c>
      <c r="H45" s="162" t="n">
        <f aca="false">IF((Dashboard!$L$27+E45-1)&lt;=$C$5,INDEX(Journal!$BT$6:$BT$505,MATCH((Dashboard!$L$27+E45-1),Journal!$BQ$6:$BQ$505,0)),H44)</f>
        <v>0</v>
      </c>
    </row>
    <row r="46" customFormat="false" ht="15" hidden="false" customHeight="false" outlineLevel="0" collapsed="false">
      <c r="E46" s="160" t="n">
        <v>40</v>
      </c>
      <c r="F46" s="160" t="str">
        <f aca="false">IF((Dashboard!$L$27+E46-1)&lt;=$C$5,(Dashboard!$L$27+E46-1),"")</f>
        <v/>
      </c>
      <c r="G46" s="161" t="n">
        <f aca="false">IF((Dashboard!$L$27+E46-1)&lt;=$C$5,INDEX(Journal!$BR$6:$BR$505,MATCH((Dashboard!$L$27+E46-1),Journal!$BQ$6:$BQ$505,0)),G45)</f>
        <v>60229.5</v>
      </c>
      <c r="H46" s="162" t="n">
        <f aca="false">IF((Dashboard!$L$27+E46-1)&lt;=$C$5,INDEX(Journal!$BT$6:$BT$505,MATCH((Dashboard!$L$27+E46-1),Journal!$BQ$6:$BQ$505,0)),H45)</f>
        <v>0</v>
      </c>
    </row>
    <row r="47" customFormat="false" ht="15" hidden="false" customHeight="false" outlineLevel="0" collapsed="false">
      <c r="E47" s="160" t="n">
        <v>41</v>
      </c>
      <c r="F47" s="160" t="str">
        <f aca="false">IF((Dashboard!$L$27+E47-1)&lt;=$C$5,(Dashboard!$L$27+E47-1),"")</f>
        <v/>
      </c>
      <c r="G47" s="161" t="n">
        <f aca="false">IF((Dashboard!$L$27+E47-1)&lt;=$C$5,INDEX(Journal!$BR$6:$BR$505,MATCH((Dashboard!$L$27+E47-1),Journal!$BQ$6:$BQ$505,0)),G46)</f>
        <v>60229.5</v>
      </c>
      <c r="H47" s="162" t="n">
        <f aca="false">IF((Dashboard!$L$27+E47-1)&lt;=$C$5,INDEX(Journal!$BT$6:$BT$505,MATCH((Dashboard!$L$27+E47-1),Journal!$BQ$6:$BQ$505,0)),H46)</f>
        <v>0</v>
      </c>
    </row>
    <row r="48" customFormat="false" ht="15" hidden="false" customHeight="false" outlineLevel="0" collapsed="false">
      <c r="E48" s="160" t="n">
        <v>42</v>
      </c>
      <c r="F48" s="160" t="str">
        <f aca="false">IF((Dashboard!$L$27+E48-1)&lt;=$C$5,(Dashboard!$L$27+E48-1),"")</f>
        <v/>
      </c>
      <c r="G48" s="161" t="n">
        <f aca="false">IF((Dashboard!$L$27+E48-1)&lt;=$C$5,INDEX(Journal!$BR$6:$BR$505,MATCH((Dashboard!$L$27+E48-1),Journal!$BQ$6:$BQ$505,0)),G47)</f>
        <v>60229.5</v>
      </c>
      <c r="H48" s="162" t="n">
        <f aca="false">IF((Dashboard!$L$27+E48-1)&lt;=$C$5,INDEX(Journal!$BT$6:$BT$505,MATCH((Dashboard!$L$27+E48-1),Journal!$BQ$6:$BQ$505,0)),H47)</f>
        <v>0</v>
      </c>
    </row>
    <row r="49" customFormat="false" ht="15" hidden="false" customHeight="false" outlineLevel="0" collapsed="false">
      <c r="E49" s="160" t="n">
        <v>43</v>
      </c>
      <c r="F49" s="160" t="str">
        <f aca="false">IF((Dashboard!$L$27+E49-1)&lt;=$C$5,(Dashboard!$L$27+E49-1),"")</f>
        <v/>
      </c>
      <c r="G49" s="161" t="n">
        <f aca="false">IF((Dashboard!$L$27+E49-1)&lt;=$C$5,INDEX(Journal!$BR$6:$BR$505,MATCH((Dashboard!$L$27+E49-1),Journal!$BQ$6:$BQ$505,0)),G48)</f>
        <v>60229.5</v>
      </c>
      <c r="H49" s="162" t="n">
        <f aca="false">IF((Dashboard!$L$27+E49-1)&lt;=$C$5,INDEX(Journal!$BT$6:$BT$505,MATCH((Dashboard!$L$27+E49-1),Journal!$BQ$6:$BQ$505,0)),H48)</f>
        <v>0</v>
      </c>
    </row>
    <row r="50" customFormat="false" ht="15" hidden="false" customHeight="false" outlineLevel="0" collapsed="false">
      <c r="E50" s="160" t="n">
        <v>44</v>
      </c>
      <c r="F50" s="160" t="str">
        <f aca="false">IF((Dashboard!$L$27+E50-1)&lt;=$C$5,(Dashboard!$L$27+E50-1),"")</f>
        <v/>
      </c>
      <c r="G50" s="161" t="n">
        <f aca="false">IF((Dashboard!$L$27+E50-1)&lt;=$C$5,INDEX(Journal!$BR$6:$BR$505,MATCH((Dashboard!$L$27+E50-1),Journal!$BQ$6:$BQ$505,0)),G49)</f>
        <v>60229.5</v>
      </c>
      <c r="H50" s="162" t="n">
        <f aca="false">IF((Dashboard!$L$27+E50-1)&lt;=$C$5,INDEX(Journal!$BT$6:$BT$505,MATCH((Dashboard!$L$27+E50-1),Journal!$BQ$6:$BQ$505,0)),H49)</f>
        <v>0</v>
      </c>
    </row>
    <row r="51" customFormat="false" ht="15" hidden="false" customHeight="false" outlineLevel="0" collapsed="false">
      <c r="E51" s="160" t="n">
        <v>45</v>
      </c>
      <c r="F51" s="160" t="str">
        <f aca="false">IF((Dashboard!$L$27+E51-1)&lt;=$C$5,(Dashboard!$L$27+E51-1),"")</f>
        <v/>
      </c>
      <c r="G51" s="161" t="n">
        <f aca="false">IF((Dashboard!$L$27+E51-1)&lt;=$C$5,INDEX(Journal!$BR$6:$BR$505,MATCH((Dashboard!$L$27+E51-1),Journal!$BQ$6:$BQ$505,0)),G50)</f>
        <v>60229.5</v>
      </c>
      <c r="H51" s="162" t="n">
        <f aca="false">IF((Dashboard!$L$27+E51-1)&lt;=$C$5,INDEX(Journal!$BT$6:$BT$505,MATCH((Dashboard!$L$27+E51-1),Journal!$BQ$6:$BQ$505,0)),H50)</f>
        <v>0</v>
      </c>
    </row>
    <row r="52" customFormat="false" ht="15" hidden="false" customHeight="false" outlineLevel="0" collapsed="false">
      <c r="E52" s="160" t="n">
        <v>46</v>
      </c>
      <c r="F52" s="160" t="str">
        <f aca="false">IF((Dashboard!$L$27+E52-1)&lt;=$C$5,(Dashboard!$L$27+E52-1),"")</f>
        <v/>
      </c>
      <c r="G52" s="161" t="n">
        <f aca="false">IF((Dashboard!$L$27+E52-1)&lt;=$C$5,INDEX(Journal!$BR$6:$BR$505,MATCH((Dashboard!$L$27+E52-1),Journal!$BQ$6:$BQ$505,0)),G51)</f>
        <v>60229.5</v>
      </c>
      <c r="H52" s="162" t="n">
        <f aca="false">IF((Dashboard!$L$27+E52-1)&lt;=$C$5,INDEX(Journal!$BT$6:$BT$505,MATCH((Dashboard!$L$27+E52-1),Journal!$BQ$6:$BQ$505,0)),H51)</f>
        <v>0</v>
      </c>
    </row>
    <row r="53" customFormat="false" ht="15" hidden="false" customHeight="false" outlineLevel="0" collapsed="false">
      <c r="E53" s="160" t="n">
        <v>47</v>
      </c>
      <c r="F53" s="160" t="str">
        <f aca="false">IF((Dashboard!$L$27+E53-1)&lt;=$C$5,(Dashboard!$L$27+E53-1),"")</f>
        <v/>
      </c>
      <c r="G53" s="161" t="n">
        <f aca="false">IF((Dashboard!$L$27+E53-1)&lt;=$C$5,INDEX(Journal!$BR$6:$BR$505,MATCH((Dashboard!$L$27+E53-1),Journal!$BQ$6:$BQ$505,0)),G52)</f>
        <v>60229.5</v>
      </c>
      <c r="H53" s="162" t="n">
        <f aca="false">IF((Dashboard!$L$27+E53-1)&lt;=$C$5,INDEX(Journal!$BT$6:$BT$505,MATCH((Dashboard!$L$27+E53-1),Journal!$BQ$6:$BQ$505,0)),H52)</f>
        <v>0</v>
      </c>
    </row>
    <row r="54" customFormat="false" ht="15" hidden="false" customHeight="false" outlineLevel="0" collapsed="false">
      <c r="E54" s="160" t="n">
        <v>48</v>
      </c>
      <c r="F54" s="160" t="str">
        <f aca="false">IF((Dashboard!$L$27+E54-1)&lt;=$C$5,(Dashboard!$L$27+E54-1),"")</f>
        <v/>
      </c>
      <c r="G54" s="161" t="n">
        <f aca="false">IF((Dashboard!$L$27+E54-1)&lt;=$C$5,INDEX(Journal!$BR$6:$BR$505,MATCH((Dashboard!$L$27+E54-1),Journal!$BQ$6:$BQ$505,0)),G53)</f>
        <v>60229.5</v>
      </c>
      <c r="H54" s="162" t="n">
        <f aca="false">IF((Dashboard!$L$27+E54-1)&lt;=$C$5,INDEX(Journal!$BT$6:$BT$505,MATCH((Dashboard!$L$27+E54-1),Journal!$BQ$6:$BQ$505,0)),H53)</f>
        <v>0</v>
      </c>
    </row>
    <row r="55" customFormat="false" ht="15" hidden="false" customHeight="false" outlineLevel="0" collapsed="false">
      <c r="E55" s="160" t="n">
        <v>49</v>
      </c>
      <c r="F55" s="160" t="str">
        <f aca="false">IF((Dashboard!$L$27+E55-1)&lt;=$C$5,(Dashboard!$L$27+E55-1),"")</f>
        <v/>
      </c>
      <c r="G55" s="161" t="n">
        <f aca="false">IF((Dashboard!$L$27+E55-1)&lt;=$C$5,INDEX(Journal!$BR$6:$BR$505,MATCH((Dashboard!$L$27+E55-1),Journal!$BQ$6:$BQ$505,0)),G54)</f>
        <v>60229.5</v>
      </c>
      <c r="H55" s="162" t="n">
        <f aca="false">IF((Dashboard!$L$27+E55-1)&lt;=$C$5,INDEX(Journal!$BT$6:$BT$505,MATCH((Dashboard!$L$27+E55-1),Journal!$BQ$6:$BQ$505,0)),H54)</f>
        <v>0</v>
      </c>
    </row>
    <row r="56" customFormat="false" ht="15" hidden="false" customHeight="false" outlineLevel="0" collapsed="false">
      <c r="E56" s="160" t="n">
        <v>50</v>
      </c>
      <c r="F56" s="160" t="str">
        <f aca="false">IF((Dashboard!$L$27+E56-1)&lt;=$C$5,(Dashboard!$L$27+E56-1),"")</f>
        <v/>
      </c>
      <c r="G56" s="161" t="n">
        <f aca="false">IF((Dashboard!$L$27+E56-1)&lt;=$C$5,INDEX(Journal!$BR$6:$BR$505,MATCH((Dashboard!$L$27+E56-1),Journal!$BQ$6:$BQ$505,0)),G55)</f>
        <v>60229.5</v>
      </c>
      <c r="H56" s="162" t="n">
        <f aca="false">IF((Dashboard!$L$27+E56-1)&lt;=$C$5,INDEX(Journal!$BT$6:$BT$505,MATCH((Dashboard!$L$27+E56-1),Journal!$BQ$6:$BQ$505,0)),H55)</f>
        <v>0</v>
      </c>
    </row>
    <row r="57" customFormat="false" ht="15" hidden="false" customHeight="false" outlineLevel="0" collapsed="false">
      <c r="E57" s="160" t="n">
        <v>51</v>
      </c>
      <c r="F57" s="160" t="str">
        <f aca="false">IF((Dashboard!$L$27+E57-1)&lt;=$C$5,(Dashboard!$L$27+E57-1),"")</f>
        <v/>
      </c>
      <c r="G57" s="161" t="n">
        <f aca="false">IF((Dashboard!$L$27+E57-1)&lt;=$C$5,INDEX(Journal!$BR$6:$BR$505,MATCH((Dashboard!$L$27+E57-1),Journal!$BQ$6:$BQ$505,0)),G56)</f>
        <v>60229.5</v>
      </c>
      <c r="H57" s="162" t="n">
        <f aca="false">IF((Dashboard!$L$27+E57-1)&lt;=$C$5,INDEX(Journal!$BT$6:$BT$505,MATCH((Dashboard!$L$27+E57-1),Journal!$BQ$6:$BQ$505,0)),H56)</f>
        <v>0</v>
      </c>
    </row>
    <row r="58" customFormat="false" ht="15" hidden="false" customHeight="false" outlineLevel="0" collapsed="false">
      <c r="E58" s="160" t="n">
        <v>52</v>
      </c>
      <c r="F58" s="160" t="str">
        <f aca="false">IF((Dashboard!$L$27+E58-1)&lt;=$C$5,(Dashboard!$L$27+E58-1),"")</f>
        <v/>
      </c>
      <c r="G58" s="161" t="n">
        <f aca="false">IF((Dashboard!$L$27+E58-1)&lt;=$C$5,INDEX(Journal!$BR$6:$BR$505,MATCH((Dashboard!$L$27+E58-1),Journal!$BQ$6:$BQ$505,0)),G57)</f>
        <v>60229.5</v>
      </c>
      <c r="H58" s="162" t="n">
        <f aca="false">IF((Dashboard!$L$27+E58-1)&lt;=$C$5,INDEX(Journal!$BT$6:$BT$505,MATCH((Dashboard!$L$27+E58-1),Journal!$BQ$6:$BQ$505,0)),H57)</f>
        <v>0</v>
      </c>
    </row>
    <row r="59" customFormat="false" ht="15" hidden="false" customHeight="false" outlineLevel="0" collapsed="false">
      <c r="E59" s="160" t="n">
        <v>53</v>
      </c>
      <c r="F59" s="160" t="str">
        <f aca="false">IF((Dashboard!$L$27+E59-1)&lt;=$C$5,(Dashboard!$L$27+E59-1),"")</f>
        <v/>
      </c>
      <c r="G59" s="161" t="n">
        <f aca="false">IF((Dashboard!$L$27+E59-1)&lt;=$C$5,INDEX(Journal!$BR$6:$BR$505,MATCH((Dashboard!$L$27+E59-1),Journal!$BQ$6:$BQ$505,0)),G58)</f>
        <v>60229.5</v>
      </c>
      <c r="H59" s="162" t="n">
        <f aca="false">IF((Dashboard!$L$27+E59-1)&lt;=$C$5,INDEX(Journal!$BT$6:$BT$505,MATCH((Dashboard!$L$27+E59-1),Journal!$BQ$6:$BQ$505,0)),H58)</f>
        <v>0</v>
      </c>
    </row>
    <row r="60" customFormat="false" ht="15" hidden="false" customHeight="false" outlineLevel="0" collapsed="false">
      <c r="E60" s="160" t="n">
        <v>54</v>
      </c>
      <c r="F60" s="160" t="str">
        <f aca="false">IF((Dashboard!$L$27+E60-1)&lt;=$C$5,(Dashboard!$L$27+E60-1),"")</f>
        <v/>
      </c>
      <c r="G60" s="161" t="n">
        <f aca="false">IF((Dashboard!$L$27+E60-1)&lt;=$C$5,INDEX(Journal!$BR$6:$BR$505,MATCH((Dashboard!$L$27+E60-1),Journal!$BQ$6:$BQ$505,0)),G59)</f>
        <v>60229.5</v>
      </c>
      <c r="H60" s="162" t="n">
        <f aca="false">IF((Dashboard!$L$27+E60-1)&lt;=$C$5,INDEX(Journal!$BT$6:$BT$505,MATCH((Dashboard!$L$27+E60-1),Journal!$BQ$6:$BQ$505,0)),H59)</f>
        <v>0</v>
      </c>
    </row>
    <row r="61" customFormat="false" ht="15" hidden="false" customHeight="false" outlineLevel="0" collapsed="false">
      <c r="E61" s="160" t="n">
        <v>55</v>
      </c>
      <c r="F61" s="160" t="str">
        <f aca="false">IF((Dashboard!$L$27+E61-1)&lt;=$C$5,(Dashboard!$L$27+E61-1),"")</f>
        <v/>
      </c>
      <c r="G61" s="161" t="n">
        <f aca="false">IF((Dashboard!$L$27+E61-1)&lt;=$C$5,INDEX(Journal!$BR$6:$BR$505,MATCH((Dashboard!$L$27+E61-1),Journal!$BQ$6:$BQ$505,0)),G60)</f>
        <v>60229.5</v>
      </c>
      <c r="H61" s="162" t="n">
        <f aca="false">IF((Dashboard!$L$27+E61-1)&lt;=$C$5,INDEX(Journal!$BT$6:$BT$505,MATCH((Dashboard!$L$27+E61-1),Journal!$BQ$6:$BQ$505,0)),H60)</f>
        <v>0</v>
      </c>
    </row>
    <row r="62" customFormat="false" ht="15" hidden="false" customHeight="false" outlineLevel="0" collapsed="false">
      <c r="E62" s="160" t="n">
        <v>56</v>
      </c>
      <c r="F62" s="160" t="str">
        <f aca="false">IF((Dashboard!$L$27+E62-1)&lt;=$C$5,(Dashboard!$L$27+E62-1),"")</f>
        <v/>
      </c>
      <c r="G62" s="161" t="n">
        <f aca="false">IF((Dashboard!$L$27+E62-1)&lt;=$C$5,INDEX(Journal!$BR$6:$BR$505,MATCH((Dashboard!$L$27+E62-1),Journal!$BQ$6:$BQ$505,0)),G61)</f>
        <v>60229.5</v>
      </c>
      <c r="H62" s="162" t="n">
        <f aca="false">IF((Dashboard!$L$27+E62-1)&lt;=$C$5,INDEX(Journal!$BT$6:$BT$505,MATCH((Dashboard!$L$27+E62-1),Journal!$BQ$6:$BQ$505,0)),H61)</f>
        <v>0</v>
      </c>
    </row>
    <row r="63" customFormat="false" ht="15" hidden="false" customHeight="false" outlineLevel="0" collapsed="false">
      <c r="E63" s="160" t="n">
        <v>57</v>
      </c>
      <c r="F63" s="160" t="str">
        <f aca="false">IF((Dashboard!$L$27+E63-1)&lt;=$C$5,(Dashboard!$L$27+E63-1),"")</f>
        <v/>
      </c>
      <c r="G63" s="161" t="n">
        <f aca="false">IF((Dashboard!$L$27+E63-1)&lt;=$C$5,INDEX(Journal!$BR$6:$BR$505,MATCH((Dashboard!$L$27+E63-1),Journal!$BQ$6:$BQ$505,0)),G62)</f>
        <v>60229.5</v>
      </c>
      <c r="H63" s="162" t="n">
        <f aca="false">IF((Dashboard!$L$27+E63-1)&lt;=$C$5,INDEX(Journal!$BT$6:$BT$505,MATCH((Dashboard!$L$27+E63-1),Journal!$BQ$6:$BQ$505,0)),H62)</f>
        <v>0</v>
      </c>
    </row>
    <row r="64" customFormat="false" ht="15" hidden="false" customHeight="false" outlineLevel="0" collapsed="false">
      <c r="E64" s="160" t="n">
        <v>58</v>
      </c>
      <c r="F64" s="160" t="str">
        <f aca="false">IF((Dashboard!$L$27+E64-1)&lt;=$C$5,(Dashboard!$L$27+E64-1),"")</f>
        <v/>
      </c>
      <c r="G64" s="161" t="n">
        <f aca="false">IF((Dashboard!$L$27+E64-1)&lt;=$C$5,INDEX(Journal!$BR$6:$BR$505,MATCH((Dashboard!$L$27+E64-1),Journal!$BQ$6:$BQ$505,0)),G63)</f>
        <v>60229.5</v>
      </c>
      <c r="H64" s="162" t="n">
        <f aca="false">IF((Dashboard!$L$27+E64-1)&lt;=$C$5,INDEX(Journal!$BT$6:$BT$505,MATCH((Dashboard!$L$27+E64-1),Journal!$BQ$6:$BQ$505,0)),H63)</f>
        <v>0</v>
      </c>
    </row>
    <row r="65" customFormat="false" ht="15" hidden="false" customHeight="false" outlineLevel="0" collapsed="false">
      <c r="E65" s="160" t="n">
        <v>59</v>
      </c>
      <c r="F65" s="160" t="str">
        <f aca="false">IF((Dashboard!$L$27+E65-1)&lt;=$C$5,(Dashboard!$L$27+E65-1),"")</f>
        <v/>
      </c>
      <c r="G65" s="161" t="n">
        <f aca="false">IF((Dashboard!$L$27+E65-1)&lt;=$C$5,INDEX(Journal!$BR$6:$BR$505,MATCH((Dashboard!$L$27+E65-1),Journal!$BQ$6:$BQ$505,0)),G64)</f>
        <v>60229.5</v>
      </c>
      <c r="H65" s="162" t="n">
        <f aca="false">IF((Dashboard!$L$27+E65-1)&lt;=$C$5,INDEX(Journal!$BT$6:$BT$505,MATCH((Dashboard!$L$27+E65-1),Journal!$BQ$6:$BQ$505,0)),H64)</f>
        <v>0</v>
      </c>
    </row>
    <row r="66" customFormat="false" ht="15" hidden="false" customHeight="false" outlineLevel="0" collapsed="false">
      <c r="E66" s="160" t="n">
        <v>60</v>
      </c>
      <c r="F66" s="160" t="str">
        <f aca="false">IF((Dashboard!$L$27+E66-1)&lt;=$C$5,(Dashboard!$L$27+E66-1),"")</f>
        <v/>
      </c>
      <c r="G66" s="161" t="n">
        <f aca="false">IF((Dashboard!$L$27+E66-1)&lt;=$C$5,INDEX(Journal!$BR$6:$BR$505,MATCH((Dashboard!$L$27+E66-1),Journal!$BQ$6:$BQ$505,0)),G65)</f>
        <v>60229.5</v>
      </c>
      <c r="H66" s="162" t="n">
        <f aca="false">IF((Dashboard!$L$27+E66-1)&lt;=$C$5,INDEX(Journal!$BT$6:$BT$505,MATCH((Dashboard!$L$27+E66-1),Journal!$BQ$6:$BQ$505,0)),H65)</f>
        <v>0</v>
      </c>
    </row>
    <row r="67" customFormat="false" ht="15" hidden="false" customHeight="false" outlineLevel="0" collapsed="false">
      <c r="E67" s="160" t="n">
        <v>61</v>
      </c>
      <c r="F67" s="160" t="str">
        <f aca="false">IF((Dashboard!$L$27+E67-1)&lt;=$C$5,(Dashboard!$L$27+E67-1),"")</f>
        <v/>
      </c>
      <c r="G67" s="161" t="n">
        <f aca="false">IF((Dashboard!$L$27+E67-1)&lt;=$C$5,INDEX(Journal!$BR$6:$BR$505,MATCH((Dashboard!$L$27+E67-1),Journal!$BQ$6:$BQ$505,0)),G66)</f>
        <v>60229.5</v>
      </c>
      <c r="H67" s="162" t="n">
        <f aca="false">IF((Dashboard!$L$27+E67-1)&lt;=$C$5,INDEX(Journal!$BT$6:$BT$505,MATCH((Dashboard!$L$27+E67-1),Journal!$BQ$6:$BQ$505,0)),H66)</f>
        <v>0</v>
      </c>
    </row>
    <row r="68" customFormat="false" ht="15" hidden="false" customHeight="false" outlineLevel="0" collapsed="false">
      <c r="E68" s="160" t="n">
        <v>62</v>
      </c>
      <c r="F68" s="160" t="str">
        <f aca="false">IF((Dashboard!$L$27+E68-1)&lt;=$C$5,(Dashboard!$L$27+E68-1),"")</f>
        <v/>
      </c>
      <c r="G68" s="161" t="n">
        <f aca="false">IF((Dashboard!$L$27+E68-1)&lt;=$C$5,INDEX(Journal!$BR$6:$BR$505,MATCH((Dashboard!$L$27+E68-1),Journal!$BQ$6:$BQ$505,0)),G67)</f>
        <v>60229.5</v>
      </c>
      <c r="H68" s="162" t="n">
        <f aca="false">IF((Dashboard!$L$27+E68-1)&lt;=$C$5,INDEX(Journal!$BT$6:$BT$505,MATCH((Dashboard!$L$27+E68-1),Journal!$BQ$6:$BQ$505,0)),H67)</f>
        <v>0</v>
      </c>
    </row>
    <row r="69" customFormat="false" ht="15" hidden="false" customHeight="false" outlineLevel="0" collapsed="false">
      <c r="E69" s="160" t="n">
        <v>63</v>
      </c>
      <c r="F69" s="160" t="str">
        <f aca="false">IF((Dashboard!$L$27+E69-1)&lt;=$C$5,(Dashboard!$L$27+E69-1),"")</f>
        <v/>
      </c>
      <c r="G69" s="161" t="n">
        <f aca="false">IF((Dashboard!$L$27+E69-1)&lt;=$C$5,INDEX(Journal!$BR$6:$BR$505,MATCH((Dashboard!$L$27+E69-1),Journal!$BQ$6:$BQ$505,0)),G68)</f>
        <v>60229.5</v>
      </c>
      <c r="H69" s="162" t="n">
        <f aca="false">IF((Dashboard!$L$27+E69-1)&lt;=$C$5,INDEX(Journal!$BT$6:$BT$505,MATCH((Dashboard!$L$27+E69-1),Journal!$BQ$6:$BQ$505,0)),H68)</f>
        <v>0</v>
      </c>
    </row>
    <row r="70" customFormat="false" ht="15" hidden="false" customHeight="false" outlineLevel="0" collapsed="false">
      <c r="E70" s="160" t="n">
        <v>64</v>
      </c>
      <c r="F70" s="160" t="str">
        <f aca="false">IF((Dashboard!$L$27+E70-1)&lt;=$C$5,(Dashboard!$L$27+E70-1),"")</f>
        <v/>
      </c>
      <c r="G70" s="161" t="n">
        <f aca="false">IF((Dashboard!$L$27+E70-1)&lt;=$C$5,INDEX(Journal!$BR$6:$BR$505,MATCH((Dashboard!$L$27+E70-1),Journal!$BQ$6:$BQ$505,0)),G69)</f>
        <v>60229.5</v>
      </c>
      <c r="H70" s="162" t="n">
        <f aca="false">IF((Dashboard!$L$27+E70-1)&lt;=$C$5,INDEX(Journal!$BT$6:$BT$505,MATCH((Dashboard!$L$27+E70-1),Journal!$BQ$6:$BQ$505,0)),H69)</f>
        <v>0</v>
      </c>
    </row>
    <row r="71" customFormat="false" ht="15" hidden="false" customHeight="false" outlineLevel="0" collapsed="false">
      <c r="E71" s="160" t="n">
        <v>65</v>
      </c>
      <c r="F71" s="160" t="str">
        <f aca="false">IF((Dashboard!$L$27+E71-1)&lt;=$C$5,(Dashboard!$L$27+E71-1),"")</f>
        <v/>
      </c>
      <c r="G71" s="161" t="n">
        <f aca="false">IF((Dashboard!$L$27+E71-1)&lt;=$C$5,INDEX(Journal!$BR$6:$BR$505,MATCH((Dashboard!$L$27+E71-1),Journal!$BQ$6:$BQ$505,0)),G70)</f>
        <v>60229.5</v>
      </c>
      <c r="H71" s="162" t="n">
        <f aca="false">IF((Dashboard!$L$27+E71-1)&lt;=$C$5,INDEX(Journal!$BT$6:$BT$505,MATCH((Dashboard!$L$27+E71-1),Journal!$BQ$6:$BQ$505,0)),H70)</f>
        <v>0</v>
      </c>
    </row>
    <row r="72" customFormat="false" ht="15" hidden="false" customHeight="false" outlineLevel="0" collapsed="false">
      <c r="E72" s="160" t="n">
        <v>66</v>
      </c>
      <c r="F72" s="160" t="str">
        <f aca="false">IF((Dashboard!$L$27+E72-1)&lt;=$C$5,(Dashboard!$L$27+E72-1),"")</f>
        <v/>
      </c>
      <c r="G72" s="161" t="n">
        <f aca="false">IF((Dashboard!$L$27+E72-1)&lt;=$C$5,INDEX(Journal!$BR$6:$BR$505,MATCH((Dashboard!$L$27+E72-1),Journal!$BQ$6:$BQ$505,0)),G71)</f>
        <v>60229.5</v>
      </c>
      <c r="H72" s="162" t="n">
        <f aca="false">IF((Dashboard!$L$27+E72-1)&lt;=$C$5,INDEX(Journal!$BT$6:$BT$505,MATCH((Dashboard!$L$27+E72-1),Journal!$BQ$6:$BQ$505,0)),H71)</f>
        <v>0</v>
      </c>
    </row>
    <row r="73" customFormat="false" ht="15" hidden="false" customHeight="false" outlineLevel="0" collapsed="false">
      <c r="E73" s="160" t="n">
        <v>67</v>
      </c>
      <c r="F73" s="160" t="str">
        <f aca="false">IF((Dashboard!$L$27+E73-1)&lt;=$C$5,(Dashboard!$L$27+E73-1),"")</f>
        <v/>
      </c>
      <c r="G73" s="161" t="n">
        <f aca="false">IF((Dashboard!$L$27+E73-1)&lt;=$C$5,INDEX(Journal!$BR$6:$BR$505,MATCH((Dashboard!$L$27+E73-1),Journal!$BQ$6:$BQ$505,0)),G72)</f>
        <v>60229.5</v>
      </c>
      <c r="H73" s="162" t="n">
        <f aca="false">IF((Dashboard!$L$27+E73-1)&lt;=$C$5,INDEX(Journal!$BT$6:$BT$505,MATCH((Dashboard!$L$27+E73-1),Journal!$BQ$6:$BQ$505,0)),H72)</f>
        <v>0</v>
      </c>
    </row>
    <row r="74" customFormat="false" ht="15" hidden="false" customHeight="false" outlineLevel="0" collapsed="false">
      <c r="E74" s="160" t="n">
        <v>68</v>
      </c>
      <c r="F74" s="160" t="str">
        <f aca="false">IF((Dashboard!$L$27+E74-1)&lt;=$C$5,(Dashboard!$L$27+E74-1),"")</f>
        <v/>
      </c>
      <c r="G74" s="161" t="n">
        <f aca="false">IF((Dashboard!$L$27+E74-1)&lt;=$C$5,INDEX(Journal!$BR$6:$BR$505,MATCH((Dashboard!$L$27+E74-1),Journal!$BQ$6:$BQ$505,0)),G73)</f>
        <v>60229.5</v>
      </c>
      <c r="H74" s="162" t="n">
        <f aca="false">IF((Dashboard!$L$27+E74-1)&lt;=$C$5,INDEX(Journal!$BT$6:$BT$505,MATCH((Dashboard!$L$27+E74-1),Journal!$BQ$6:$BQ$505,0)),H73)</f>
        <v>0</v>
      </c>
    </row>
    <row r="75" customFormat="false" ht="15" hidden="false" customHeight="false" outlineLevel="0" collapsed="false">
      <c r="E75" s="160" t="n">
        <v>69</v>
      </c>
      <c r="F75" s="160" t="str">
        <f aca="false">IF((Dashboard!$L$27+E75-1)&lt;=$C$5,(Dashboard!$L$27+E75-1),"")</f>
        <v/>
      </c>
      <c r="G75" s="161" t="n">
        <f aca="false">IF((Dashboard!$L$27+E75-1)&lt;=$C$5,INDEX(Journal!$BR$6:$BR$505,MATCH((Dashboard!$L$27+E75-1),Journal!$BQ$6:$BQ$505,0)),G74)</f>
        <v>60229.5</v>
      </c>
      <c r="H75" s="162" t="n">
        <f aca="false">IF((Dashboard!$L$27+E75-1)&lt;=$C$5,INDEX(Journal!$BT$6:$BT$505,MATCH((Dashboard!$L$27+E75-1),Journal!$BQ$6:$BQ$505,0)),H74)</f>
        <v>0</v>
      </c>
    </row>
    <row r="76" customFormat="false" ht="15" hidden="false" customHeight="false" outlineLevel="0" collapsed="false">
      <c r="E76" s="160" t="n">
        <v>70</v>
      </c>
      <c r="F76" s="160" t="str">
        <f aca="false">IF((Dashboard!$L$27+E76-1)&lt;=$C$5,(Dashboard!$L$27+E76-1),"")</f>
        <v/>
      </c>
      <c r="G76" s="161" t="n">
        <f aca="false">IF((Dashboard!$L$27+E76-1)&lt;=$C$5,INDEX(Journal!$BR$6:$BR$505,MATCH((Dashboard!$L$27+E76-1),Journal!$BQ$6:$BQ$505,0)),G75)</f>
        <v>60229.5</v>
      </c>
      <c r="H76" s="162" t="n">
        <f aca="false">IF((Dashboard!$L$27+E76-1)&lt;=$C$5,INDEX(Journal!$BT$6:$BT$505,MATCH((Dashboard!$L$27+E76-1),Journal!$BQ$6:$BQ$505,0)),H75)</f>
        <v>0</v>
      </c>
    </row>
    <row r="77" customFormat="false" ht="15" hidden="false" customHeight="false" outlineLevel="0" collapsed="false">
      <c r="E77" s="160" t="n">
        <v>71</v>
      </c>
      <c r="F77" s="160" t="str">
        <f aca="false">IF((Dashboard!$L$27+E77-1)&lt;=$C$5,(Dashboard!$L$27+E77-1),"")</f>
        <v/>
      </c>
      <c r="G77" s="161" t="n">
        <f aca="false">IF((Dashboard!$L$27+E77-1)&lt;=$C$5,INDEX(Journal!$BR$6:$BR$505,MATCH((Dashboard!$L$27+E77-1),Journal!$BQ$6:$BQ$505,0)),G76)</f>
        <v>60229.5</v>
      </c>
      <c r="H77" s="162" t="n">
        <f aca="false">IF((Dashboard!$L$27+E77-1)&lt;=$C$5,INDEX(Journal!$BT$6:$BT$505,MATCH((Dashboard!$L$27+E77-1),Journal!$BQ$6:$BQ$505,0)),H76)</f>
        <v>0</v>
      </c>
    </row>
    <row r="78" customFormat="false" ht="15" hidden="false" customHeight="false" outlineLevel="0" collapsed="false">
      <c r="E78" s="160" t="n">
        <v>72</v>
      </c>
      <c r="F78" s="160" t="str">
        <f aca="false">IF((Dashboard!$L$27+E78-1)&lt;=$C$5,(Dashboard!$L$27+E78-1),"")</f>
        <v/>
      </c>
      <c r="G78" s="161" t="n">
        <f aca="false">IF((Dashboard!$L$27+E78-1)&lt;=$C$5,INDEX(Journal!$BR$6:$BR$505,MATCH((Dashboard!$L$27+E78-1),Journal!$BQ$6:$BQ$505,0)),G77)</f>
        <v>60229.5</v>
      </c>
      <c r="H78" s="162" t="n">
        <f aca="false">IF((Dashboard!$L$27+E78-1)&lt;=$C$5,INDEX(Journal!$BT$6:$BT$505,MATCH((Dashboard!$L$27+E78-1),Journal!$BQ$6:$BQ$505,0)),H77)</f>
        <v>0</v>
      </c>
    </row>
    <row r="79" customFormat="false" ht="15" hidden="false" customHeight="false" outlineLevel="0" collapsed="false">
      <c r="E79" s="160" t="n">
        <v>73</v>
      </c>
      <c r="F79" s="160" t="str">
        <f aca="false">IF((Dashboard!$L$27+E79-1)&lt;=$C$5,(Dashboard!$L$27+E79-1),"")</f>
        <v/>
      </c>
      <c r="G79" s="161" t="n">
        <f aca="false">IF((Dashboard!$L$27+E79-1)&lt;=$C$5,INDEX(Journal!$BR$6:$BR$505,MATCH((Dashboard!$L$27+E79-1),Journal!$BQ$6:$BQ$505,0)),G78)</f>
        <v>60229.5</v>
      </c>
      <c r="H79" s="162" t="n">
        <f aca="false">IF((Dashboard!$L$27+E79-1)&lt;=$C$5,INDEX(Journal!$BT$6:$BT$505,MATCH((Dashboard!$L$27+E79-1),Journal!$BQ$6:$BQ$505,0)),H78)</f>
        <v>0</v>
      </c>
    </row>
    <row r="80" customFormat="false" ht="15" hidden="false" customHeight="false" outlineLevel="0" collapsed="false">
      <c r="E80" s="160" t="n">
        <v>74</v>
      </c>
      <c r="F80" s="160" t="str">
        <f aca="false">IF((Dashboard!$L$27+E80-1)&lt;=$C$5,(Dashboard!$L$27+E80-1),"")</f>
        <v/>
      </c>
      <c r="G80" s="161" t="n">
        <f aca="false">IF((Dashboard!$L$27+E80-1)&lt;=$C$5,INDEX(Journal!$BR$6:$BR$505,MATCH((Dashboard!$L$27+E80-1),Journal!$BQ$6:$BQ$505,0)),G79)</f>
        <v>60229.5</v>
      </c>
      <c r="H80" s="162" t="n">
        <f aca="false">IF((Dashboard!$L$27+E80-1)&lt;=$C$5,INDEX(Journal!$BT$6:$BT$505,MATCH((Dashboard!$L$27+E80-1),Journal!$BQ$6:$BQ$505,0)),H79)</f>
        <v>0</v>
      </c>
    </row>
    <row r="81" customFormat="false" ht="15" hidden="false" customHeight="false" outlineLevel="0" collapsed="false">
      <c r="E81" s="160" t="n">
        <v>75</v>
      </c>
      <c r="F81" s="160" t="str">
        <f aca="false">IF((Dashboard!$L$27+E81-1)&lt;=$C$5,(Dashboard!$L$27+E81-1),"")</f>
        <v/>
      </c>
      <c r="G81" s="161" t="n">
        <f aca="false">IF((Dashboard!$L$27+E81-1)&lt;=$C$5,INDEX(Journal!$BR$6:$BR$505,MATCH((Dashboard!$L$27+E81-1),Journal!$BQ$6:$BQ$505,0)),G80)</f>
        <v>60229.5</v>
      </c>
      <c r="H81" s="162" t="n">
        <f aca="false">IF((Dashboard!$L$27+E81-1)&lt;=$C$5,INDEX(Journal!$BT$6:$BT$505,MATCH((Dashboard!$L$27+E81-1),Journal!$BQ$6:$BQ$505,0)),H80)</f>
        <v>0</v>
      </c>
    </row>
    <row r="82" customFormat="false" ht="15" hidden="false" customHeight="false" outlineLevel="0" collapsed="false">
      <c r="E82" s="160" t="n">
        <v>76</v>
      </c>
      <c r="F82" s="160" t="str">
        <f aca="false">IF((Dashboard!$L$27+E82-1)&lt;=$C$5,(Dashboard!$L$27+E82-1),"")</f>
        <v/>
      </c>
      <c r="G82" s="161" t="n">
        <f aca="false">IF((Dashboard!$L$27+E82-1)&lt;=$C$5,INDEX(Journal!$BR$6:$BR$505,MATCH((Dashboard!$L$27+E82-1),Journal!$BQ$6:$BQ$505,0)),G81)</f>
        <v>60229.5</v>
      </c>
      <c r="H82" s="162" t="n">
        <f aca="false">IF((Dashboard!$L$27+E82-1)&lt;=$C$5,INDEX(Journal!$BT$6:$BT$505,MATCH((Dashboard!$L$27+E82-1),Journal!$BQ$6:$BQ$505,0)),H81)</f>
        <v>0</v>
      </c>
    </row>
    <row r="83" customFormat="false" ht="15" hidden="false" customHeight="false" outlineLevel="0" collapsed="false">
      <c r="E83" s="160" t="n">
        <v>77</v>
      </c>
      <c r="F83" s="160" t="str">
        <f aca="false">IF((Dashboard!$L$27+E83-1)&lt;=$C$5,(Dashboard!$L$27+E83-1),"")</f>
        <v/>
      </c>
      <c r="G83" s="161" t="n">
        <f aca="false">IF((Dashboard!$L$27+E83-1)&lt;=$C$5,INDEX(Journal!$BR$6:$BR$505,MATCH((Dashboard!$L$27+E83-1),Journal!$BQ$6:$BQ$505,0)),G82)</f>
        <v>60229.5</v>
      </c>
      <c r="H83" s="162" t="n">
        <f aca="false">IF((Dashboard!$L$27+E83-1)&lt;=$C$5,INDEX(Journal!$BT$6:$BT$505,MATCH((Dashboard!$L$27+E83-1),Journal!$BQ$6:$BQ$505,0)),H82)</f>
        <v>0</v>
      </c>
    </row>
    <row r="84" customFormat="false" ht="15" hidden="false" customHeight="false" outlineLevel="0" collapsed="false">
      <c r="E84" s="160" t="n">
        <v>78</v>
      </c>
      <c r="F84" s="160" t="str">
        <f aca="false">IF((Dashboard!$L$27+E84-1)&lt;=$C$5,(Dashboard!$L$27+E84-1),"")</f>
        <v/>
      </c>
      <c r="G84" s="161" t="n">
        <f aca="false">IF((Dashboard!$L$27+E84-1)&lt;=$C$5,INDEX(Journal!$BR$6:$BR$505,MATCH((Dashboard!$L$27+E84-1),Journal!$BQ$6:$BQ$505,0)),G83)</f>
        <v>60229.5</v>
      </c>
      <c r="H84" s="162" t="n">
        <f aca="false">IF((Dashboard!$L$27+E84-1)&lt;=$C$5,INDEX(Journal!$BT$6:$BT$505,MATCH((Dashboard!$L$27+E84-1),Journal!$BQ$6:$BQ$505,0)),H83)</f>
        <v>0</v>
      </c>
    </row>
    <row r="85" customFormat="false" ht="15" hidden="false" customHeight="false" outlineLevel="0" collapsed="false">
      <c r="E85" s="160" t="n">
        <v>79</v>
      </c>
      <c r="F85" s="160" t="str">
        <f aca="false">IF((Dashboard!$L$27+E85-1)&lt;=$C$5,(Dashboard!$L$27+E85-1),"")</f>
        <v/>
      </c>
      <c r="G85" s="161" t="n">
        <f aca="false">IF((Dashboard!$L$27+E85-1)&lt;=$C$5,INDEX(Journal!$BR$6:$BR$505,MATCH((Dashboard!$L$27+E85-1),Journal!$BQ$6:$BQ$505,0)),G84)</f>
        <v>60229.5</v>
      </c>
      <c r="H85" s="162" t="n">
        <f aca="false">IF((Dashboard!$L$27+E85-1)&lt;=$C$5,INDEX(Journal!$BT$6:$BT$505,MATCH((Dashboard!$L$27+E85-1),Journal!$BQ$6:$BQ$505,0)),H84)</f>
        <v>0</v>
      </c>
    </row>
    <row r="86" customFormat="false" ht="15" hidden="false" customHeight="false" outlineLevel="0" collapsed="false">
      <c r="E86" s="160" t="n">
        <v>80</v>
      </c>
      <c r="F86" s="160" t="str">
        <f aca="false">IF((Dashboard!$L$27+E86-1)&lt;=$C$5,(Dashboard!$L$27+E86-1),"")</f>
        <v/>
      </c>
      <c r="G86" s="161" t="n">
        <f aca="false">IF((Dashboard!$L$27+E86-1)&lt;=$C$5,INDEX(Journal!$BR$6:$BR$505,MATCH((Dashboard!$L$27+E86-1),Journal!$BQ$6:$BQ$505,0)),G85)</f>
        <v>60229.5</v>
      </c>
      <c r="H86" s="162" t="n">
        <f aca="false">IF((Dashboard!$L$27+E86-1)&lt;=$C$5,INDEX(Journal!$BT$6:$BT$505,MATCH((Dashboard!$L$27+E86-1),Journal!$BQ$6:$BQ$505,0)),H85)</f>
        <v>0</v>
      </c>
    </row>
    <row r="87" customFormat="false" ht="15" hidden="false" customHeight="false" outlineLevel="0" collapsed="false">
      <c r="E87" s="160" t="n">
        <v>81</v>
      </c>
      <c r="F87" s="160" t="str">
        <f aca="false">IF((Dashboard!$L$27+E87-1)&lt;=$C$5,(Dashboard!$L$27+E87-1),"")</f>
        <v/>
      </c>
      <c r="G87" s="161" t="n">
        <f aca="false">IF((Dashboard!$L$27+E87-1)&lt;=$C$5,INDEX(Journal!$BR$6:$BR$505,MATCH((Dashboard!$L$27+E87-1),Journal!$BQ$6:$BQ$505,0)),G86)</f>
        <v>60229.5</v>
      </c>
      <c r="H87" s="162" t="n">
        <f aca="false">IF((Dashboard!$L$27+E87-1)&lt;=$C$5,INDEX(Journal!$BT$6:$BT$505,MATCH((Dashboard!$L$27+E87-1),Journal!$BQ$6:$BQ$505,0)),H86)</f>
        <v>0</v>
      </c>
    </row>
    <row r="88" customFormat="false" ht="15" hidden="false" customHeight="false" outlineLevel="0" collapsed="false">
      <c r="E88" s="160" t="n">
        <v>82</v>
      </c>
      <c r="F88" s="160" t="str">
        <f aca="false">IF((Dashboard!$L$27+E88-1)&lt;=$C$5,(Dashboard!$L$27+E88-1),"")</f>
        <v/>
      </c>
      <c r="G88" s="161" t="n">
        <f aca="false">IF((Dashboard!$L$27+E88-1)&lt;=$C$5,INDEX(Journal!$BR$6:$BR$505,MATCH((Dashboard!$L$27+E88-1),Journal!$BQ$6:$BQ$505,0)),G87)</f>
        <v>60229.5</v>
      </c>
      <c r="H88" s="162" t="n">
        <f aca="false">IF((Dashboard!$L$27+E88-1)&lt;=$C$5,INDEX(Journal!$BT$6:$BT$505,MATCH((Dashboard!$L$27+E88-1),Journal!$BQ$6:$BQ$505,0)),H87)</f>
        <v>0</v>
      </c>
    </row>
    <row r="89" customFormat="false" ht="15" hidden="false" customHeight="false" outlineLevel="0" collapsed="false">
      <c r="E89" s="160" t="n">
        <v>83</v>
      </c>
      <c r="F89" s="160" t="str">
        <f aca="false">IF((Dashboard!$L$27+E89-1)&lt;=$C$5,(Dashboard!$L$27+E89-1),"")</f>
        <v/>
      </c>
      <c r="G89" s="161" t="n">
        <f aca="false">IF((Dashboard!$L$27+E89-1)&lt;=$C$5,INDEX(Journal!$BR$6:$BR$505,MATCH((Dashboard!$L$27+E89-1),Journal!$BQ$6:$BQ$505,0)),G88)</f>
        <v>60229.5</v>
      </c>
      <c r="H89" s="162" t="n">
        <f aca="false">IF((Dashboard!$L$27+E89-1)&lt;=$C$5,INDEX(Journal!$BT$6:$BT$505,MATCH((Dashboard!$L$27+E89-1),Journal!$BQ$6:$BQ$505,0)),H88)</f>
        <v>0</v>
      </c>
    </row>
    <row r="90" customFormat="false" ht="15" hidden="false" customHeight="false" outlineLevel="0" collapsed="false">
      <c r="E90" s="160" t="n">
        <v>84</v>
      </c>
      <c r="F90" s="160" t="str">
        <f aca="false">IF((Dashboard!$L$27+E90-1)&lt;=$C$5,(Dashboard!$L$27+E90-1),"")</f>
        <v/>
      </c>
      <c r="G90" s="161" t="n">
        <f aca="false">IF((Dashboard!$L$27+E90-1)&lt;=$C$5,INDEX(Journal!$BR$6:$BR$505,MATCH((Dashboard!$L$27+E90-1),Journal!$BQ$6:$BQ$505,0)),G89)</f>
        <v>60229.5</v>
      </c>
      <c r="H90" s="162" t="n">
        <f aca="false">IF((Dashboard!$L$27+E90-1)&lt;=$C$5,INDEX(Journal!$BT$6:$BT$505,MATCH((Dashboard!$L$27+E90-1),Journal!$BQ$6:$BQ$505,0)),H89)</f>
        <v>0</v>
      </c>
    </row>
    <row r="91" customFormat="false" ht="15" hidden="false" customHeight="false" outlineLevel="0" collapsed="false">
      <c r="E91" s="160" t="n">
        <v>85</v>
      </c>
      <c r="F91" s="160" t="str">
        <f aca="false">IF((Dashboard!$L$27+E91-1)&lt;=$C$5,(Dashboard!$L$27+E91-1),"")</f>
        <v/>
      </c>
      <c r="G91" s="161" t="n">
        <f aca="false">IF((Dashboard!$L$27+E91-1)&lt;=$C$5,INDEX(Journal!$BR$6:$BR$505,MATCH((Dashboard!$L$27+E91-1),Journal!$BQ$6:$BQ$505,0)),G90)</f>
        <v>60229.5</v>
      </c>
      <c r="H91" s="162" t="n">
        <f aca="false">IF((Dashboard!$L$27+E91-1)&lt;=$C$5,INDEX(Journal!$BT$6:$BT$505,MATCH((Dashboard!$L$27+E91-1),Journal!$BQ$6:$BQ$505,0)),H90)</f>
        <v>0</v>
      </c>
    </row>
    <row r="92" customFormat="false" ht="15" hidden="false" customHeight="false" outlineLevel="0" collapsed="false">
      <c r="E92" s="160" t="n">
        <v>86</v>
      </c>
      <c r="F92" s="160" t="str">
        <f aca="false">IF((Dashboard!$L$27+E92-1)&lt;=$C$5,(Dashboard!$L$27+E92-1),"")</f>
        <v/>
      </c>
      <c r="G92" s="161" t="n">
        <f aca="false">IF((Dashboard!$L$27+E92-1)&lt;=$C$5,INDEX(Journal!$BR$6:$BR$505,MATCH((Dashboard!$L$27+E92-1),Journal!$BQ$6:$BQ$505,0)),G91)</f>
        <v>60229.5</v>
      </c>
      <c r="H92" s="162" t="n">
        <f aca="false">IF((Dashboard!$L$27+E92-1)&lt;=$C$5,INDEX(Journal!$BT$6:$BT$505,MATCH((Dashboard!$L$27+E92-1),Journal!$BQ$6:$BQ$505,0)),H91)</f>
        <v>0</v>
      </c>
    </row>
    <row r="93" customFormat="false" ht="15" hidden="false" customHeight="false" outlineLevel="0" collapsed="false">
      <c r="E93" s="160" t="n">
        <v>87</v>
      </c>
      <c r="F93" s="160" t="str">
        <f aca="false">IF((Dashboard!$L$27+E93-1)&lt;=$C$5,(Dashboard!$L$27+E93-1),"")</f>
        <v/>
      </c>
      <c r="G93" s="161" t="n">
        <f aca="false">IF((Dashboard!$L$27+E93-1)&lt;=$C$5,INDEX(Journal!$BR$6:$BR$505,MATCH((Dashboard!$L$27+E93-1),Journal!$BQ$6:$BQ$505,0)),G92)</f>
        <v>60229.5</v>
      </c>
      <c r="H93" s="162" t="n">
        <f aca="false">IF((Dashboard!$L$27+E93-1)&lt;=$C$5,INDEX(Journal!$BT$6:$BT$505,MATCH((Dashboard!$L$27+E93-1),Journal!$BQ$6:$BQ$505,0)),H92)</f>
        <v>0</v>
      </c>
    </row>
    <row r="94" customFormat="false" ht="15" hidden="false" customHeight="false" outlineLevel="0" collapsed="false">
      <c r="E94" s="160" t="n">
        <v>88</v>
      </c>
      <c r="F94" s="160" t="str">
        <f aca="false">IF((Dashboard!$L$27+E94-1)&lt;=$C$5,(Dashboard!$L$27+E94-1),"")</f>
        <v/>
      </c>
      <c r="G94" s="161" t="n">
        <f aca="false">IF((Dashboard!$L$27+E94-1)&lt;=$C$5,INDEX(Journal!$BR$6:$BR$505,MATCH((Dashboard!$L$27+E94-1),Journal!$BQ$6:$BQ$505,0)),G93)</f>
        <v>60229.5</v>
      </c>
      <c r="H94" s="162" t="n">
        <f aca="false">IF((Dashboard!$L$27+E94-1)&lt;=$C$5,INDEX(Journal!$BT$6:$BT$505,MATCH((Dashboard!$L$27+E94-1),Journal!$BQ$6:$BQ$505,0)),H93)</f>
        <v>0</v>
      </c>
    </row>
    <row r="95" customFormat="false" ht="15" hidden="false" customHeight="false" outlineLevel="0" collapsed="false">
      <c r="E95" s="160" t="n">
        <v>89</v>
      </c>
      <c r="F95" s="160" t="str">
        <f aca="false">IF((Dashboard!$L$27+E95-1)&lt;=$C$5,(Dashboard!$L$27+E95-1),"")</f>
        <v/>
      </c>
      <c r="G95" s="161" t="n">
        <f aca="false">IF((Dashboard!$L$27+E95-1)&lt;=$C$5,INDEX(Journal!$BR$6:$BR$505,MATCH((Dashboard!$L$27+E95-1),Journal!$BQ$6:$BQ$505,0)),G94)</f>
        <v>60229.5</v>
      </c>
      <c r="H95" s="162" t="n">
        <f aca="false">IF((Dashboard!$L$27+E95-1)&lt;=$C$5,INDEX(Journal!$BT$6:$BT$505,MATCH((Dashboard!$L$27+E95-1),Journal!$BQ$6:$BQ$505,0)),H94)</f>
        <v>0</v>
      </c>
    </row>
    <row r="96" customFormat="false" ht="15" hidden="false" customHeight="false" outlineLevel="0" collapsed="false">
      <c r="E96" s="160" t="n">
        <v>90</v>
      </c>
      <c r="F96" s="160" t="str">
        <f aca="false">IF((Dashboard!$L$27+E96-1)&lt;=$C$5,(Dashboard!$L$27+E96-1),"")</f>
        <v/>
      </c>
      <c r="G96" s="161" t="n">
        <f aca="false">IF((Dashboard!$L$27+E96-1)&lt;=$C$5,INDEX(Journal!$BR$6:$BR$505,MATCH((Dashboard!$L$27+E96-1),Journal!$BQ$6:$BQ$505,0)),G95)</f>
        <v>60229.5</v>
      </c>
      <c r="H96" s="162" t="n">
        <f aca="false">IF((Dashboard!$L$27+E96-1)&lt;=$C$5,INDEX(Journal!$BT$6:$BT$505,MATCH((Dashboard!$L$27+E96-1),Journal!$BQ$6:$BQ$505,0)),H95)</f>
        <v>0</v>
      </c>
    </row>
    <row r="97" customFormat="false" ht="15" hidden="false" customHeight="false" outlineLevel="0" collapsed="false">
      <c r="E97" s="160" t="n">
        <v>91</v>
      </c>
      <c r="F97" s="160" t="str">
        <f aca="false">IF((Dashboard!$L$27+E97-1)&lt;=$C$5,(Dashboard!$L$27+E97-1),"")</f>
        <v/>
      </c>
      <c r="G97" s="161" t="n">
        <f aca="false">IF((Dashboard!$L$27+E97-1)&lt;=$C$5,INDEX(Journal!$BR$6:$BR$505,MATCH((Dashboard!$L$27+E97-1),Journal!$BQ$6:$BQ$505,0)),G96)</f>
        <v>60229.5</v>
      </c>
      <c r="H97" s="162" t="n">
        <f aca="false">IF((Dashboard!$L$27+E97-1)&lt;=$C$5,INDEX(Journal!$BT$6:$BT$505,MATCH((Dashboard!$L$27+E97-1),Journal!$BQ$6:$BQ$505,0)),H96)</f>
        <v>0</v>
      </c>
    </row>
    <row r="98" customFormat="false" ht="15" hidden="false" customHeight="false" outlineLevel="0" collapsed="false">
      <c r="E98" s="160" t="n">
        <v>92</v>
      </c>
      <c r="F98" s="160" t="str">
        <f aca="false">IF((Dashboard!$L$27+E98-1)&lt;=$C$5,(Dashboard!$L$27+E98-1),"")</f>
        <v/>
      </c>
      <c r="G98" s="161" t="n">
        <f aca="false">IF((Dashboard!$L$27+E98-1)&lt;=$C$5,INDEX(Journal!$BR$6:$BR$505,MATCH((Dashboard!$L$27+E98-1),Journal!$BQ$6:$BQ$505,0)),G97)</f>
        <v>60229.5</v>
      </c>
      <c r="H98" s="162" t="n">
        <f aca="false">IF((Dashboard!$L$27+E98-1)&lt;=$C$5,INDEX(Journal!$BT$6:$BT$505,MATCH((Dashboard!$L$27+E98-1),Journal!$BQ$6:$BQ$505,0)),H97)</f>
        <v>0</v>
      </c>
    </row>
    <row r="99" customFormat="false" ht="15" hidden="false" customHeight="false" outlineLevel="0" collapsed="false">
      <c r="E99" s="160" t="n">
        <v>93</v>
      </c>
      <c r="F99" s="160" t="str">
        <f aca="false">IF((Dashboard!$L$27+E99-1)&lt;=$C$5,(Dashboard!$L$27+E99-1),"")</f>
        <v/>
      </c>
      <c r="G99" s="161" t="n">
        <f aca="false">IF((Dashboard!$L$27+E99-1)&lt;=$C$5,INDEX(Journal!$BR$6:$BR$505,MATCH((Dashboard!$L$27+E99-1),Journal!$BQ$6:$BQ$505,0)),G98)</f>
        <v>60229.5</v>
      </c>
      <c r="H99" s="162" t="n">
        <f aca="false">IF((Dashboard!$L$27+E99-1)&lt;=$C$5,INDEX(Journal!$BT$6:$BT$505,MATCH((Dashboard!$L$27+E99-1),Journal!$BQ$6:$BQ$505,0)),H98)</f>
        <v>0</v>
      </c>
    </row>
    <row r="100" customFormat="false" ht="15" hidden="false" customHeight="false" outlineLevel="0" collapsed="false">
      <c r="E100" s="160" t="n">
        <v>94</v>
      </c>
      <c r="F100" s="160" t="str">
        <f aca="false">IF((Dashboard!$L$27+E100-1)&lt;=$C$5,(Dashboard!$L$27+E100-1),"")</f>
        <v/>
      </c>
      <c r="G100" s="161" t="n">
        <f aca="false">IF((Dashboard!$L$27+E100-1)&lt;=$C$5,INDEX(Journal!$BR$6:$BR$505,MATCH((Dashboard!$L$27+E100-1),Journal!$BQ$6:$BQ$505,0)),G99)</f>
        <v>60229.5</v>
      </c>
      <c r="H100" s="162" t="n">
        <f aca="false">IF((Dashboard!$L$27+E100-1)&lt;=$C$5,INDEX(Journal!$BT$6:$BT$505,MATCH((Dashboard!$L$27+E100-1),Journal!$BQ$6:$BQ$505,0)),H99)</f>
        <v>0</v>
      </c>
    </row>
    <row r="101" customFormat="false" ht="15" hidden="false" customHeight="false" outlineLevel="0" collapsed="false">
      <c r="E101" s="160" t="n">
        <v>95</v>
      </c>
      <c r="F101" s="160" t="str">
        <f aca="false">IF((Dashboard!$L$27+E101-1)&lt;=$C$5,(Dashboard!$L$27+E101-1),"")</f>
        <v/>
      </c>
      <c r="G101" s="161" t="n">
        <f aca="false">IF((Dashboard!$L$27+E101-1)&lt;=$C$5,INDEX(Journal!$BR$6:$BR$505,MATCH((Dashboard!$L$27+E101-1),Journal!$BQ$6:$BQ$505,0)),G100)</f>
        <v>60229.5</v>
      </c>
      <c r="H101" s="162" t="n">
        <f aca="false">IF((Dashboard!$L$27+E101-1)&lt;=$C$5,INDEX(Journal!$BT$6:$BT$505,MATCH((Dashboard!$L$27+E101-1),Journal!$BQ$6:$BQ$505,0)),H100)</f>
        <v>0</v>
      </c>
    </row>
    <row r="102" customFormat="false" ht="15" hidden="false" customHeight="false" outlineLevel="0" collapsed="false">
      <c r="E102" s="160" t="n">
        <v>96</v>
      </c>
      <c r="F102" s="160" t="str">
        <f aca="false">IF((Dashboard!$L$27+E102-1)&lt;=$C$5,(Dashboard!$L$27+E102-1),"")</f>
        <v/>
      </c>
      <c r="G102" s="161" t="n">
        <f aca="false">IF((Dashboard!$L$27+E102-1)&lt;=$C$5,INDEX(Journal!$BR$6:$BR$505,MATCH((Dashboard!$L$27+E102-1),Journal!$BQ$6:$BQ$505,0)),G101)</f>
        <v>60229.5</v>
      </c>
      <c r="H102" s="162" t="n">
        <f aca="false">IF((Dashboard!$L$27+E102-1)&lt;=$C$5,INDEX(Journal!$BT$6:$BT$505,MATCH((Dashboard!$L$27+E102-1),Journal!$BQ$6:$BQ$505,0)),H101)</f>
        <v>0</v>
      </c>
    </row>
    <row r="103" customFormat="false" ht="15" hidden="false" customHeight="false" outlineLevel="0" collapsed="false">
      <c r="E103" s="160" t="n">
        <v>97</v>
      </c>
      <c r="F103" s="160" t="str">
        <f aca="false">IF((Dashboard!$L$27+E103-1)&lt;=$C$5,(Dashboard!$L$27+E103-1),"")</f>
        <v/>
      </c>
      <c r="G103" s="161" t="n">
        <f aca="false">IF((Dashboard!$L$27+E103-1)&lt;=$C$5,INDEX(Journal!$BR$6:$BR$505,MATCH((Dashboard!$L$27+E103-1),Journal!$BQ$6:$BQ$505,0)),G102)</f>
        <v>60229.5</v>
      </c>
      <c r="H103" s="162" t="n">
        <f aca="false">IF((Dashboard!$L$27+E103-1)&lt;=$C$5,INDEX(Journal!$BT$6:$BT$505,MATCH((Dashboard!$L$27+E103-1),Journal!$BQ$6:$BQ$505,0)),H102)</f>
        <v>0</v>
      </c>
    </row>
    <row r="104" customFormat="false" ht="15" hidden="false" customHeight="false" outlineLevel="0" collapsed="false">
      <c r="E104" s="160" t="n">
        <v>98</v>
      </c>
      <c r="F104" s="160" t="str">
        <f aca="false">IF((Dashboard!$L$27+E104-1)&lt;=$C$5,(Dashboard!$L$27+E104-1),"")</f>
        <v/>
      </c>
      <c r="G104" s="161" t="n">
        <f aca="false">IF((Dashboard!$L$27+E104-1)&lt;=$C$5,INDEX(Journal!$BR$6:$BR$505,MATCH((Dashboard!$L$27+E104-1),Journal!$BQ$6:$BQ$505,0)),G103)</f>
        <v>60229.5</v>
      </c>
      <c r="H104" s="162" t="n">
        <f aca="false">IF((Dashboard!$L$27+E104-1)&lt;=$C$5,INDEX(Journal!$BT$6:$BT$505,MATCH((Dashboard!$L$27+E104-1),Journal!$BQ$6:$BQ$505,0)),H103)</f>
        <v>0</v>
      </c>
    </row>
    <row r="105" customFormat="false" ht="15" hidden="false" customHeight="false" outlineLevel="0" collapsed="false">
      <c r="E105" s="160" t="n">
        <v>99</v>
      </c>
      <c r="F105" s="160" t="str">
        <f aca="false">IF((Dashboard!$L$27+E105-1)&lt;=$C$5,(Dashboard!$L$27+E105-1),"")</f>
        <v/>
      </c>
      <c r="G105" s="161" t="n">
        <f aca="false">IF((Dashboard!$L$27+E105-1)&lt;=$C$5,INDEX(Journal!$BR$6:$BR$505,MATCH((Dashboard!$L$27+E105-1),Journal!$BQ$6:$BQ$505,0)),G104)</f>
        <v>60229.5</v>
      </c>
      <c r="H105" s="162" t="n">
        <f aca="false">IF((Dashboard!$L$27+E105-1)&lt;=$C$5,INDEX(Journal!$BT$6:$BT$505,MATCH((Dashboard!$L$27+E105-1),Journal!$BQ$6:$BQ$505,0)),H104)</f>
        <v>0</v>
      </c>
    </row>
    <row r="106" customFormat="false" ht="15" hidden="false" customHeight="false" outlineLevel="0" collapsed="false">
      <c r="E106" s="160" t="n">
        <v>100</v>
      </c>
      <c r="F106" s="160" t="str">
        <f aca="false">IF((Dashboard!$L$27+E106-1)&lt;=$C$5,(Dashboard!$L$27+E106-1),"")</f>
        <v/>
      </c>
      <c r="G106" s="161" t="n">
        <f aca="false">IF((Dashboard!$L$27+E106-1)&lt;=$C$5,INDEX(Journal!$BR$6:$BR$505,MATCH((Dashboard!$L$27+E106-1),Journal!$BQ$6:$BQ$505,0)),G105)</f>
        <v>60229.5</v>
      </c>
      <c r="H106" s="162" t="n">
        <f aca="false">IF((Dashboard!$L$27+E106-1)&lt;=$C$5,INDEX(Journal!$BT$6:$BT$505,MATCH((Dashboard!$L$27+E106-1),Journal!$BQ$6:$BQ$505,0)),H105)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2026-09-30T23:45:06Z</dcterms:created>
  <dc:creator>openpyxl</dc:creator>
  <dc:description/>
  <dc:language>en-US</dc:language>
  <cp:lastModifiedBy/>
  <dcterms:modified xsi:type="dcterms:W3CDTF">2026-09-30T23:45:24Z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